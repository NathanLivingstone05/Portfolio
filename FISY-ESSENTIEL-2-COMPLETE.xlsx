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defaultThemeVersion="124226"/>
  <mc:AlternateContent xmlns:mc="http://schemas.openxmlformats.org/markup-compatibility/2006">
    <mc:Choice Requires="x15">
      <x15ac:absPath xmlns:x15ac="http://schemas.microsoft.com/office/spreadsheetml/2010/11/ac" url="/Users/Nathan/Downloads/"/>
    </mc:Choice>
  </mc:AlternateContent>
  <xr:revisionPtr revIDLastSave="0" documentId="8_{F4CA2225-4889-2B41-AC8B-02325BD16EDD}" xr6:coauthVersionLast="47" xr6:coauthVersionMax="47" xr10:uidLastSave="{00000000-0000-0000-0000-000000000000}"/>
  <bookViews>
    <workbookView xWindow="0" yWindow="0" windowWidth="28800" windowHeight="18000" tabRatio="898" activeTab="11" xr2:uid="{00000000-000D-0000-FFFF-FFFF00000000}"/>
  </bookViews>
  <sheets>
    <sheet name="Info" sheetId="1" r:id="rId1"/>
    <sheet name="Guide" sheetId="2" r:id="rId2"/>
    <sheet name="Config" sheetId="3" r:id="rId3"/>
    <sheet name="Personnel" sheetId="4" r:id="rId4"/>
    <sheet name="Charges variables" sheetId="5" state="hidden" r:id="rId5"/>
    <sheet name="Personnel - Calculs auto" sheetId="6" state="hidden" r:id="rId6"/>
    <sheet name="Charges externes" sheetId="7" r:id="rId7"/>
    <sheet name="Investissements" sheetId="8" r:id="rId8"/>
    <sheet name="Commandes" sheetId="9" r:id="rId9"/>
    <sheet name="Trésorerie" sheetId="10" r:id="rId10"/>
    <sheet name="Pilotage" sheetId="11" state="hidden" r:id="rId11"/>
    <sheet name="Synthèse" sheetId="12" r:id="rId12"/>
    <sheet name="Comptes de résultats" sheetId="13" r:id="rId13"/>
    <sheet name="Plan de financement" sheetId="14" r:id="rId14"/>
    <sheet name="Commandes - Calculs auto" sheetId="15" state="hidden" r:id="rId15"/>
    <sheet name="Bilans" sheetId="16" r:id="rId16"/>
    <sheet name="TVA" sheetId="17" state="hidden" r:id="rId17"/>
    <sheet name="BFR" sheetId="18" state="hidden" r:id="rId18"/>
    <sheet name="Impôts et taxes" sheetId="19" state="hidden"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18" l="1"/>
  <c r="B58" i="18"/>
  <c r="B57" i="18"/>
  <c r="B56" i="18"/>
  <c r="B55" i="18"/>
  <c r="B54" i="18"/>
  <c r="B53" i="18"/>
  <c r="B52" i="18"/>
  <c r="B51" i="18"/>
  <c r="B50" i="18"/>
  <c r="B49" i="18"/>
  <c r="B48" i="18"/>
  <c r="D47" i="18"/>
  <c r="E47" i="18" s="1"/>
  <c r="F47" i="18" s="1"/>
  <c r="G47" i="18" s="1"/>
  <c r="H47" i="18" s="1"/>
  <c r="I47" i="18" s="1"/>
  <c r="J47" i="18" s="1"/>
  <c r="K47" i="18" s="1"/>
  <c r="L47" i="18" s="1"/>
  <c r="M47" i="18" s="1"/>
  <c r="N47" i="18" s="1"/>
  <c r="O47" i="18" s="1"/>
  <c r="P47" i="18" s="1"/>
  <c r="Q47" i="18" s="1"/>
  <c r="R47" i="18" s="1"/>
  <c r="S47" i="18" s="1"/>
  <c r="T47" i="18" s="1"/>
  <c r="U47" i="18" s="1"/>
  <c r="V47" i="18" s="1"/>
  <c r="W47" i="18" s="1"/>
  <c r="X47" i="18" s="1"/>
  <c r="Y47" i="18" s="1"/>
  <c r="Z47" i="18" s="1"/>
  <c r="AA47" i="18" s="1"/>
  <c r="AB47" i="18" s="1"/>
  <c r="AC47" i="18" s="1"/>
  <c r="AD47" i="18" s="1"/>
  <c r="AE47" i="18" s="1"/>
  <c r="AF47" i="18" s="1"/>
  <c r="AG47" i="18" s="1"/>
  <c r="AH47" i="18" s="1"/>
  <c r="AI47" i="18" s="1"/>
  <c r="AJ47" i="18" s="1"/>
  <c r="AK47" i="18" s="1"/>
  <c r="AL47" i="18" s="1"/>
  <c r="AM47" i="18" s="1"/>
  <c r="AN47" i="18" s="1"/>
  <c r="AO47" i="18" s="1"/>
  <c r="AP47" i="18" s="1"/>
  <c r="AQ47" i="18" s="1"/>
  <c r="AR47" i="18" s="1"/>
  <c r="AS47" i="18" s="1"/>
  <c r="AT47" i="18" s="1"/>
  <c r="AU47" i="18" s="1"/>
  <c r="AV47" i="18" s="1"/>
  <c r="AW47" i="18" s="1"/>
  <c r="AX47" i="18" s="1"/>
  <c r="AY47" i="18" s="1"/>
  <c r="AZ47" i="18" s="1"/>
  <c r="BA47" i="18" s="1"/>
  <c r="BB47" i="18" s="1"/>
  <c r="BC47" i="18" s="1"/>
  <c r="BD47" i="18" s="1"/>
  <c r="BE47" i="18" s="1"/>
  <c r="BF47" i="18" s="1"/>
  <c r="BG47" i="18" s="1"/>
  <c r="BH47" i="18" s="1"/>
  <c r="BI47" i="18" s="1"/>
  <c r="BJ47" i="18" s="1"/>
  <c r="C47" i="18"/>
  <c r="B40" i="18"/>
  <c r="B39" i="18"/>
  <c r="B38" i="18"/>
  <c r="B37" i="18"/>
  <c r="B36" i="18"/>
  <c r="B35" i="18"/>
  <c r="B34" i="18"/>
  <c r="B33" i="18"/>
  <c r="B32" i="18"/>
  <c r="B31" i="18"/>
  <c r="B30" i="18"/>
  <c r="B29" i="18"/>
  <c r="M28" i="18"/>
  <c r="N28" i="18" s="1"/>
  <c r="O28" i="18" s="1"/>
  <c r="P28" i="18" s="1"/>
  <c r="Q28" i="18" s="1"/>
  <c r="R28" i="18" s="1"/>
  <c r="S28" i="18" s="1"/>
  <c r="T28" i="18" s="1"/>
  <c r="U28" i="18" s="1"/>
  <c r="V28" i="18" s="1"/>
  <c r="W28" i="18" s="1"/>
  <c r="X28" i="18" s="1"/>
  <c r="Y28" i="18" s="1"/>
  <c r="Z28" i="18" s="1"/>
  <c r="AA28" i="18" s="1"/>
  <c r="AB28" i="18" s="1"/>
  <c r="AC28" i="18" s="1"/>
  <c r="AD28" i="18" s="1"/>
  <c r="AE28" i="18" s="1"/>
  <c r="AF28" i="18" s="1"/>
  <c r="AG28" i="18" s="1"/>
  <c r="AH28" i="18" s="1"/>
  <c r="AI28" i="18" s="1"/>
  <c r="AJ28" i="18" s="1"/>
  <c r="AK28" i="18" s="1"/>
  <c r="AL28" i="18" s="1"/>
  <c r="AM28" i="18" s="1"/>
  <c r="AN28" i="18" s="1"/>
  <c r="AO28" i="18" s="1"/>
  <c r="AP28" i="18" s="1"/>
  <c r="AQ28" i="18" s="1"/>
  <c r="AR28" i="18" s="1"/>
  <c r="AS28" i="18" s="1"/>
  <c r="AT28" i="18" s="1"/>
  <c r="AU28" i="18" s="1"/>
  <c r="AV28" i="18" s="1"/>
  <c r="AW28" i="18" s="1"/>
  <c r="AX28" i="18" s="1"/>
  <c r="AY28" i="18" s="1"/>
  <c r="AZ28" i="18" s="1"/>
  <c r="BA28" i="18" s="1"/>
  <c r="BB28" i="18" s="1"/>
  <c r="BC28" i="18" s="1"/>
  <c r="BD28" i="18" s="1"/>
  <c r="BE28" i="18" s="1"/>
  <c r="BF28" i="18" s="1"/>
  <c r="BG28" i="18" s="1"/>
  <c r="BH28" i="18" s="1"/>
  <c r="BI28" i="18" s="1"/>
  <c r="BJ28" i="18" s="1"/>
  <c r="C28" i="18"/>
  <c r="D28" i="18" s="1"/>
  <c r="E28" i="18" s="1"/>
  <c r="F28" i="18" s="1"/>
  <c r="G28" i="18" s="1"/>
  <c r="H28" i="18" s="1"/>
  <c r="I28" i="18" s="1"/>
  <c r="J28" i="18" s="1"/>
  <c r="K28" i="18" s="1"/>
  <c r="L28" i="18" s="1"/>
  <c r="B20" i="18"/>
  <c r="B19" i="18"/>
  <c r="B18" i="18"/>
  <c r="B17" i="18"/>
  <c r="B16" i="18"/>
  <c r="B15" i="18"/>
  <c r="B14" i="18"/>
  <c r="B13" i="18"/>
  <c r="B12" i="18"/>
  <c r="B11" i="18"/>
  <c r="B10" i="18"/>
  <c r="B9" i="18"/>
  <c r="L8" i="18"/>
  <c r="M8" i="18" s="1"/>
  <c r="N8" i="18" s="1"/>
  <c r="O8" i="18" s="1"/>
  <c r="P8" i="18" s="1"/>
  <c r="Q8" i="18" s="1"/>
  <c r="R8" i="18" s="1"/>
  <c r="S8" i="18" s="1"/>
  <c r="T8" i="18" s="1"/>
  <c r="U8" i="18" s="1"/>
  <c r="V8" i="18" s="1"/>
  <c r="W8" i="18" s="1"/>
  <c r="X8" i="18" s="1"/>
  <c r="Y8" i="18" s="1"/>
  <c r="Z8" i="18" s="1"/>
  <c r="AA8" i="18" s="1"/>
  <c r="AB8" i="18" s="1"/>
  <c r="AC8" i="18" s="1"/>
  <c r="AD8" i="18" s="1"/>
  <c r="AE8" i="18" s="1"/>
  <c r="AF8" i="18" s="1"/>
  <c r="AG8" i="18" s="1"/>
  <c r="AH8" i="18" s="1"/>
  <c r="AI8" i="18" s="1"/>
  <c r="AJ8" i="18" s="1"/>
  <c r="AK8" i="18" s="1"/>
  <c r="AL8" i="18" s="1"/>
  <c r="AM8" i="18" s="1"/>
  <c r="AN8" i="18" s="1"/>
  <c r="AO8" i="18" s="1"/>
  <c r="AP8" i="18" s="1"/>
  <c r="AQ8" i="18" s="1"/>
  <c r="AR8" i="18" s="1"/>
  <c r="AS8" i="18" s="1"/>
  <c r="AT8" i="18" s="1"/>
  <c r="AU8" i="18" s="1"/>
  <c r="AV8" i="18" s="1"/>
  <c r="AW8" i="18" s="1"/>
  <c r="AX8" i="18" s="1"/>
  <c r="AY8" i="18" s="1"/>
  <c r="AZ8" i="18" s="1"/>
  <c r="BA8" i="18" s="1"/>
  <c r="BB8" i="18" s="1"/>
  <c r="BC8" i="18" s="1"/>
  <c r="BD8" i="18" s="1"/>
  <c r="BE8" i="18" s="1"/>
  <c r="BF8" i="18" s="1"/>
  <c r="BG8" i="18" s="1"/>
  <c r="BH8" i="18" s="1"/>
  <c r="BI8" i="18" s="1"/>
  <c r="BJ8" i="18" s="1"/>
  <c r="C8" i="18"/>
  <c r="D8" i="18" s="1"/>
  <c r="E8" i="18" s="1"/>
  <c r="F8" i="18" s="1"/>
  <c r="G8" i="18" s="1"/>
  <c r="H8" i="18" s="1"/>
  <c r="I8" i="18" s="1"/>
  <c r="J8" i="18" s="1"/>
  <c r="K8" i="18" s="1"/>
  <c r="B60" i="17"/>
  <c r="B59" i="17"/>
  <c r="B58" i="17"/>
  <c r="B57" i="17"/>
  <c r="B56" i="17"/>
  <c r="B55" i="17"/>
  <c r="B54" i="17"/>
  <c r="B53" i="17"/>
  <c r="B52" i="17"/>
  <c r="B51" i="17"/>
  <c r="B50" i="17"/>
  <c r="B49" i="17"/>
  <c r="F48" i="17"/>
  <c r="G48" i="17" s="1"/>
  <c r="H48" i="17" s="1"/>
  <c r="I48" i="17" s="1"/>
  <c r="J48" i="17" s="1"/>
  <c r="K48" i="17" s="1"/>
  <c r="L48" i="17" s="1"/>
  <c r="M48" i="17" s="1"/>
  <c r="N48" i="17" s="1"/>
  <c r="O48" i="17" s="1"/>
  <c r="P48" i="17" s="1"/>
  <c r="Q48" i="17" s="1"/>
  <c r="R48" i="17" s="1"/>
  <c r="S48" i="17" s="1"/>
  <c r="T48" i="17" s="1"/>
  <c r="U48" i="17" s="1"/>
  <c r="V48" i="17" s="1"/>
  <c r="W48" i="17" s="1"/>
  <c r="X48" i="17" s="1"/>
  <c r="Y48" i="17" s="1"/>
  <c r="Z48" i="17" s="1"/>
  <c r="AA48" i="17" s="1"/>
  <c r="AB48" i="17" s="1"/>
  <c r="AC48" i="17" s="1"/>
  <c r="AD48" i="17" s="1"/>
  <c r="AE48" i="17" s="1"/>
  <c r="AF48" i="17" s="1"/>
  <c r="AG48" i="17" s="1"/>
  <c r="AH48" i="17" s="1"/>
  <c r="AI48" i="17" s="1"/>
  <c r="AJ48" i="17" s="1"/>
  <c r="AK48" i="17" s="1"/>
  <c r="AL48" i="17" s="1"/>
  <c r="AM48" i="17" s="1"/>
  <c r="AN48" i="17" s="1"/>
  <c r="AO48" i="17" s="1"/>
  <c r="AP48" i="17" s="1"/>
  <c r="AQ48" i="17" s="1"/>
  <c r="AR48" i="17" s="1"/>
  <c r="AS48" i="17" s="1"/>
  <c r="AT48" i="17" s="1"/>
  <c r="AU48" i="17" s="1"/>
  <c r="AV48" i="17" s="1"/>
  <c r="AW48" i="17" s="1"/>
  <c r="AX48" i="17" s="1"/>
  <c r="AY48" i="17" s="1"/>
  <c r="AZ48" i="17" s="1"/>
  <c r="BA48" i="17" s="1"/>
  <c r="BB48" i="17" s="1"/>
  <c r="BC48" i="17" s="1"/>
  <c r="BD48" i="17" s="1"/>
  <c r="BE48" i="17" s="1"/>
  <c r="BF48" i="17" s="1"/>
  <c r="BG48" i="17" s="1"/>
  <c r="BH48" i="17" s="1"/>
  <c r="BI48" i="17" s="1"/>
  <c r="BJ48" i="17" s="1"/>
  <c r="E48" i="17"/>
  <c r="D48" i="17"/>
  <c r="C48" i="17"/>
  <c r="B41" i="17"/>
  <c r="B40" i="17"/>
  <c r="B39" i="17"/>
  <c r="B38" i="17"/>
  <c r="B37" i="17"/>
  <c r="B36" i="17"/>
  <c r="B35" i="17"/>
  <c r="B34" i="17"/>
  <c r="B33" i="17"/>
  <c r="B32" i="17"/>
  <c r="B31" i="17"/>
  <c r="B30" i="17"/>
  <c r="C29" i="17"/>
  <c r="D29" i="17" s="1"/>
  <c r="E29" i="17" s="1"/>
  <c r="F29" i="17" s="1"/>
  <c r="G29" i="17" s="1"/>
  <c r="H29" i="17" s="1"/>
  <c r="I29" i="17" s="1"/>
  <c r="J29" i="17" s="1"/>
  <c r="K29" i="17" s="1"/>
  <c r="L29" i="17" s="1"/>
  <c r="M29" i="17" s="1"/>
  <c r="N29" i="17" s="1"/>
  <c r="O29" i="17" s="1"/>
  <c r="P29" i="17" s="1"/>
  <c r="Q29" i="17" s="1"/>
  <c r="R29" i="17" s="1"/>
  <c r="S29" i="17" s="1"/>
  <c r="T29" i="17" s="1"/>
  <c r="U29" i="17" s="1"/>
  <c r="V29" i="17" s="1"/>
  <c r="W29" i="17" s="1"/>
  <c r="X29" i="17" s="1"/>
  <c r="Y29" i="17" s="1"/>
  <c r="Z29" i="17" s="1"/>
  <c r="AA29" i="17" s="1"/>
  <c r="AB29" i="17" s="1"/>
  <c r="AC29" i="17" s="1"/>
  <c r="AD29" i="17" s="1"/>
  <c r="AE29" i="17" s="1"/>
  <c r="AF29" i="17" s="1"/>
  <c r="AG29" i="17" s="1"/>
  <c r="AH29" i="17" s="1"/>
  <c r="AI29" i="17" s="1"/>
  <c r="AJ29" i="17" s="1"/>
  <c r="AK29" i="17" s="1"/>
  <c r="AL29" i="17" s="1"/>
  <c r="AM29" i="17" s="1"/>
  <c r="AN29" i="17" s="1"/>
  <c r="AO29" i="17" s="1"/>
  <c r="AP29" i="17" s="1"/>
  <c r="AQ29" i="17" s="1"/>
  <c r="AR29" i="17" s="1"/>
  <c r="AS29" i="17" s="1"/>
  <c r="AT29" i="17" s="1"/>
  <c r="AU29" i="17" s="1"/>
  <c r="AV29" i="17" s="1"/>
  <c r="AW29" i="17" s="1"/>
  <c r="AX29" i="17" s="1"/>
  <c r="AY29" i="17" s="1"/>
  <c r="AZ29" i="17" s="1"/>
  <c r="BA29" i="17" s="1"/>
  <c r="BB29" i="17" s="1"/>
  <c r="BC29" i="17" s="1"/>
  <c r="BD29" i="17" s="1"/>
  <c r="BE29" i="17" s="1"/>
  <c r="BF29" i="17" s="1"/>
  <c r="BG29" i="17" s="1"/>
  <c r="BH29" i="17" s="1"/>
  <c r="BI29" i="17" s="1"/>
  <c r="BJ29" i="17" s="1"/>
  <c r="B22" i="17"/>
  <c r="B21" i="17"/>
  <c r="B20" i="17"/>
  <c r="B19" i="17"/>
  <c r="B18" i="17"/>
  <c r="B17" i="17"/>
  <c r="B16" i="17"/>
  <c r="B15" i="17"/>
  <c r="B14" i="17"/>
  <c r="B13" i="17"/>
  <c r="B12" i="17"/>
  <c r="B11" i="17"/>
  <c r="F10" i="17"/>
  <c r="G10" i="17" s="1"/>
  <c r="H10" i="17" s="1"/>
  <c r="I10" i="17" s="1"/>
  <c r="J10" i="17" s="1"/>
  <c r="K10" i="17" s="1"/>
  <c r="L10" i="17" s="1"/>
  <c r="M10" i="17" s="1"/>
  <c r="N10" i="17" s="1"/>
  <c r="O10" i="17" s="1"/>
  <c r="P10" i="17" s="1"/>
  <c r="Q10" i="17" s="1"/>
  <c r="R10" i="17" s="1"/>
  <c r="S10" i="17" s="1"/>
  <c r="T10" i="17" s="1"/>
  <c r="U10" i="17" s="1"/>
  <c r="V10" i="17" s="1"/>
  <c r="W10" i="17" s="1"/>
  <c r="X10" i="17" s="1"/>
  <c r="Y10" i="17" s="1"/>
  <c r="Z10" i="17" s="1"/>
  <c r="AA10" i="17" s="1"/>
  <c r="AB10" i="17" s="1"/>
  <c r="AC10" i="17" s="1"/>
  <c r="AD10" i="17" s="1"/>
  <c r="AE10" i="17" s="1"/>
  <c r="AF10" i="17" s="1"/>
  <c r="AG10" i="17" s="1"/>
  <c r="AH10" i="17" s="1"/>
  <c r="AI10" i="17" s="1"/>
  <c r="AJ10" i="17" s="1"/>
  <c r="AK10" i="17" s="1"/>
  <c r="AL10" i="17" s="1"/>
  <c r="AM10" i="17" s="1"/>
  <c r="AN10" i="17" s="1"/>
  <c r="AO10" i="17" s="1"/>
  <c r="AP10" i="17" s="1"/>
  <c r="AQ10" i="17" s="1"/>
  <c r="AR10" i="17" s="1"/>
  <c r="AS10" i="17" s="1"/>
  <c r="AT10" i="17" s="1"/>
  <c r="AU10" i="17" s="1"/>
  <c r="AV10" i="17" s="1"/>
  <c r="AW10" i="17" s="1"/>
  <c r="AX10" i="17" s="1"/>
  <c r="AY10" i="17" s="1"/>
  <c r="AZ10" i="17" s="1"/>
  <c r="BA10" i="17" s="1"/>
  <c r="BB10" i="17" s="1"/>
  <c r="BC10" i="17" s="1"/>
  <c r="BD10" i="17" s="1"/>
  <c r="BE10" i="17" s="1"/>
  <c r="BF10" i="17" s="1"/>
  <c r="BG10" i="17" s="1"/>
  <c r="BH10" i="17" s="1"/>
  <c r="BI10" i="17" s="1"/>
  <c r="BJ10" i="17" s="1"/>
  <c r="E10" i="17"/>
  <c r="D10" i="17"/>
  <c r="C10" i="17"/>
  <c r="D16" i="16"/>
  <c r="C16" i="16"/>
  <c r="BJ40" i="15"/>
  <c r="BI40" i="15"/>
  <c r="BH40" i="15"/>
  <c r="BG40" i="15"/>
  <c r="BF40" i="15"/>
  <c r="BE40" i="15"/>
  <c r="BD40" i="15"/>
  <c r="BC40" i="15"/>
  <c r="BB40" i="15"/>
  <c r="BA40" i="15"/>
  <c r="AZ40" i="15"/>
  <c r="AY40" i="15"/>
  <c r="AX40" i="15"/>
  <c r="AW40" i="15"/>
  <c r="AV40" i="15"/>
  <c r="AU40" i="15"/>
  <c r="AT40" i="15"/>
  <c r="AS40" i="15"/>
  <c r="AR40" i="15"/>
  <c r="AQ40" i="15"/>
  <c r="AP40" i="15"/>
  <c r="AO40" i="15"/>
  <c r="AN40" i="15"/>
  <c r="AM40" i="15"/>
  <c r="AL40" i="15"/>
  <c r="AK40" i="15"/>
  <c r="AJ40" i="15"/>
  <c r="AI40" i="15"/>
  <c r="AH40" i="15"/>
  <c r="AG40" i="15"/>
  <c r="AF40" i="15"/>
  <c r="AE40" i="15"/>
  <c r="AD40" i="15"/>
  <c r="AC40" i="15"/>
  <c r="AB40" i="15"/>
  <c r="AA40" i="15"/>
  <c r="Z40" i="15"/>
  <c r="Y40" i="15"/>
  <c r="X40" i="15"/>
  <c r="W40" i="15"/>
  <c r="V40" i="15"/>
  <c r="U40" i="15"/>
  <c r="T40" i="15"/>
  <c r="S40" i="15"/>
  <c r="R40" i="15"/>
  <c r="Q40" i="15"/>
  <c r="P40" i="15"/>
  <c r="O40" i="15"/>
  <c r="N40" i="15"/>
  <c r="M40" i="15"/>
  <c r="L40" i="15"/>
  <c r="K40" i="15"/>
  <c r="J40" i="15"/>
  <c r="I40" i="15"/>
  <c r="H40" i="15"/>
  <c r="G40" i="15"/>
  <c r="F40" i="15"/>
  <c r="E40" i="15"/>
  <c r="D40" i="15"/>
  <c r="C40" i="15"/>
  <c r="B40" i="15"/>
  <c r="BJ39" i="15"/>
  <c r="BI39" i="15"/>
  <c r="BH39" i="15"/>
  <c r="BG39" i="15"/>
  <c r="BF39" i="15"/>
  <c r="BE39" i="15"/>
  <c r="BD39" i="15"/>
  <c r="BC39" i="15"/>
  <c r="BB39" i="15"/>
  <c r="BA39" i="15"/>
  <c r="AZ39" i="15"/>
  <c r="AY39" i="15"/>
  <c r="AX39" i="15"/>
  <c r="AW39" i="15"/>
  <c r="AV39" i="15"/>
  <c r="AU39" i="15"/>
  <c r="AT39" i="15"/>
  <c r="AS39" i="15"/>
  <c r="AR39" i="15"/>
  <c r="AQ39"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D39" i="15"/>
  <c r="C39" i="15"/>
  <c r="B39" i="15"/>
  <c r="BJ38" i="15"/>
  <c r="BI38" i="15"/>
  <c r="BH38" i="15"/>
  <c r="BG38" i="15"/>
  <c r="BF38" i="15"/>
  <c r="BE38" i="15"/>
  <c r="BD38" i="15"/>
  <c r="BC38" i="15"/>
  <c r="BB38" i="15"/>
  <c r="BA38" i="15"/>
  <c r="AZ38" i="15"/>
  <c r="AY38" i="15"/>
  <c r="AX38" i="15"/>
  <c r="AW38" i="15"/>
  <c r="AV38" i="15"/>
  <c r="AU38" i="15"/>
  <c r="AT38" i="15"/>
  <c r="AS38" i="15"/>
  <c r="AR38" i="15"/>
  <c r="AQ38" i="15"/>
  <c r="AP38" i="15"/>
  <c r="AO38" i="15"/>
  <c r="AN38" i="15"/>
  <c r="AM38" i="15"/>
  <c r="AL38" i="15"/>
  <c r="AK38" i="15"/>
  <c r="AJ38" i="15"/>
  <c r="AI38" i="15"/>
  <c r="AH38" i="15"/>
  <c r="AG38" i="15"/>
  <c r="AF38" i="15"/>
  <c r="AE38" i="15"/>
  <c r="AD38" i="15"/>
  <c r="AC38" i="15"/>
  <c r="AB38" i="15"/>
  <c r="AA38" i="15"/>
  <c r="Z38" i="15"/>
  <c r="Y38" i="15"/>
  <c r="X38" i="15"/>
  <c r="W38" i="15"/>
  <c r="V38" i="15"/>
  <c r="U38" i="15"/>
  <c r="T38" i="15"/>
  <c r="S38" i="15"/>
  <c r="R38" i="15"/>
  <c r="Q38" i="15"/>
  <c r="P38" i="15"/>
  <c r="O38" i="15"/>
  <c r="N38" i="15"/>
  <c r="M38" i="15"/>
  <c r="L38" i="15"/>
  <c r="K38" i="15"/>
  <c r="J38" i="15"/>
  <c r="I38" i="15"/>
  <c r="H38" i="15"/>
  <c r="G38" i="15"/>
  <c r="F38" i="15"/>
  <c r="E38" i="15"/>
  <c r="D38" i="15"/>
  <c r="C38" i="15"/>
  <c r="B38" i="15"/>
  <c r="BJ37" i="15"/>
  <c r="BI37" i="15"/>
  <c r="BH37" i="15"/>
  <c r="BG37" i="15"/>
  <c r="BF37" i="15"/>
  <c r="BE37" i="15"/>
  <c r="BD37" i="15"/>
  <c r="BC37" i="15"/>
  <c r="BB37" i="15"/>
  <c r="BA37" i="15"/>
  <c r="AZ37" i="15"/>
  <c r="AY37" i="15"/>
  <c r="AX37" i="15"/>
  <c r="AW37" i="15"/>
  <c r="AV37" i="15"/>
  <c r="AU37" i="15"/>
  <c r="AT37" i="15"/>
  <c r="AS37" i="15"/>
  <c r="AR37" i="15"/>
  <c r="AQ37" i="15"/>
  <c r="AP37" i="15"/>
  <c r="AO37" i="15"/>
  <c r="AN37" i="15"/>
  <c r="AM37" i="15"/>
  <c r="AL37" i="15"/>
  <c r="AK37" i="15"/>
  <c r="AJ37" i="15"/>
  <c r="AI37" i="15"/>
  <c r="AH37" i="15"/>
  <c r="AG37" i="15"/>
  <c r="AF37" i="15"/>
  <c r="AE37" i="15"/>
  <c r="AD37" i="15"/>
  <c r="AC37" i="15"/>
  <c r="AB37" i="15"/>
  <c r="AA37" i="15"/>
  <c r="Z37" i="15"/>
  <c r="Y37" i="15"/>
  <c r="X37" i="15"/>
  <c r="W37" i="15"/>
  <c r="V37" i="15"/>
  <c r="U37" i="15"/>
  <c r="T37" i="15"/>
  <c r="S37" i="15"/>
  <c r="R37" i="15"/>
  <c r="Q37" i="15"/>
  <c r="P37" i="15"/>
  <c r="O37" i="15"/>
  <c r="N37" i="15"/>
  <c r="M37" i="15"/>
  <c r="L37" i="15"/>
  <c r="K37" i="15"/>
  <c r="J37" i="15"/>
  <c r="I37" i="15"/>
  <c r="H37" i="15"/>
  <c r="G37" i="15"/>
  <c r="F37" i="15"/>
  <c r="E37" i="15"/>
  <c r="D37" i="15"/>
  <c r="C37" i="15"/>
  <c r="B37" i="15"/>
  <c r="BJ36" i="15"/>
  <c r="BI36" i="15"/>
  <c r="BH36" i="15"/>
  <c r="BG36" i="15"/>
  <c r="BF36" i="15"/>
  <c r="BE36" i="15"/>
  <c r="BD36" i="15"/>
  <c r="BC36" i="15"/>
  <c r="BB36" i="15"/>
  <c r="BA36" i="15"/>
  <c r="AZ36" i="15"/>
  <c r="AY36" i="15"/>
  <c r="AX36" i="15"/>
  <c r="AW36" i="15"/>
  <c r="AV36" i="15"/>
  <c r="AU36" i="15"/>
  <c r="AT36" i="15"/>
  <c r="AS36" i="15"/>
  <c r="AR36" i="15"/>
  <c r="AQ36" i="15"/>
  <c r="AP36" i="15"/>
  <c r="AO36" i="15"/>
  <c r="AN36" i="15"/>
  <c r="AM36" i="15"/>
  <c r="AL36" i="15"/>
  <c r="AK36" i="15"/>
  <c r="AJ36" i="15"/>
  <c r="AI36" i="15"/>
  <c r="AH36" i="15"/>
  <c r="AG36" i="15"/>
  <c r="AF36" i="15"/>
  <c r="AE36" i="15"/>
  <c r="AD36" i="15"/>
  <c r="AC36" i="15"/>
  <c r="AB36" i="15"/>
  <c r="AA36" i="15"/>
  <c r="Z36" i="15"/>
  <c r="Y36" i="15"/>
  <c r="X36" i="15"/>
  <c r="W36" i="15"/>
  <c r="V36" i="15"/>
  <c r="U36" i="15"/>
  <c r="T36" i="15"/>
  <c r="S36" i="15"/>
  <c r="R36" i="15"/>
  <c r="Q36" i="15"/>
  <c r="P36" i="15"/>
  <c r="O36" i="15"/>
  <c r="N36" i="15"/>
  <c r="M36" i="15"/>
  <c r="L36" i="15"/>
  <c r="K36" i="15"/>
  <c r="J36" i="15"/>
  <c r="I36" i="15"/>
  <c r="H36" i="15"/>
  <c r="G36" i="15"/>
  <c r="F36" i="15"/>
  <c r="E36" i="15"/>
  <c r="D36" i="15"/>
  <c r="C36" i="15"/>
  <c r="B36" i="15"/>
  <c r="BJ35" i="15"/>
  <c r="BI35" i="15"/>
  <c r="BH35" i="15"/>
  <c r="BG35" i="15"/>
  <c r="BF35" i="15"/>
  <c r="BE35" i="15"/>
  <c r="BD35" i="15"/>
  <c r="BC35" i="15"/>
  <c r="BB35" i="15"/>
  <c r="BA35" i="15"/>
  <c r="AZ35" i="15"/>
  <c r="AY35" i="15"/>
  <c r="AX35" i="15"/>
  <c r="AW35" i="15"/>
  <c r="AV35" i="15"/>
  <c r="AU35" i="15"/>
  <c r="AT35" i="15"/>
  <c r="AS35" i="15"/>
  <c r="AR35" i="15"/>
  <c r="AQ35" i="15"/>
  <c r="AP35" i="15"/>
  <c r="AO35" i="15"/>
  <c r="AN35" i="15"/>
  <c r="AM35" i="15"/>
  <c r="AL35" i="15"/>
  <c r="AK35" i="15"/>
  <c r="AJ35" i="15"/>
  <c r="AI35" i="15"/>
  <c r="AH35" i="15"/>
  <c r="AG35" i="15"/>
  <c r="AF35" i="15"/>
  <c r="AE35" i="15"/>
  <c r="AD35" i="15"/>
  <c r="AC35" i="15"/>
  <c r="AB35" i="15"/>
  <c r="AA35" i="15"/>
  <c r="Z35" i="15"/>
  <c r="Y35" i="15"/>
  <c r="X35" i="15"/>
  <c r="W35" i="15"/>
  <c r="V35" i="15"/>
  <c r="U35" i="15"/>
  <c r="T35" i="15"/>
  <c r="S35" i="15"/>
  <c r="R35" i="15"/>
  <c r="Q35" i="15"/>
  <c r="P35" i="15"/>
  <c r="O35" i="15"/>
  <c r="N35" i="15"/>
  <c r="M35" i="15"/>
  <c r="L35" i="15"/>
  <c r="K35" i="15"/>
  <c r="J35" i="15"/>
  <c r="I35" i="15"/>
  <c r="H35" i="15"/>
  <c r="G35" i="15"/>
  <c r="F35" i="15"/>
  <c r="E35" i="15"/>
  <c r="D35" i="15"/>
  <c r="C35" i="15"/>
  <c r="B35" i="15"/>
  <c r="BJ34" i="15"/>
  <c r="BI34" i="15"/>
  <c r="BH34" i="15"/>
  <c r="BG34" i="15"/>
  <c r="BF34" i="15"/>
  <c r="BE34" i="15"/>
  <c r="BD34" i="15"/>
  <c r="BC34" i="15"/>
  <c r="BB34" i="15"/>
  <c r="BA34" i="15"/>
  <c r="AZ34" i="15"/>
  <c r="AY34" i="15"/>
  <c r="AX34" i="15"/>
  <c r="AW34" i="15"/>
  <c r="AV34" i="15"/>
  <c r="AV42" i="15" s="1"/>
  <c r="AU34" i="15"/>
  <c r="AT34" i="15"/>
  <c r="AS34" i="15"/>
  <c r="AR34" i="15"/>
  <c r="AQ34" i="15"/>
  <c r="AP34" i="15"/>
  <c r="AO34" i="15"/>
  <c r="AN34" i="15"/>
  <c r="AM34" i="15"/>
  <c r="AL34" i="15"/>
  <c r="AK34" i="15"/>
  <c r="AJ34" i="15"/>
  <c r="AI34" i="15"/>
  <c r="AH34" i="15"/>
  <c r="AG34" i="15"/>
  <c r="AF34" i="15"/>
  <c r="AE34" i="15"/>
  <c r="AD34" i="15"/>
  <c r="AC34" i="15"/>
  <c r="AB34" i="15"/>
  <c r="AA34" i="15"/>
  <c r="Z34" i="15"/>
  <c r="Y34" i="15"/>
  <c r="X34" i="15"/>
  <c r="W34" i="15"/>
  <c r="V34" i="15"/>
  <c r="U34" i="15"/>
  <c r="T34" i="15"/>
  <c r="S34" i="15"/>
  <c r="R34" i="15"/>
  <c r="Q34" i="15"/>
  <c r="P34" i="15"/>
  <c r="O34" i="15"/>
  <c r="N34" i="15"/>
  <c r="M34" i="15"/>
  <c r="L34" i="15"/>
  <c r="K34" i="15"/>
  <c r="J34" i="15"/>
  <c r="I34" i="15"/>
  <c r="H34" i="15"/>
  <c r="G34" i="15"/>
  <c r="F34" i="15"/>
  <c r="E34" i="15"/>
  <c r="D34" i="15"/>
  <c r="C34" i="15"/>
  <c r="B34" i="15"/>
  <c r="BJ33" i="15"/>
  <c r="BI33" i="15"/>
  <c r="BH33" i="15"/>
  <c r="BG33" i="15"/>
  <c r="BF33" i="15"/>
  <c r="BE33" i="15"/>
  <c r="BD33" i="15"/>
  <c r="BC33" i="15"/>
  <c r="BB33" i="15"/>
  <c r="BA33" i="15"/>
  <c r="AZ33" i="15"/>
  <c r="AY33" i="15"/>
  <c r="AX33" i="15"/>
  <c r="AW33" i="15"/>
  <c r="AV33" i="15"/>
  <c r="AU33" i="15"/>
  <c r="AT33" i="15"/>
  <c r="AS33" i="15"/>
  <c r="AR33" i="15"/>
  <c r="AQ33" i="15"/>
  <c r="AP33" i="15"/>
  <c r="AO33" i="15"/>
  <c r="AN33" i="15"/>
  <c r="AM33" i="15"/>
  <c r="AL33" i="15"/>
  <c r="AK33" i="15"/>
  <c r="AJ33" i="15"/>
  <c r="AI33" i="15"/>
  <c r="AH33" i="15"/>
  <c r="AG33" i="15"/>
  <c r="AF33" i="15"/>
  <c r="AE33" i="15"/>
  <c r="AD33" i="15"/>
  <c r="AC33" i="15"/>
  <c r="AB33" i="15"/>
  <c r="AA33" i="15"/>
  <c r="Z33" i="15"/>
  <c r="Y33" i="15"/>
  <c r="X33" i="15"/>
  <c r="W33" i="15"/>
  <c r="V33" i="15"/>
  <c r="U33" i="15"/>
  <c r="T33" i="15"/>
  <c r="S33" i="15"/>
  <c r="R33" i="15"/>
  <c r="Q33" i="15"/>
  <c r="P33" i="15"/>
  <c r="O33" i="15"/>
  <c r="N33" i="15"/>
  <c r="M33" i="15"/>
  <c r="L33" i="15"/>
  <c r="K33" i="15"/>
  <c r="J33" i="15"/>
  <c r="I33" i="15"/>
  <c r="H33" i="15"/>
  <c r="G33" i="15"/>
  <c r="F33" i="15"/>
  <c r="E33" i="15"/>
  <c r="D33" i="15"/>
  <c r="C33" i="15"/>
  <c r="B33" i="15"/>
  <c r="BJ32" i="15"/>
  <c r="BI32" i="15"/>
  <c r="BH32" i="15"/>
  <c r="BG32" i="15"/>
  <c r="BF32" i="15"/>
  <c r="BE32" i="15"/>
  <c r="BD32" i="15"/>
  <c r="BC32" i="15"/>
  <c r="BB32" i="15"/>
  <c r="BA32" i="15"/>
  <c r="AZ32" i="15"/>
  <c r="AY32" i="15"/>
  <c r="AX32" i="15"/>
  <c r="AW32" i="15"/>
  <c r="AV32" i="15"/>
  <c r="AU32" i="15"/>
  <c r="AT32" i="15"/>
  <c r="AS32" i="15"/>
  <c r="AR32" i="15"/>
  <c r="AQ32" i="15"/>
  <c r="AP32" i="15"/>
  <c r="AO32" i="15"/>
  <c r="AN32" i="15"/>
  <c r="AM32" i="15"/>
  <c r="AL32" i="15"/>
  <c r="AK32" i="15"/>
  <c r="AJ32" i="15"/>
  <c r="AI32" i="15"/>
  <c r="AH32" i="15"/>
  <c r="AG32" i="15"/>
  <c r="AF32" i="15"/>
  <c r="AE32" i="15"/>
  <c r="AD32" i="15"/>
  <c r="AC32" i="15"/>
  <c r="AB32" i="15"/>
  <c r="AA32" i="15"/>
  <c r="Z32" i="15"/>
  <c r="Y32" i="15"/>
  <c r="X32" i="15"/>
  <c r="W32" i="15"/>
  <c r="V32" i="15"/>
  <c r="U32" i="15"/>
  <c r="T32" i="15"/>
  <c r="S32" i="15"/>
  <c r="R32" i="15"/>
  <c r="Q32" i="15"/>
  <c r="P32" i="15"/>
  <c r="O32" i="15"/>
  <c r="N32" i="15"/>
  <c r="M32" i="15"/>
  <c r="L32" i="15"/>
  <c r="K32" i="15"/>
  <c r="J32" i="15"/>
  <c r="J42" i="15" s="1"/>
  <c r="I32" i="15"/>
  <c r="H32" i="15"/>
  <c r="G32" i="15"/>
  <c r="F32" i="15"/>
  <c r="E32" i="15"/>
  <c r="D32" i="15"/>
  <c r="C32" i="15"/>
  <c r="B32" i="15"/>
  <c r="BJ31" i="15"/>
  <c r="BI31" i="15"/>
  <c r="BH31" i="15"/>
  <c r="BG31" i="15"/>
  <c r="BF31" i="15"/>
  <c r="BE31" i="15"/>
  <c r="BD31" i="15"/>
  <c r="BC31" i="15"/>
  <c r="BB31" i="15"/>
  <c r="BA31" i="15"/>
  <c r="AZ31" i="15"/>
  <c r="AY31" i="15"/>
  <c r="AX31" i="15"/>
  <c r="AW31" i="15"/>
  <c r="AV31" i="15"/>
  <c r="AU31" i="15"/>
  <c r="AT31" i="15"/>
  <c r="AS31" i="15"/>
  <c r="AR31" i="15"/>
  <c r="AQ31" i="15"/>
  <c r="AQ42" i="15" s="1"/>
  <c r="AP31" i="15"/>
  <c r="AO31" i="15"/>
  <c r="AN31" i="15"/>
  <c r="AM31" i="15"/>
  <c r="AL31" i="15"/>
  <c r="AK31" i="15"/>
  <c r="AJ31" i="15"/>
  <c r="AI31" i="15"/>
  <c r="AH31" i="15"/>
  <c r="AG31" i="15"/>
  <c r="AF31" i="15"/>
  <c r="AE31" i="15"/>
  <c r="AD31" i="15"/>
  <c r="AC31" i="15"/>
  <c r="AB31" i="15"/>
  <c r="AA31" i="15"/>
  <c r="AA42" i="15" s="1"/>
  <c r="AA43" i="15" s="1"/>
  <c r="Z31" i="15"/>
  <c r="Y31" i="15"/>
  <c r="X31" i="15"/>
  <c r="W31" i="15"/>
  <c r="V31" i="15"/>
  <c r="U31" i="15"/>
  <c r="T31" i="15"/>
  <c r="S31" i="15"/>
  <c r="S42" i="15" s="1"/>
  <c r="R31" i="15"/>
  <c r="Q31" i="15"/>
  <c r="P31" i="15"/>
  <c r="O31" i="15"/>
  <c r="N31" i="15"/>
  <c r="M31" i="15"/>
  <c r="L31" i="15"/>
  <c r="K31" i="15"/>
  <c r="J31" i="15"/>
  <c r="I31" i="15"/>
  <c r="H31" i="15"/>
  <c r="G31" i="15"/>
  <c r="F31" i="15"/>
  <c r="E31" i="15"/>
  <c r="D31" i="15"/>
  <c r="C31" i="15"/>
  <c r="B31" i="15"/>
  <c r="BJ30" i="15"/>
  <c r="BI30" i="15"/>
  <c r="BH30" i="15"/>
  <c r="BG30" i="15"/>
  <c r="BF30" i="15"/>
  <c r="BE30" i="15"/>
  <c r="BD30" i="15"/>
  <c r="BC30" i="15"/>
  <c r="BC42" i="15" s="1"/>
  <c r="BB30" i="15"/>
  <c r="BA30" i="15"/>
  <c r="AZ30" i="15"/>
  <c r="AY30" i="15"/>
  <c r="AX30" i="15"/>
  <c r="AW30" i="15"/>
  <c r="AV30" i="15"/>
  <c r="AU30" i="15"/>
  <c r="AU42" i="15" s="1"/>
  <c r="AT30" i="15"/>
  <c r="AS30" i="15"/>
  <c r="AR30" i="15"/>
  <c r="AQ30" i="15"/>
  <c r="AP30" i="15"/>
  <c r="AO30" i="15"/>
  <c r="AN30" i="15"/>
  <c r="AM30" i="15"/>
  <c r="AL30" i="15"/>
  <c r="AK30" i="15"/>
  <c r="AJ30" i="15"/>
  <c r="AI30" i="15"/>
  <c r="AH30" i="15"/>
  <c r="AG30" i="15"/>
  <c r="AF30" i="15"/>
  <c r="AE30" i="15"/>
  <c r="AD30" i="15"/>
  <c r="AC30" i="15"/>
  <c r="AB30" i="15"/>
  <c r="AB42" i="15" s="1"/>
  <c r="AA30" i="15"/>
  <c r="Z30" i="15"/>
  <c r="Y30" i="15"/>
  <c r="X30" i="15"/>
  <c r="X42" i="15" s="1"/>
  <c r="W30" i="15"/>
  <c r="V30" i="15"/>
  <c r="U30" i="15"/>
  <c r="T30" i="15"/>
  <c r="S30" i="15"/>
  <c r="R30" i="15"/>
  <c r="Q30" i="15"/>
  <c r="P30" i="15"/>
  <c r="P42" i="15" s="1"/>
  <c r="O30" i="15"/>
  <c r="O42" i="15" s="1"/>
  <c r="O43" i="15" s="1"/>
  <c r="P43" i="15" s="1"/>
  <c r="N30" i="15"/>
  <c r="M30" i="15"/>
  <c r="L30" i="15"/>
  <c r="K30" i="15"/>
  <c r="J30" i="15"/>
  <c r="I30" i="15"/>
  <c r="H30" i="15"/>
  <c r="G30" i="15"/>
  <c r="G42" i="15" s="1"/>
  <c r="F30" i="15"/>
  <c r="E30" i="15"/>
  <c r="D30" i="15"/>
  <c r="C30" i="15"/>
  <c r="B30" i="15"/>
  <c r="BJ29" i="15"/>
  <c r="BI29" i="15"/>
  <c r="BH29" i="15"/>
  <c r="BG29" i="15"/>
  <c r="BF29" i="15"/>
  <c r="BF42" i="15" s="1"/>
  <c r="BE29" i="15"/>
  <c r="BE42" i="15" s="1"/>
  <c r="BD29" i="15"/>
  <c r="BC29" i="15"/>
  <c r="BB29" i="15"/>
  <c r="BA29" i="15"/>
  <c r="AZ29" i="15"/>
  <c r="AZ42" i="15" s="1"/>
  <c r="AY29" i="15"/>
  <c r="AX29" i="15"/>
  <c r="AW29" i="15"/>
  <c r="AW42" i="15" s="1"/>
  <c r="AV29" i="15"/>
  <c r="AU29" i="15"/>
  <c r="AT29" i="15"/>
  <c r="AS29" i="15"/>
  <c r="AR29" i="15"/>
  <c r="AQ29" i="15"/>
  <c r="AP29" i="15"/>
  <c r="AP42" i="15" s="1"/>
  <c r="AO29" i="15"/>
  <c r="AO42" i="15" s="1"/>
  <c r="AN29" i="15"/>
  <c r="AM29" i="15"/>
  <c r="AL29" i="15"/>
  <c r="AK29" i="15"/>
  <c r="AK42" i="15" s="1"/>
  <c r="AJ29" i="15"/>
  <c r="AJ42" i="15" s="1"/>
  <c r="AI29" i="15"/>
  <c r="AH29" i="15"/>
  <c r="AH42" i="15" s="1"/>
  <c r="AG29" i="15"/>
  <c r="AG42" i="15" s="1"/>
  <c r="AF29" i="15"/>
  <c r="AE29" i="15"/>
  <c r="AD29" i="15"/>
  <c r="AC29" i="15"/>
  <c r="AB29" i="15"/>
  <c r="AA29" i="15"/>
  <c r="Z29" i="15"/>
  <c r="Y29" i="15"/>
  <c r="Y42" i="15" s="1"/>
  <c r="X29" i="15"/>
  <c r="W29" i="15"/>
  <c r="V29" i="15"/>
  <c r="U29" i="15"/>
  <c r="T29" i="15"/>
  <c r="S29" i="15"/>
  <c r="R29" i="15"/>
  <c r="R42" i="15" s="1"/>
  <c r="Q29" i="15"/>
  <c r="Q42" i="15" s="1"/>
  <c r="P29" i="15"/>
  <c r="O29" i="15"/>
  <c r="N29" i="15"/>
  <c r="M29" i="15"/>
  <c r="L29" i="15"/>
  <c r="K29" i="15"/>
  <c r="J29" i="15"/>
  <c r="I29" i="15"/>
  <c r="I42" i="15" s="1"/>
  <c r="H29" i="15"/>
  <c r="G29" i="15"/>
  <c r="F29" i="15"/>
  <c r="F42" i="15" s="1"/>
  <c r="E29" i="15"/>
  <c r="D29" i="15"/>
  <c r="C29" i="15"/>
  <c r="B29" i="15"/>
  <c r="C28" i="15"/>
  <c r="D28" i="15" s="1"/>
  <c r="E28" i="15" s="1"/>
  <c r="F28" i="15" s="1"/>
  <c r="G28" i="15" s="1"/>
  <c r="H28" i="15" s="1"/>
  <c r="I28" i="15" s="1"/>
  <c r="J28" i="15" s="1"/>
  <c r="K28" i="15" s="1"/>
  <c r="L28" i="15" s="1"/>
  <c r="M28" i="15" s="1"/>
  <c r="N28" i="15" s="1"/>
  <c r="O28" i="15" s="1"/>
  <c r="P28" i="15" s="1"/>
  <c r="Q28" i="15" s="1"/>
  <c r="R28" i="15" s="1"/>
  <c r="S28" i="15" s="1"/>
  <c r="T28" i="15" s="1"/>
  <c r="U28" i="15" s="1"/>
  <c r="V28" i="15" s="1"/>
  <c r="W28" i="15" s="1"/>
  <c r="X28" i="15" s="1"/>
  <c r="Y28" i="15" s="1"/>
  <c r="Z28" i="15" s="1"/>
  <c r="AA28" i="15" s="1"/>
  <c r="AB28" i="15" s="1"/>
  <c r="AC28" i="15" s="1"/>
  <c r="AD28" i="15" s="1"/>
  <c r="AE28" i="15" s="1"/>
  <c r="AF28" i="15" s="1"/>
  <c r="AG28" i="15" s="1"/>
  <c r="AH28" i="15" s="1"/>
  <c r="AI28" i="15" s="1"/>
  <c r="AJ28" i="15" s="1"/>
  <c r="AK28" i="15" s="1"/>
  <c r="AL28" i="15" s="1"/>
  <c r="AM28" i="15" s="1"/>
  <c r="AN28" i="15" s="1"/>
  <c r="AO28" i="15" s="1"/>
  <c r="AP28" i="15" s="1"/>
  <c r="AQ28" i="15" s="1"/>
  <c r="AR28" i="15" s="1"/>
  <c r="AS28" i="15" s="1"/>
  <c r="AT28" i="15" s="1"/>
  <c r="AU28" i="15" s="1"/>
  <c r="AV28" i="15" s="1"/>
  <c r="AW28" i="15" s="1"/>
  <c r="AX28" i="15" s="1"/>
  <c r="AY28" i="15" s="1"/>
  <c r="AZ28" i="15" s="1"/>
  <c r="BA28" i="15" s="1"/>
  <c r="BB28" i="15" s="1"/>
  <c r="BC28" i="15" s="1"/>
  <c r="BD28" i="15" s="1"/>
  <c r="BE28" i="15" s="1"/>
  <c r="BF28" i="15" s="1"/>
  <c r="BG28" i="15" s="1"/>
  <c r="BH28" i="15" s="1"/>
  <c r="BI28" i="15" s="1"/>
  <c r="BJ28" i="15" s="1"/>
  <c r="B20" i="15"/>
  <c r="B19" i="15"/>
  <c r="B18" i="15"/>
  <c r="B17" i="15"/>
  <c r="B16" i="15"/>
  <c r="B15" i="15"/>
  <c r="B14" i="15"/>
  <c r="B13" i="15"/>
  <c r="B12" i="15"/>
  <c r="B11" i="15"/>
  <c r="B10" i="15"/>
  <c r="B9" i="15"/>
  <c r="D8" i="15"/>
  <c r="C8" i="15"/>
  <c r="G27" i="14"/>
  <c r="F27" i="14"/>
  <c r="E27" i="14"/>
  <c r="D27" i="14"/>
  <c r="C27" i="14"/>
  <c r="G26" i="14"/>
  <c r="F26" i="14"/>
  <c r="E26" i="14"/>
  <c r="D26" i="14"/>
  <c r="C26" i="14"/>
  <c r="G22" i="14"/>
  <c r="F22" i="14"/>
  <c r="E22" i="14"/>
  <c r="D22" i="14"/>
  <c r="C22" i="14"/>
  <c r="G21" i="14"/>
  <c r="F21" i="14"/>
  <c r="E21" i="14"/>
  <c r="D21" i="14"/>
  <c r="C21" i="14"/>
  <c r="P49" i="11"/>
  <c r="O49" i="11"/>
  <c r="N49" i="11"/>
  <c r="M49" i="11"/>
  <c r="L49" i="11"/>
  <c r="K49" i="11"/>
  <c r="J49" i="11"/>
  <c r="I49" i="11"/>
  <c r="H49" i="11"/>
  <c r="G49" i="11"/>
  <c r="F49" i="11"/>
  <c r="E49" i="11"/>
  <c r="E45" i="11"/>
  <c r="F45" i="11" s="1"/>
  <c r="G45" i="11" s="1"/>
  <c r="E37" i="11"/>
  <c r="F37" i="11" s="1"/>
  <c r="G37" i="11" s="1"/>
  <c r="E29" i="11"/>
  <c r="F29" i="11" s="1"/>
  <c r="G29" i="11" s="1"/>
  <c r="E21" i="11"/>
  <c r="F21" i="11" s="1"/>
  <c r="G21" i="11" s="1"/>
  <c r="L17" i="11"/>
  <c r="K17" i="11"/>
  <c r="I17" i="11"/>
  <c r="H17" i="11"/>
  <c r="E13" i="11"/>
  <c r="F13" i="11" s="1"/>
  <c r="G13" i="11" s="1"/>
  <c r="F10" i="11"/>
  <c r="E10" i="11"/>
  <c r="E7" i="11"/>
  <c r="F7" i="11" s="1"/>
  <c r="G7" i="11" s="1"/>
  <c r="H7" i="11" s="1"/>
  <c r="I7" i="11" s="1"/>
  <c r="J7" i="11" s="1"/>
  <c r="K7" i="11" s="1"/>
  <c r="L7" i="11" s="1"/>
  <c r="M7" i="11" s="1"/>
  <c r="N7" i="11" s="1"/>
  <c r="O7" i="11" s="1"/>
  <c r="P7" i="11" s="1"/>
  <c r="B67" i="10"/>
  <c r="B66" i="10"/>
  <c r="B65" i="10"/>
  <c r="B64" i="10"/>
  <c r="BJ63" i="10"/>
  <c r="BI63" i="10"/>
  <c r="BH63" i="10"/>
  <c r="BG63" i="10"/>
  <c r="BF63" i="10"/>
  <c r="BE63" i="10"/>
  <c r="BD63" i="10"/>
  <c r="BC63" i="10"/>
  <c r="BB63" i="10"/>
  <c r="BA63" i="10"/>
  <c r="AZ63" i="10"/>
  <c r="AY63" i="10"/>
  <c r="AX63" i="10"/>
  <c r="AW63" i="10"/>
  <c r="AV63" i="10"/>
  <c r="AU63" i="10"/>
  <c r="AT63" i="10"/>
  <c r="AS63" i="10"/>
  <c r="AR63" i="10"/>
  <c r="AQ63" i="10"/>
  <c r="AP63" i="10"/>
  <c r="AO63" i="10"/>
  <c r="AN63" i="10"/>
  <c r="AM63" i="10"/>
  <c r="AL63" i="10"/>
  <c r="AK63" i="10"/>
  <c r="AJ63" i="10"/>
  <c r="AI63" i="10"/>
  <c r="AH63" i="10"/>
  <c r="AG63" i="10"/>
  <c r="AF63" i="10"/>
  <c r="AE63" i="10"/>
  <c r="AD63" i="10"/>
  <c r="AC63" i="10"/>
  <c r="AB63" i="10"/>
  <c r="AA63" i="10"/>
  <c r="Z63" i="10"/>
  <c r="Y63" i="10"/>
  <c r="X63" i="10"/>
  <c r="W63" i="10"/>
  <c r="V63" i="10"/>
  <c r="U63" i="10"/>
  <c r="T63" i="10"/>
  <c r="S63" i="10"/>
  <c r="R63" i="10"/>
  <c r="Q63" i="10"/>
  <c r="P63" i="10"/>
  <c r="O63" i="10"/>
  <c r="N63" i="10"/>
  <c r="M63" i="10"/>
  <c r="L63" i="10"/>
  <c r="K63" i="10"/>
  <c r="J63" i="10"/>
  <c r="I63" i="10"/>
  <c r="H63" i="10"/>
  <c r="G63" i="10"/>
  <c r="F63" i="10"/>
  <c r="E63" i="10"/>
  <c r="D63" i="10"/>
  <c r="C63" i="10"/>
  <c r="B62" i="10"/>
  <c r="B61" i="10"/>
  <c r="B60" i="10"/>
  <c r="B59" i="10"/>
  <c r="BJ58" i="10"/>
  <c r="BI58" i="10"/>
  <c r="BH58" i="10"/>
  <c r="BG58" i="10"/>
  <c r="BF58" i="10"/>
  <c r="BE58" i="10"/>
  <c r="BD58" i="10"/>
  <c r="BC58" i="10"/>
  <c r="BB58" i="10"/>
  <c r="BA58" i="10"/>
  <c r="AZ58" i="10"/>
  <c r="AY58" i="10"/>
  <c r="AX58" i="10"/>
  <c r="AW58" i="10"/>
  <c r="AV58" i="10"/>
  <c r="AU58" i="10"/>
  <c r="AT58" i="10"/>
  <c r="AS58" i="10"/>
  <c r="AR58" i="10"/>
  <c r="AQ58" i="10"/>
  <c r="AP58" i="10"/>
  <c r="AO58" i="10"/>
  <c r="AN58" i="10"/>
  <c r="AM58" i="10"/>
  <c r="AL58" i="10"/>
  <c r="AK58" i="10"/>
  <c r="AJ58" i="10"/>
  <c r="AI58" i="10"/>
  <c r="AH58" i="10"/>
  <c r="AG58" i="10"/>
  <c r="AF58" i="10"/>
  <c r="AE58" i="10"/>
  <c r="AD58" i="10"/>
  <c r="AC58" i="10"/>
  <c r="AB58" i="10"/>
  <c r="AA58" i="10"/>
  <c r="Z58" i="10"/>
  <c r="Y58" i="10"/>
  <c r="X58" i="10"/>
  <c r="W58" i="10"/>
  <c r="V58" i="10"/>
  <c r="U58" i="10"/>
  <c r="T58" i="10"/>
  <c r="S58" i="10"/>
  <c r="R58" i="10"/>
  <c r="Q58" i="10"/>
  <c r="P58" i="10"/>
  <c r="O58" i="10"/>
  <c r="N58" i="10"/>
  <c r="M58" i="10"/>
  <c r="L58" i="10"/>
  <c r="K58" i="10"/>
  <c r="J58" i="10"/>
  <c r="I58" i="10"/>
  <c r="H58" i="10"/>
  <c r="G58" i="10"/>
  <c r="F58" i="10"/>
  <c r="E58" i="10"/>
  <c r="D58" i="10"/>
  <c r="C58" i="10"/>
  <c r="C57" i="10"/>
  <c r="C56" i="10"/>
  <c r="BE55" i="10"/>
  <c r="BE54" i="10" s="1"/>
  <c r="AY55" i="10"/>
  <c r="AS55" i="10"/>
  <c r="AM55" i="10"/>
  <c r="F28" i="14" s="1"/>
  <c r="F13" i="14" s="1"/>
  <c r="AG55" i="10"/>
  <c r="AA55" i="10"/>
  <c r="E28" i="14" s="1"/>
  <c r="E13" i="14" s="1"/>
  <c r="Z55" i="10"/>
  <c r="Y55" i="10"/>
  <c r="X55" i="10"/>
  <c r="W55" i="10"/>
  <c r="V55" i="10"/>
  <c r="U55" i="10"/>
  <c r="T55" i="10"/>
  <c r="S55" i="10"/>
  <c r="R55" i="10"/>
  <c r="Q55" i="10"/>
  <c r="P55" i="10"/>
  <c r="P54" i="10" s="1"/>
  <c r="O55" i="10"/>
  <c r="N55" i="10"/>
  <c r="M55" i="10"/>
  <c r="L55" i="10"/>
  <c r="K55" i="10"/>
  <c r="J55" i="10"/>
  <c r="I55" i="10"/>
  <c r="H55" i="10"/>
  <c r="H54" i="10" s="1"/>
  <c r="G55" i="10"/>
  <c r="F55" i="10"/>
  <c r="E55" i="10"/>
  <c r="D55" i="10"/>
  <c r="AY54" i="10"/>
  <c r="AS54" i="10"/>
  <c r="X54" i="10"/>
  <c r="W54" i="10"/>
  <c r="O54" i="10"/>
  <c r="BJ34" i="10"/>
  <c r="BI34" i="10"/>
  <c r="BH34" i="10"/>
  <c r="BG34" i="10"/>
  <c r="BF34" i="10"/>
  <c r="BE34" i="10"/>
  <c r="BD34" i="10"/>
  <c r="BC34" i="10"/>
  <c r="BB34" i="10"/>
  <c r="BA34" i="10"/>
  <c r="AZ34" i="10"/>
  <c r="AY34" i="10"/>
  <c r="AX34" i="10"/>
  <c r="AW34" i="10"/>
  <c r="AV34" i="10"/>
  <c r="AU34" i="10"/>
  <c r="AT34" i="10"/>
  <c r="AS34" i="10"/>
  <c r="AR34" i="10"/>
  <c r="AQ34" i="10"/>
  <c r="AP34" i="10"/>
  <c r="AO34"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D34" i="10"/>
  <c r="C34" i="10"/>
  <c r="C29" i="14" s="1"/>
  <c r="BJ29" i="10"/>
  <c r="BI29" i="10"/>
  <c r="BH29" i="10"/>
  <c r="BG29" i="10"/>
  <c r="BF29" i="10"/>
  <c r="BE29" i="10"/>
  <c r="BD29" i="10"/>
  <c r="BC29" i="10"/>
  <c r="BB29" i="10"/>
  <c r="BA29" i="10"/>
  <c r="AZ29" i="10"/>
  <c r="AY29" i="10"/>
  <c r="AX29" i="10"/>
  <c r="AW29" i="10"/>
  <c r="AV29" i="10"/>
  <c r="AU29" i="10"/>
  <c r="AT29" i="10"/>
  <c r="AS29" i="10"/>
  <c r="AR29" i="10"/>
  <c r="AQ29" i="10"/>
  <c r="AP29"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D24" i="14" s="1"/>
  <c r="N29" i="10"/>
  <c r="M29" i="10"/>
  <c r="L29" i="10"/>
  <c r="K29" i="10"/>
  <c r="J29" i="10"/>
  <c r="I29" i="10"/>
  <c r="H29" i="10"/>
  <c r="G29" i="10"/>
  <c r="F29" i="10"/>
  <c r="E29" i="10"/>
  <c r="D29" i="10"/>
  <c r="C29" i="10"/>
  <c r="BJ24" i="10"/>
  <c r="BI24" i="10"/>
  <c r="BH24" i="10"/>
  <c r="BG24" i="10"/>
  <c r="BF24" i="10"/>
  <c r="BE24" i="10"/>
  <c r="BD24" i="10"/>
  <c r="BC24" i="10"/>
  <c r="BB24" i="10"/>
  <c r="BA24" i="10"/>
  <c r="AZ24" i="10"/>
  <c r="AY24" i="10"/>
  <c r="AX24"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E20" i="13" s="1"/>
  <c r="E30" i="14" s="1"/>
  <c r="Z24" i="10"/>
  <c r="Y24" i="10"/>
  <c r="X24" i="10"/>
  <c r="W24" i="10"/>
  <c r="V24" i="10"/>
  <c r="U24" i="10"/>
  <c r="T24" i="10"/>
  <c r="S24" i="10"/>
  <c r="R24" i="10"/>
  <c r="Q24" i="10"/>
  <c r="P24" i="10"/>
  <c r="O24" i="10"/>
  <c r="N24" i="10"/>
  <c r="M24" i="10"/>
  <c r="L24" i="10"/>
  <c r="K24" i="10"/>
  <c r="J24" i="10"/>
  <c r="I24" i="10"/>
  <c r="H24" i="10"/>
  <c r="G24" i="10"/>
  <c r="F24" i="10"/>
  <c r="E24" i="10"/>
  <c r="D24" i="10"/>
  <c r="C24" i="10"/>
  <c r="E8" i="10"/>
  <c r="F8" i="10" s="1"/>
  <c r="G8" i="10" s="1"/>
  <c r="H8" i="10" s="1"/>
  <c r="I8" i="10" s="1"/>
  <c r="J8" i="10" s="1"/>
  <c r="K8" i="10" s="1"/>
  <c r="L8" i="10" s="1"/>
  <c r="M8" i="10" s="1"/>
  <c r="N8" i="10" s="1"/>
  <c r="O8" i="10" s="1"/>
  <c r="P8" i="10" s="1"/>
  <c r="Q8" i="10" s="1"/>
  <c r="R8" i="10" s="1"/>
  <c r="S8" i="10" s="1"/>
  <c r="T8" i="10" s="1"/>
  <c r="U8" i="10" s="1"/>
  <c r="V8" i="10" s="1"/>
  <c r="W8" i="10" s="1"/>
  <c r="X8" i="10" s="1"/>
  <c r="Y8" i="10" s="1"/>
  <c r="Z8" i="10" s="1"/>
  <c r="AA8" i="10" s="1"/>
  <c r="AB8" i="10" s="1"/>
  <c r="AC8" i="10" s="1"/>
  <c r="AD8" i="10" s="1"/>
  <c r="AE8" i="10" s="1"/>
  <c r="AF8" i="10" s="1"/>
  <c r="AG8" i="10" s="1"/>
  <c r="AH8" i="10" s="1"/>
  <c r="AI8" i="10" s="1"/>
  <c r="AJ8" i="10" s="1"/>
  <c r="AK8" i="10" s="1"/>
  <c r="AL8" i="10" s="1"/>
  <c r="AM8" i="10" s="1"/>
  <c r="AN8" i="10" s="1"/>
  <c r="AO8" i="10" s="1"/>
  <c r="AP8" i="10" s="1"/>
  <c r="AQ8" i="10" s="1"/>
  <c r="AR8" i="10" s="1"/>
  <c r="AS8" i="10" s="1"/>
  <c r="AT8" i="10" s="1"/>
  <c r="AU8" i="10" s="1"/>
  <c r="AV8" i="10" s="1"/>
  <c r="AW8" i="10" s="1"/>
  <c r="AX8" i="10" s="1"/>
  <c r="AY8" i="10" s="1"/>
  <c r="AZ8" i="10" s="1"/>
  <c r="BA8" i="10" s="1"/>
  <c r="BB8" i="10" s="1"/>
  <c r="BC8" i="10" s="1"/>
  <c r="BD8" i="10" s="1"/>
  <c r="BE8" i="10" s="1"/>
  <c r="BF8" i="10" s="1"/>
  <c r="BG8" i="10" s="1"/>
  <c r="BH8" i="10" s="1"/>
  <c r="BI8" i="10" s="1"/>
  <c r="BJ8" i="10" s="1"/>
  <c r="C8" i="10"/>
  <c r="D8" i="10" s="1"/>
  <c r="B20" i="9"/>
  <c r="B19" i="9"/>
  <c r="B18" i="9"/>
  <c r="B17" i="9"/>
  <c r="B16" i="9"/>
  <c r="B15" i="9"/>
  <c r="B14" i="9"/>
  <c r="B13" i="9"/>
  <c r="B12" i="9"/>
  <c r="B11" i="9"/>
  <c r="B10" i="9"/>
  <c r="B9" i="9"/>
  <c r="AM8" i="9"/>
  <c r="AN8" i="9" s="1"/>
  <c r="AO8" i="9" s="1"/>
  <c r="AP8" i="9" s="1"/>
  <c r="AQ8" i="9" s="1"/>
  <c r="AR8" i="9" s="1"/>
  <c r="AS8" i="9" s="1"/>
  <c r="AT8" i="9" s="1"/>
  <c r="AU8" i="9" s="1"/>
  <c r="AV8" i="9" s="1"/>
  <c r="AW8" i="9" s="1"/>
  <c r="AX8" i="9" s="1"/>
  <c r="AY8" i="9" s="1"/>
  <c r="AZ8" i="9" s="1"/>
  <c r="BA8" i="9" s="1"/>
  <c r="BB8" i="9" s="1"/>
  <c r="BC8" i="9" s="1"/>
  <c r="BD8" i="9" s="1"/>
  <c r="BE8" i="9" s="1"/>
  <c r="BF8" i="9" s="1"/>
  <c r="BG8" i="9" s="1"/>
  <c r="BH8" i="9" s="1"/>
  <c r="BI8" i="9" s="1"/>
  <c r="BJ8" i="9" s="1"/>
  <c r="V8" i="9"/>
  <c r="W8" i="9" s="1"/>
  <c r="X8" i="9" s="1"/>
  <c r="Y8" i="9" s="1"/>
  <c r="Z8" i="9" s="1"/>
  <c r="AA8" i="9" s="1"/>
  <c r="AB8" i="9" s="1"/>
  <c r="AC8" i="9" s="1"/>
  <c r="AD8" i="9" s="1"/>
  <c r="AE8" i="9" s="1"/>
  <c r="AF8" i="9" s="1"/>
  <c r="AG8" i="9" s="1"/>
  <c r="AH8" i="9" s="1"/>
  <c r="AI8" i="9" s="1"/>
  <c r="AJ8" i="9" s="1"/>
  <c r="AK8" i="9" s="1"/>
  <c r="AL8" i="9" s="1"/>
  <c r="G8" i="9"/>
  <c r="H8" i="9" s="1"/>
  <c r="I8" i="9" s="1"/>
  <c r="J8" i="9" s="1"/>
  <c r="K8" i="9" s="1"/>
  <c r="L8" i="9" s="1"/>
  <c r="M8" i="9" s="1"/>
  <c r="N8" i="9" s="1"/>
  <c r="O8" i="9" s="1"/>
  <c r="P8" i="9" s="1"/>
  <c r="Q8" i="9" s="1"/>
  <c r="R8" i="9" s="1"/>
  <c r="S8" i="9" s="1"/>
  <c r="T8" i="9" s="1"/>
  <c r="U8" i="9" s="1"/>
  <c r="C8" i="9"/>
  <c r="D8" i="9" s="1"/>
  <c r="E8" i="9" s="1"/>
  <c r="F8" i="9" s="1"/>
  <c r="AJ28" i="8"/>
  <c r="AI28" i="8"/>
  <c r="AG28" i="8"/>
  <c r="AF28" i="8"/>
  <c r="AD28" i="8"/>
  <c r="AC28" i="8"/>
  <c r="AA28" i="8"/>
  <c r="Z28" i="8"/>
  <c r="Y28" i="8"/>
  <c r="X28" i="8"/>
  <c r="W28" i="8"/>
  <c r="V28" i="8"/>
  <c r="U28" i="8"/>
  <c r="T28" i="8"/>
  <c r="S28" i="8"/>
  <c r="R28" i="8"/>
  <c r="Q28" i="8"/>
  <c r="P28" i="8"/>
  <c r="N28" i="8"/>
  <c r="M28" i="8"/>
  <c r="L28" i="8"/>
  <c r="L54" i="10" s="1"/>
  <c r="K28" i="8"/>
  <c r="J28" i="8"/>
  <c r="I28" i="8"/>
  <c r="H28" i="8"/>
  <c r="G28" i="8"/>
  <c r="F28" i="8"/>
  <c r="E28" i="8"/>
  <c r="D28" i="8"/>
  <c r="D54" i="10" s="1"/>
  <c r="C28" i="8"/>
  <c r="AR27" i="8"/>
  <c r="AQ27" i="8"/>
  <c r="AP27" i="8"/>
  <c r="AO27" i="8"/>
  <c r="AN27" i="8"/>
  <c r="AK27" i="8"/>
  <c r="AH27" i="8"/>
  <c r="AE27" i="8"/>
  <c r="AB27" i="8"/>
  <c r="O27" i="8"/>
  <c r="AR26" i="8"/>
  <c r="AQ26" i="8"/>
  <c r="AP26" i="8"/>
  <c r="AO26" i="8"/>
  <c r="AN26" i="8"/>
  <c r="AK26" i="8"/>
  <c r="AH26" i="8"/>
  <c r="AE26" i="8"/>
  <c r="AB26" i="8"/>
  <c r="O26" i="8"/>
  <c r="AR25" i="8"/>
  <c r="AQ25" i="8"/>
  <c r="AP25" i="8"/>
  <c r="AO25" i="8"/>
  <c r="AN25" i="8"/>
  <c r="AK25" i="8"/>
  <c r="AH25" i="8"/>
  <c r="AE25" i="8"/>
  <c r="AB25" i="8"/>
  <c r="O25" i="8"/>
  <c r="AR24" i="8"/>
  <c r="AQ24" i="8"/>
  <c r="AP24" i="8"/>
  <c r="AO24" i="8"/>
  <c r="AN24" i="8"/>
  <c r="AK24" i="8"/>
  <c r="AH24" i="8"/>
  <c r="AE24" i="8"/>
  <c r="AB24" i="8"/>
  <c r="O24" i="8"/>
  <c r="AR23" i="8"/>
  <c r="AQ23" i="8"/>
  <c r="AP23" i="8"/>
  <c r="AO23" i="8"/>
  <c r="AN23" i="8"/>
  <c r="AK23" i="8"/>
  <c r="AH23" i="8"/>
  <c r="AE23" i="8"/>
  <c r="AB23" i="8"/>
  <c r="O23" i="8"/>
  <c r="AR22" i="8"/>
  <c r="AQ22" i="8"/>
  <c r="AP22" i="8"/>
  <c r="AO22" i="8"/>
  <c r="AN22" i="8"/>
  <c r="AK22" i="8"/>
  <c r="AH22" i="8"/>
  <c r="AE22" i="8"/>
  <c r="AB22" i="8"/>
  <c r="O22" i="8"/>
  <c r="AR21" i="8"/>
  <c r="AQ21" i="8"/>
  <c r="AP21" i="8"/>
  <c r="AO21" i="8"/>
  <c r="AN21" i="8"/>
  <c r="AK21" i="8"/>
  <c r="AH21" i="8"/>
  <c r="AE21" i="8"/>
  <c r="AB21" i="8"/>
  <c r="O21" i="8"/>
  <c r="AR20" i="8"/>
  <c r="AQ20" i="8"/>
  <c r="AP20" i="8"/>
  <c r="AO20" i="8"/>
  <c r="AN20" i="8"/>
  <c r="AK20" i="8"/>
  <c r="AH20" i="8"/>
  <c r="AE20" i="8"/>
  <c r="AB20" i="8"/>
  <c r="O20" i="8"/>
  <c r="AR19" i="8"/>
  <c r="AQ19" i="8"/>
  <c r="AP19" i="8"/>
  <c r="AO19" i="8"/>
  <c r="AN19" i="8"/>
  <c r="AK19" i="8"/>
  <c r="AH19" i="8"/>
  <c r="AE19" i="8"/>
  <c r="AB19" i="8"/>
  <c r="O19" i="8"/>
  <c r="AR18" i="8"/>
  <c r="AQ18" i="8"/>
  <c r="AP18" i="8"/>
  <c r="AO18" i="8"/>
  <c r="AN18" i="8"/>
  <c r="AK18" i="8"/>
  <c r="AH18" i="8"/>
  <c r="AE18" i="8"/>
  <c r="AB18" i="8"/>
  <c r="O18" i="8"/>
  <c r="AR17" i="8"/>
  <c r="AQ17" i="8"/>
  <c r="AP17" i="8"/>
  <c r="AO17" i="8"/>
  <c r="AN17" i="8"/>
  <c r="AK17" i="8"/>
  <c r="AH17" i="8"/>
  <c r="AE17" i="8"/>
  <c r="AB17" i="8"/>
  <c r="O17" i="8"/>
  <c r="O28" i="8" s="1"/>
  <c r="AR16" i="8"/>
  <c r="AQ16" i="8"/>
  <c r="AP16" i="8"/>
  <c r="AO16" i="8"/>
  <c r="AN16" i="8"/>
  <c r="AK16" i="8"/>
  <c r="AH16" i="8"/>
  <c r="AE16" i="8"/>
  <c r="AB16" i="8"/>
  <c r="O16" i="8"/>
  <c r="AO15" i="8"/>
  <c r="AN15" i="8"/>
  <c r="AK15" i="8"/>
  <c r="AR15" i="8" s="1"/>
  <c r="AH15" i="8"/>
  <c r="AE15" i="8"/>
  <c r="AB15" i="8"/>
  <c r="O15" i="8"/>
  <c r="AP15" i="8" s="1"/>
  <c r="AO14" i="8"/>
  <c r="AK14" i="8"/>
  <c r="AH14" i="8"/>
  <c r="AE14" i="8"/>
  <c r="AB14" i="8"/>
  <c r="O14" i="8"/>
  <c r="AN14" i="8" s="1"/>
  <c r="AR13" i="8"/>
  <c r="AQ13" i="8"/>
  <c r="AP13" i="8"/>
  <c r="AO13" i="8"/>
  <c r="AN13" i="8"/>
  <c r="AK13" i="8"/>
  <c r="AH13" i="8"/>
  <c r="AE13" i="8"/>
  <c r="AB13" i="8"/>
  <c r="O13" i="8"/>
  <c r="AO12" i="8"/>
  <c r="AN12" i="8"/>
  <c r="AK12" i="8"/>
  <c r="AH12" i="8"/>
  <c r="AQ12" i="8" s="1"/>
  <c r="AE12" i="8"/>
  <c r="AP12" i="8" s="1"/>
  <c r="AB12" i="8"/>
  <c r="O12" i="8"/>
  <c r="AQ11" i="8"/>
  <c r="AP11" i="8"/>
  <c r="AO11" i="8"/>
  <c r="AN11" i="8"/>
  <c r="AK11" i="8"/>
  <c r="AR11" i="8" s="1"/>
  <c r="AH11" i="8"/>
  <c r="AE11" i="8"/>
  <c r="AB11" i="8"/>
  <c r="O11" i="8"/>
  <c r="AQ10" i="8"/>
  <c r="AP10" i="8"/>
  <c r="AO10" i="8"/>
  <c r="AK10" i="8"/>
  <c r="AH10" i="8"/>
  <c r="AE10" i="8"/>
  <c r="AB10" i="8"/>
  <c r="O10" i="8"/>
  <c r="AN10" i="8" s="1"/>
  <c r="AQ9" i="8"/>
  <c r="AK9" i="8"/>
  <c r="AH9" i="8"/>
  <c r="AE9" i="8"/>
  <c r="AB9" i="8"/>
  <c r="O9" i="8"/>
  <c r="U8" i="8"/>
  <c r="V8" i="8" s="1"/>
  <c r="W8" i="8" s="1"/>
  <c r="X8" i="8" s="1"/>
  <c r="Y8" i="8" s="1"/>
  <c r="Z8" i="8" s="1"/>
  <c r="AA8" i="8" s="1"/>
  <c r="L8" i="8"/>
  <c r="M8" i="8" s="1"/>
  <c r="N8" i="8" s="1"/>
  <c r="P8" i="8" s="1"/>
  <c r="Q8" i="8" s="1"/>
  <c r="R8" i="8" s="1"/>
  <c r="S8" i="8" s="1"/>
  <c r="T8" i="8" s="1"/>
  <c r="C8" i="8"/>
  <c r="D8" i="8" s="1"/>
  <c r="E8" i="8" s="1"/>
  <c r="F8" i="8" s="1"/>
  <c r="G8" i="8" s="1"/>
  <c r="H8" i="8" s="1"/>
  <c r="I8" i="8" s="1"/>
  <c r="J8" i="8" s="1"/>
  <c r="K8" i="8" s="1"/>
  <c r="G28" i="7"/>
  <c r="F28" i="7"/>
  <c r="E28" i="7"/>
  <c r="D28" i="7"/>
  <c r="C28" i="7"/>
  <c r="G27" i="7"/>
  <c r="F27" i="7"/>
  <c r="E27" i="7"/>
  <c r="D27" i="7"/>
  <c r="C27" i="7"/>
  <c r="G26" i="7"/>
  <c r="F26" i="7"/>
  <c r="E26" i="7"/>
  <c r="D26" i="7"/>
  <c r="C26" i="7"/>
  <c r="G25" i="7"/>
  <c r="F25" i="7"/>
  <c r="E25" i="7"/>
  <c r="D25" i="7"/>
  <c r="C25" i="7"/>
  <c r="G24" i="7"/>
  <c r="F24" i="7"/>
  <c r="E24" i="7"/>
  <c r="D24" i="7"/>
  <c r="C24" i="7"/>
  <c r="G23" i="7"/>
  <c r="F23" i="7"/>
  <c r="E23" i="7"/>
  <c r="D23" i="7"/>
  <c r="C23" i="7"/>
  <c r="G22" i="7"/>
  <c r="F22" i="7"/>
  <c r="E22" i="7"/>
  <c r="D22" i="7"/>
  <c r="C22" i="7"/>
  <c r="G21" i="7"/>
  <c r="F21" i="7"/>
  <c r="E21" i="7"/>
  <c r="D21" i="7"/>
  <c r="C21" i="7"/>
  <c r="G20" i="7"/>
  <c r="F20" i="7"/>
  <c r="E20" i="7"/>
  <c r="D20" i="7"/>
  <c r="C20" i="7"/>
  <c r="G19" i="7"/>
  <c r="F19" i="7"/>
  <c r="E19" i="7"/>
  <c r="D19" i="7"/>
  <c r="C19" i="7"/>
  <c r="N8" i="7"/>
  <c r="O8" i="7" s="1"/>
  <c r="P8" i="7" s="1"/>
  <c r="Q8" i="7" s="1"/>
  <c r="R8" i="7" s="1"/>
  <c r="S8" i="7" s="1"/>
  <c r="T8" i="7" s="1"/>
  <c r="U8" i="7" s="1"/>
  <c r="V8" i="7" s="1"/>
  <c r="W8" i="7" s="1"/>
  <c r="X8" i="7" s="1"/>
  <c r="Y8" i="7" s="1"/>
  <c r="Z8" i="7" s="1"/>
  <c r="AA8" i="7" s="1"/>
  <c r="AB8" i="7" s="1"/>
  <c r="AC8" i="7" s="1"/>
  <c r="AD8" i="7" s="1"/>
  <c r="AE8" i="7" s="1"/>
  <c r="AF8" i="7" s="1"/>
  <c r="AG8" i="7" s="1"/>
  <c r="AH8" i="7" s="1"/>
  <c r="AI8" i="7" s="1"/>
  <c r="AJ8" i="7" s="1"/>
  <c r="AK8" i="7" s="1"/>
  <c r="AL8" i="7" s="1"/>
  <c r="AM8" i="7" s="1"/>
  <c r="AN8" i="7" s="1"/>
  <c r="AO8" i="7" s="1"/>
  <c r="AP8" i="7" s="1"/>
  <c r="AQ8" i="7" s="1"/>
  <c r="AR8" i="7" s="1"/>
  <c r="AS8" i="7" s="1"/>
  <c r="AT8" i="7" s="1"/>
  <c r="AU8" i="7" s="1"/>
  <c r="AV8" i="7" s="1"/>
  <c r="AW8" i="7" s="1"/>
  <c r="AX8" i="7" s="1"/>
  <c r="AY8" i="7" s="1"/>
  <c r="AZ8" i="7" s="1"/>
  <c r="BA8" i="7" s="1"/>
  <c r="BB8" i="7" s="1"/>
  <c r="BC8" i="7" s="1"/>
  <c r="BD8" i="7" s="1"/>
  <c r="BE8" i="7" s="1"/>
  <c r="BF8" i="7" s="1"/>
  <c r="BG8" i="7" s="1"/>
  <c r="BH8" i="7" s="1"/>
  <c r="BI8" i="7" s="1"/>
  <c r="BJ8" i="7" s="1"/>
  <c r="BK8" i="7" s="1"/>
  <c r="BL8" i="7" s="1"/>
  <c r="BM8" i="7" s="1"/>
  <c r="BN8" i="7" s="1"/>
  <c r="BO8" i="7" s="1"/>
  <c r="BP8" i="7" s="1"/>
  <c r="L8" i="7"/>
  <c r="M8" i="7" s="1"/>
  <c r="K8" i="7"/>
  <c r="J8" i="7"/>
  <c r="I8" i="7"/>
  <c r="S80" i="6"/>
  <c r="L80" i="6"/>
  <c r="AF78" i="6"/>
  <c r="AI77" i="6"/>
  <c r="S77" i="6"/>
  <c r="X76" i="6"/>
  <c r="O76" i="6"/>
  <c r="B75" i="6"/>
  <c r="V73" i="6"/>
  <c r="K72" i="6"/>
  <c r="U71" i="6"/>
  <c r="AI70" i="6"/>
  <c r="AI69" i="6"/>
  <c r="AF65" i="6"/>
  <c r="AE64" i="6"/>
  <c r="V64" i="6"/>
  <c r="M64" i="6"/>
  <c r="AF62" i="6"/>
  <c r="AB62" i="6"/>
  <c r="L62" i="6"/>
  <c r="I62" i="6"/>
  <c r="D62" i="6"/>
  <c r="AE61" i="6"/>
  <c r="S61" i="6"/>
  <c r="G61" i="6"/>
  <c r="C61" i="6"/>
  <c r="Z60" i="6"/>
  <c r="I60" i="6"/>
  <c r="J60" i="6" s="1"/>
  <c r="K60" i="6" s="1"/>
  <c r="L60" i="6" s="1"/>
  <c r="M60" i="6" s="1"/>
  <c r="O60" i="6" s="1"/>
  <c r="P60" i="6" s="1"/>
  <c r="Q60" i="6" s="1"/>
  <c r="R60" i="6" s="1"/>
  <c r="S60" i="6" s="1"/>
  <c r="T60" i="6" s="1"/>
  <c r="U60" i="6" s="1"/>
  <c r="V60" i="6" s="1"/>
  <c r="W60" i="6" s="1"/>
  <c r="X60" i="6" s="1"/>
  <c r="Y60" i="6" s="1"/>
  <c r="C60" i="6"/>
  <c r="D60" i="6" s="1"/>
  <c r="E60" i="6" s="1"/>
  <c r="F60" i="6" s="1"/>
  <c r="G60" i="6" s="1"/>
  <c r="H60" i="6" s="1"/>
  <c r="B60" i="6"/>
  <c r="AF55" i="6"/>
  <c r="AC55" i="6"/>
  <c r="W55" i="6"/>
  <c r="V55" i="6"/>
  <c r="O55" i="6"/>
  <c r="I55" i="6"/>
  <c r="F55" i="6"/>
  <c r="AI54" i="6"/>
  <c r="AF54" i="6"/>
  <c r="AC54" i="6"/>
  <c r="R54" i="6"/>
  <c r="Q54" i="6"/>
  <c r="I54" i="6"/>
  <c r="C54" i="6"/>
  <c r="AI53" i="6"/>
  <c r="AB53" i="6"/>
  <c r="AD53" i="6" s="1"/>
  <c r="X53" i="6"/>
  <c r="T53" i="6"/>
  <c r="L53" i="6"/>
  <c r="J53" i="6"/>
  <c r="F53" i="6"/>
  <c r="D53" i="6"/>
  <c r="AI52" i="6"/>
  <c r="AF52" i="6"/>
  <c r="W52" i="6"/>
  <c r="S52" i="6"/>
  <c r="O52" i="6"/>
  <c r="H52" i="6"/>
  <c r="G52" i="6"/>
  <c r="E52" i="6"/>
  <c r="AH51" i="6"/>
  <c r="Z51" i="6"/>
  <c r="S51" i="6"/>
  <c r="R51" i="6"/>
  <c r="P51" i="6"/>
  <c r="J51" i="6"/>
  <c r="F51" i="6"/>
  <c r="F76" i="6" s="1"/>
  <c r="C51" i="6"/>
  <c r="AC50" i="6"/>
  <c r="Y50" i="6"/>
  <c r="U50" i="6"/>
  <c r="Q50" i="6"/>
  <c r="M50" i="6"/>
  <c r="F50" i="6"/>
  <c r="E50" i="6"/>
  <c r="C50" i="6"/>
  <c r="AF49" i="6"/>
  <c r="AB49" i="6"/>
  <c r="Y49" i="6"/>
  <c r="X49" i="6"/>
  <c r="T49" i="6"/>
  <c r="R49" i="6"/>
  <c r="P49" i="6"/>
  <c r="O49" i="6"/>
  <c r="I49" i="6"/>
  <c r="G49" i="6"/>
  <c r="D49" i="6"/>
  <c r="AI48" i="6"/>
  <c r="AE48" i="6"/>
  <c r="AC48" i="6"/>
  <c r="AB48" i="6"/>
  <c r="AD48" i="6" s="1"/>
  <c r="V48" i="6"/>
  <c r="S48" i="6"/>
  <c r="R48" i="6"/>
  <c r="K48" i="6"/>
  <c r="J48" i="6"/>
  <c r="I48" i="6"/>
  <c r="C48" i="6"/>
  <c r="B48" i="6"/>
  <c r="AB47" i="6"/>
  <c r="AD47" i="6" s="1"/>
  <c r="V47" i="6"/>
  <c r="U47" i="6"/>
  <c r="P47" i="6"/>
  <c r="L47" i="6"/>
  <c r="G47" i="6"/>
  <c r="F47" i="6"/>
  <c r="D47" i="6"/>
  <c r="AC46" i="6"/>
  <c r="AB46" i="6"/>
  <c r="AD46" i="6" s="1"/>
  <c r="Z46" i="6"/>
  <c r="Y46" i="6"/>
  <c r="Q46" i="6"/>
  <c r="I46" i="6"/>
  <c r="E46" i="6"/>
  <c r="AI45" i="6"/>
  <c r="AF45" i="6"/>
  <c r="AB45" i="6"/>
  <c r="X45" i="6"/>
  <c r="W45" i="6"/>
  <c r="V45" i="6"/>
  <c r="S45" i="6"/>
  <c r="L45" i="6"/>
  <c r="H45" i="6"/>
  <c r="G45" i="6"/>
  <c r="D45" i="6"/>
  <c r="C45" i="6"/>
  <c r="AI44" i="6"/>
  <c r="AE44" i="6"/>
  <c r="Z44" i="6"/>
  <c r="Y44" i="6"/>
  <c r="W44" i="6"/>
  <c r="V44" i="6"/>
  <c r="O44" i="6"/>
  <c r="K44" i="6"/>
  <c r="G44" i="6"/>
  <c r="F44" i="6"/>
  <c r="B44" i="6"/>
  <c r="AH43" i="6"/>
  <c r="AC43" i="6"/>
  <c r="Y43" i="6"/>
  <c r="Y68" i="6" s="1"/>
  <c r="U43" i="6"/>
  <c r="S43" i="6"/>
  <c r="R43" i="6"/>
  <c r="J43" i="6"/>
  <c r="I43" i="6"/>
  <c r="E43" i="6"/>
  <c r="E68" i="6" s="1"/>
  <c r="B43" i="6"/>
  <c r="AF42" i="6"/>
  <c r="AC42" i="6"/>
  <c r="Y42" i="6"/>
  <c r="Y67" i="6" s="1"/>
  <c r="V42" i="6"/>
  <c r="U42" i="6"/>
  <c r="T42" i="6"/>
  <c r="M42" i="6"/>
  <c r="L42" i="6"/>
  <c r="I42" i="6"/>
  <c r="H42" i="6"/>
  <c r="E42" i="6"/>
  <c r="D42" i="6"/>
  <c r="AH41" i="6"/>
  <c r="AB41" i="6"/>
  <c r="Z41" i="6"/>
  <c r="X41" i="6"/>
  <c r="P41" i="6"/>
  <c r="P66" i="6" s="1"/>
  <c r="L41" i="6"/>
  <c r="K41" i="6"/>
  <c r="H41" i="6"/>
  <c r="G41" i="6"/>
  <c r="B41" i="6"/>
  <c r="AI40" i="6"/>
  <c r="AI65" i="6" s="1"/>
  <c r="AE40" i="6"/>
  <c r="AE65" i="6" s="1"/>
  <c r="AG65" i="6" s="1"/>
  <c r="AC40" i="6"/>
  <c r="V40" i="6"/>
  <c r="S40" i="6"/>
  <c r="S65" i="6" s="1"/>
  <c r="Q40" i="6"/>
  <c r="K40" i="6"/>
  <c r="K65" i="6" s="1"/>
  <c r="I40" i="6"/>
  <c r="F40" i="6"/>
  <c r="E40" i="6"/>
  <c r="AE39" i="6"/>
  <c r="X39" i="6"/>
  <c r="W39" i="6"/>
  <c r="V39" i="6"/>
  <c r="U39" i="6"/>
  <c r="O39" i="6"/>
  <c r="M39" i="6"/>
  <c r="F39" i="6"/>
  <c r="F64" i="6" s="1"/>
  <c r="B39" i="6"/>
  <c r="AH38" i="6"/>
  <c r="AB38" i="6"/>
  <c r="Z38" i="6"/>
  <c r="Y38" i="6"/>
  <c r="Y63" i="6" s="1"/>
  <c r="X38" i="6"/>
  <c r="Q38" i="6"/>
  <c r="P38" i="6"/>
  <c r="M38" i="6"/>
  <c r="L38" i="6"/>
  <c r="H38" i="6"/>
  <c r="AJ37" i="6"/>
  <c r="AG37" i="6"/>
  <c r="AD37" i="6"/>
  <c r="AA37" i="6"/>
  <c r="N37" i="6"/>
  <c r="AJ36" i="6"/>
  <c r="AG36" i="6"/>
  <c r="AD36" i="6"/>
  <c r="AA36" i="6"/>
  <c r="N36" i="6"/>
  <c r="B35" i="6"/>
  <c r="C35" i="6" s="1"/>
  <c r="D35" i="6" s="1"/>
  <c r="E35" i="6" s="1"/>
  <c r="F35" i="6" s="1"/>
  <c r="G35" i="6" s="1"/>
  <c r="H35" i="6" s="1"/>
  <c r="I35" i="6" s="1"/>
  <c r="J35" i="6" s="1"/>
  <c r="K35" i="6" s="1"/>
  <c r="L35" i="6" s="1"/>
  <c r="M35" i="6" s="1"/>
  <c r="O35" i="6" s="1"/>
  <c r="P35" i="6" s="1"/>
  <c r="Q35" i="6" s="1"/>
  <c r="R35" i="6" s="1"/>
  <c r="S35" i="6" s="1"/>
  <c r="T35" i="6" s="1"/>
  <c r="U35" i="6" s="1"/>
  <c r="V35" i="6" s="1"/>
  <c r="W35" i="6" s="1"/>
  <c r="X35" i="6" s="1"/>
  <c r="Y35" i="6" s="1"/>
  <c r="Z35" i="6" s="1"/>
  <c r="AH31" i="6"/>
  <c r="AJ30" i="6"/>
  <c r="AI30" i="6"/>
  <c r="AH30" i="6"/>
  <c r="AF30" i="6"/>
  <c r="AE30" i="6"/>
  <c r="AC30" i="6"/>
  <c r="AB30" i="6"/>
  <c r="Z30" i="6"/>
  <c r="Y30" i="6"/>
  <c r="X30" i="6"/>
  <c r="X55" i="6" s="1"/>
  <c r="W30" i="6"/>
  <c r="V30" i="6"/>
  <c r="U30" i="6"/>
  <c r="T30" i="6"/>
  <c r="S30" i="6"/>
  <c r="S55" i="6" s="1"/>
  <c r="R30" i="6"/>
  <c r="R55" i="6" s="1"/>
  <c r="Q30" i="6"/>
  <c r="Q55" i="6" s="1"/>
  <c r="P30" i="6"/>
  <c r="O30" i="6"/>
  <c r="M30" i="6"/>
  <c r="L30" i="6"/>
  <c r="L55" i="6" s="1"/>
  <c r="K30" i="6"/>
  <c r="J30" i="6"/>
  <c r="J55" i="6" s="1"/>
  <c r="I30" i="6"/>
  <c r="H30" i="6"/>
  <c r="G30" i="6"/>
  <c r="F30" i="6"/>
  <c r="E30" i="6"/>
  <c r="D30" i="6"/>
  <c r="C30" i="6"/>
  <c r="B30" i="6"/>
  <c r="AI29" i="6"/>
  <c r="AH29" i="6"/>
  <c r="AF29" i="6"/>
  <c r="AE29" i="6"/>
  <c r="AE54" i="6" s="1"/>
  <c r="AG54" i="6" s="1"/>
  <c r="AC29" i="6"/>
  <c r="AB29" i="6"/>
  <c r="AD29" i="6" s="1"/>
  <c r="Z29" i="6"/>
  <c r="Y29" i="6"/>
  <c r="X29" i="6"/>
  <c r="W29" i="6"/>
  <c r="V29" i="6"/>
  <c r="V54" i="6" s="1"/>
  <c r="U29" i="6"/>
  <c r="T29" i="6"/>
  <c r="T54" i="6" s="1"/>
  <c r="S29" i="6"/>
  <c r="R29" i="6"/>
  <c r="Q29" i="6"/>
  <c r="P29" i="6"/>
  <c r="O29" i="6"/>
  <c r="O54" i="6" s="1"/>
  <c r="M29" i="6"/>
  <c r="L29" i="6"/>
  <c r="K29" i="6"/>
  <c r="J29" i="6"/>
  <c r="I29" i="6"/>
  <c r="H29" i="6"/>
  <c r="G29" i="6"/>
  <c r="F29" i="6"/>
  <c r="E29" i="6"/>
  <c r="D29" i="6"/>
  <c r="D54" i="6" s="1"/>
  <c r="C29" i="6"/>
  <c r="B29" i="6"/>
  <c r="B54" i="6" s="1"/>
  <c r="AI28" i="6"/>
  <c r="AH28" i="6"/>
  <c r="AF28" i="6"/>
  <c r="AF53" i="6" s="1"/>
  <c r="AE28" i="6"/>
  <c r="AD28" i="6"/>
  <c r="AC28" i="6"/>
  <c r="AC53" i="6" s="1"/>
  <c r="AB28" i="6"/>
  <c r="Z28" i="6"/>
  <c r="Y28" i="6"/>
  <c r="X28" i="6"/>
  <c r="W28" i="6"/>
  <c r="V28" i="6"/>
  <c r="U28" i="6"/>
  <c r="U53" i="6" s="1"/>
  <c r="T28" i="6"/>
  <c r="S28" i="6"/>
  <c r="R28" i="6"/>
  <c r="R53" i="6" s="1"/>
  <c r="Q28" i="6"/>
  <c r="P28" i="6"/>
  <c r="O28" i="6"/>
  <c r="M28" i="6"/>
  <c r="L28" i="6"/>
  <c r="K28" i="6"/>
  <c r="J28" i="6"/>
  <c r="I28" i="6"/>
  <c r="H28" i="6"/>
  <c r="G28" i="6"/>
  <c r="F28" i="6"/>
  <c r="E28" i="6"/>
  <c r="D28" i="6"/>
  <c r="C28" i="6"/>
  <c r="B28" i="6"/>
  <c r="AI27" i="6"/>
  <c r="AH27" i="6"/>
  <c r="AG27" i="6"/>
  <c r="AF27" i="6"/>
  <c r="AE27" i="6"/>
  <c r="AC27" i="6"/>
  <c r="AC52" i="6" s="1"/>
  <c r="AB27" i="6"/>
  <c r="Z27" i="6"/>
  <c r="Y27" i="6"/>
  <c r="X27" i="6"/>
  <c r="W27" i="6"/>
  <c r="V27" i="6"/>
  <c r="U27" i="6"/>
  <c r="U52" i="6" s="1"/>
  <c r="U77" i="6" s="1"/>
  <c r="T27" i="6"/>
  <c r="S27" i="6"/>
  <c r="R27" i="6"/>
  <c r="Q27" i="6"/>
  <c r="Q52" i="6" s="1"/>
  <c r="P27" i="6"/>
  <c r="O27" i="6"/>
  <c r="M27" i="6"/>
  <c r="L27" i="6"/>
  <c r="K27" i="6"/>
  <c r="J27" i="6"/>
  <c r="I27" i="6"/>
  <c r="I52" i="6" s="1"/>
  <c r="H27" i="6"/>
  <c r="G27" i="6"/>
  <c r="F27" i="6"/>
  <c r="F52" i="6" s="1"/>
  <c r="E27" i="6"/>
  <c r="E77" i="6" s="1"/>
  <c r="D27" i="6"/>
  <c r="C27" i="6"/>
  <c r="C52" i="6" s="1"/>
  <c r="B27" i="6"/>
  <c r="AJ26" i="6"/>
  <c r="AI26" i="6"/>
  <c r="AI51" i="6" s="1"/>
  <c r="AH26" i="6"/>
  <c r="AF26" i="6"/>
  <c r="AE26" i="6"/>
  <c r="AE51" i="6" s="1"/>
  <c r="AC26" i="6"/>
  <c r="AB26" i="6"/>
  <c r="AB51" i="6" s="1"/>
  <c r="Z26" i="6"/>
  <c r="Y26" i="6"/>
  <c r="X26" i="6"/>
  <c r="X51" i="6" s="1"/>
  <c r="W26" i="6"/>
  <c r="V26" i="6"/>
  <c r="U26" i="6"/>
  <c r="T26" i="6"/>
  <c r="S26" i="6"/>
  <c r="R26" i="6"/>
  <c r="Q26" i="6"/>
  <c r="P26" i="6"/>
  <c r="O26" i="6"/>
  <c r="O51" i="6" s="1"/>
  <c r="M26" i="6"/>
  <c r="L26" i="6"/>
  <c r="L51" i="6" s="1"/>
  <c r="K26" i="6"/>
  <c r="J26" i="6"/>
  <c r="I26" i="6"/>
  <c r="H26" i="6"/>
  <c r="G26" i="6"/>
  <c r="F26" i="6"/>
  <c r="E26" i="6"/>
  <c r="D26" i="6"/>
  <c r="D51" i="6" s="1"/>
  <c r="C26" i="6"/>
  <c r="B26" i="6"/>
  <c r="AI25" i="6"/>
  <c r="AH25" i="6"/>
  <c r="AH50" i="6" s="1"/>
  <c r="AF25" i="6"/>
  <c r="AE25" i="6"/>
  <c r="AC25" i="6"/>
  <c r="AB25" i="6"/>
  <c r="Z25" i="6"/>
  <c r="Y25" i="6"/>
  <c r="Y75" i="6" s="1"/>
  <c r="X25" i="6"/>
  <c r="W25" i="6"/>
  <c r="W50" i="6" s="1"/>
  <c r="V25" i="6"/>
  <c r="U25" i="6"/>
  <c r="T25" i="6"/>
  <c r="T50" i="6" s="1"/>
  <c r="S25" i="6"/>
  <c r="R25" i="6"/>
  <c r="Q25" i="6"/>
  <c r="P25" i="6"/>
  <c r="O25" i="6"/>
  <c r="O50" i="6" s="1"/>
  <c r="M25" i="6"/>
  <c r="L25" i="6"/>
  <c r="K25" i="6"/>
  <c r="J25" i="6"/>
  <c r="I25" i="6"/>
  <c r="I50" i="6" s="1"/>
  <c r="H25" i="6"/>
  <c r="G25" i="6"/>
  <c r="G50" i="6" s="1"/>
  <c r="F25" i="6"/>
  <c r="E25" i="6"/>
  <c r="D25" i="6"/>
  <c r="C25" i="6"/>
  <c r="B25" i="6"/>
  <c r="B50" i="6" s="1"/>
  <c r="AI24" i="6"/>
  <c r="AH24" i="6"/>
  <c r="AH49" i="6" s="1"/>
  <c r="AF24" i="6"/>
  <c r="AE24" i="6"/>
  <c r="AE49" i="6" s="1"/>
  <c r="AG49" i="6" s="1"/>
  <c r="AC24" i="6"/>
  <c r="AB24" i="6"/>
  <c r="Z24" i="6"/>
  <c r="Y24" i="6"/>
  <c r="X24" i="6"/>
  <c r="W24" i="6"/>
  <c r="V24" i="6"/>
  <c r="U24" i="6"/>
  <c r="U49" i="6" s="1"/>
  <c r="T24" i="6"/>
  <c r="S24" i="6"/>
  <c r="R24" i="6"/>
  <c r="Q24" i="6"/>
  <c r="P24" i="6"/>
  <c r="O24" i="6"/>
  <c r="M24" i="6"/>
  <c r="L24" i="6"/>
  <c r="K24" i="6"/>
  <c r="J24" i="6"/>
  <c r="J49" i="6" s="1"/>
  <c r="I24" i="6"/>
  <c r="H24" i="6"/>
  <c r="G24" i="6"/>
  <c r="G74" i="6" s="1"/>
  <c r="F24" i="6"/>
  <c r="F49" i="6" s="1"/>
  <c r="E24" i="6"/>
  <c r="E49" i="6" s="1"/>
  <c r="D24" i="6"/>
  <c r="C24" i="6"/>
  <c r="B24" i="6"/>
  <c r="B49" i="6" s="1"/>
  <c r="AI23" i="6"/>
  <c r="AH23" i="6"/>
  <c r="AF23" i="6"/>
  <c r="AE23" i="6"/>
  <c r="AD23" i="6"/>
  <c r="AC23" i="6"/>
  <c r="AB23" i="6"/>
  <c r="Z23" i="6"/>
  <c r="Z48" i="6" s="1"/>
  <c r="Z73" i="6" s="1"/>
  <c r="Y23" i="6"/>
  <c r="X23" i="6"/>
  <c r="W23" i="6"/>
  <c r="V23" i="6"/>
  <c r="U23" i="6"/>
  <c r="T23" i="6"/>
  <c r="T48" i="6" s="1"/>
  <c r="S23" i="6"/>
  <c r="R23" i="6"/>
  <c r="Q23" i="6"/>
  <c r="P23" i="6"/>
  <c r="O23" i="6"/>
  <c r="M23" i="6"/>
  <c r="L23" i="6"/>
  <c r="L48" i="6" s="1"/>
  <c r="K23" i="6"/>
  <c r="J23" i="6"/>
  <c r="I23" i="6"/>
  <c r="H23" i="6"/>
  <c r="H48" i="6" s="1"/>
  <c r="G23" i="6"/>
  <c r="F23" i="6"/>
  <c r="F48" i="6" s="1"/>
  <c r="E23" i="6"/>
  <c r="D23" i="6"/>
  <c r="D48" i="6" s="1"/>
  <c r="C23" i="6"/>
  <c r="B23" i="6"/>
  <c r="AI22" i="6"/>
  <c r="AH22" i="6"/>
  <c r="AH47" i="6" s="1"/>
  <c r="AF22" i="6"/>
  <c r="AE22" i="6"/>
  <c r="AC22" i="6"/>
  <c r="AC47" i="6" s="1"/>
  <c r="AB22" i="6"/>
  <c r="Z22" i="6"/>
  <c r="Y22" i="6"/>
  <c r="Y47" i="6" s="1"/>
  <c r="X22" i="6"/>
  <c r="W22" i="6"/>
  <c r="V22" i="6"/>
  <c r="U22" i="6"/>
  <c r="T22" i="6"/>
  <c r="S22" i="6"/>
  <c r="R22" i="6"/>
  <c r="R47" i="6" s="1"/>
  <c r="R72" i="6" s="1"/>
  <c r="Q22" i="6"/>
  <c r="P22" i="6"/>
  <c r="O22" i="6"/>
  <c r="M22" i="6"/>
  <c r="M47" i="6" s="1"/>
  <c r="L22" i="6"/>
  <c r="K22" i="6"/>
  <c r="K47" i="6" s="1"/>
  <c r="J22" i="6"/>
  <c r="I22" i="6"/>
  <c r="H22" i="6"/>
  <c r="G22" i="6"/>
  <c r="F22" i="6"/>
  <c r="E22" i="6"/>
  <c r="D22" i="6"/>
  <c r="D72" i="6" s="1"/>
  <c r="C22" i="6"/>
  <c r="B22" i="6"/>
  <c r="B47" i="6" s="1"/>
  <c r="AI21" i="6"/>
  <c r="AH21" i="6"/>
  <c r="AF21" i="6"/>
  <c r="AE21" i="6"/>
  <c r="AC21" i="6"/>
  <c r="AB21" i="6"/>
  <c r="AD21" i="6" s="1"/>
  <c r="Z21" i="6"/>
  <c r="Y21" i="6"/>
  <c r="X21" i="6"/>
  <c r="W21" i="6"/>
  <c r="W46" i="6" s="1"/>
  <c r="V21" i="6"/>
  <c r="U21" i="6"/>
  <c r="U46" i="6" s="1"/>
  <c r="T21" i="6"/>
  <c r="S21" i="6"/>
  <c r="R21" i="6"/>
  <c r="Q21" i="6"/>
  <c r="P21" i="6"/>
  <c r="P46" i="6" s="1"/>
  <c r="O21" i="6"/>
  <c r="M21" i="6"/>
  <c r="L21" i="6"/>
  <c r="L46" i="6" s="1"/>
  <c r="K21" i="6"/>
  <c r="J21" i="6"/>
  <c r="I21" i="6"/>
  <c r="H21" i="6"/>
  <c r="G21" i="6"/>
  <c r="G46" i="6" s="1"/>
  <c r="G71" i="6" s="1"/>
  <c r="F21" i="6"/>
  <c r="E21" i="6"/>
  <c r="D21" i="6"/>
  <c r="C21" i="6"/>
  <c r="B21" i="6"/>
  <c r="AI20" i="6"/>
  <c r="AH20" i="6"/>
  <c r="AG20" i="6"/>
  <c r="AF20" i="6"/>
  <c r="AE20" i="6"/>
  <c r="AD20" i="6"/>
  <c r="AC20" i="6"/>
  <c r="AB20" i="6"/>
  <c r="Z20" i="6"/>
  <c r="Y20" i="6"/>
  <c r="Y45" i="6" s="1"/>
  <c r="X20" i="6"/>
  <c r="W20" i="6"/>
  <c r="W70" i="6" s="1"/>
  <c r="V20" i="6"/>
  <c r="U20" i="6"/>
  <c r="U45" i="6" s="1"/>
  <c r="T20" i="6"/>
  <c r="S20" i="6"/>
  <c r="R20" i="6"/>
  <c r="Q20" i="6"/>
  <c r="AA20" i="6" s="1"/>
  <c r="P20" i="6"/>
  <c r="P45" i="6" s="1"/>
  <c r="O20" i="6"/>
  <c r="M20" i="6"/>
  <c r="L20" i="6"/>
  <c r="K20" i="6"/>
  <c r="J20" i="6"/>
  <c r="I20" i="6"/>
  <c r="H20" i="6"/>
  <c r="H70" i="6" s="1"/>
  <c r="G20" i="6"/>
  <c r="F20" i="6"/>
  <c r="E20" i="6"/>
  <c r="D20" i="6"/>
  <c r="C20" i="6"/>
  <c r="B20" i="6"/>
  <c r="AJ19" i="6"/>
  <c r="AI19" i="6"/>
  <c r="AH19" i="6"/>
  <c r="AH44" i="6" s="1"/>
  <c r="AJ44" i="6" s="1"/>
  <c r="AG19" i="6"/>
  <c r="AF19" i="6"/>
  <c r="AE19" i="6"/>
  <c r="AC19" i="6"/>
  <c r="AB19" i="6"/>
  <c r="AB44" i="6" s="1"/>
  <c r="Z19" i="6"/>
  <c r="Y19" i="6"/>
  <c r="X19" i="6"/>
  <c r="X44" i="6" s="1"/>
  <c r="W19" i="6"/>
  <c r="V19" i="6"/>
  <c r="U19" i="6"/>
  <c r="T19" i="6"/>
  <c r="T44" i="6" s="1"/>
  <c r="S19" i="6"/>
  <c r="S44" i="6" s="1"/>
  <c r="R19" i="6"/>
  <c r="R44" i="6" s="1"/>
  <c r="Q19" i="6"/>
  <c r="P19" i="6"/>
  <c r="O19" i="6"/>
  <c r="M19" i="6"/>
  <c r="M44" i="6" s="1"/>
  <c r="L19" i="6"/>
  <c r="K19" i="6"/>
  <c r="J19" i="6"/>
  <c r="I19" i="6"/>
  <c r="H19" i="6"/>
  <c r="G19" i="6"/>
  <c r="F19" i="6"/>
  <c r="E19" i="6"/>
  <c r="D19" i="6"/>
  <c r="N19" i="6" s="1"/>
  <c r="C19" i="6"/>
  <c r="B19" i="6"/>
  <c r="AJ18" i="6"/>
  <c r="AI18" i="6"/>
  <c r="AH18" i="6"/>
  <c r="AF18" i="6"/>
  <c r="AE18" i="6"/>
  <c r="AG18" i="6" s="1"/>
  <c r="AC18" i="6"/>
  <c r="AB18" i="6"/>
  <c r="AB43" i="6" s="1"/>
  <c r="AD43" i="6" s="1"/>
  <c r="Z18" i="6"/>
  <c r="Y18" i="6"/>
  <c r="X18" i="6"/>
  <c r="W18" i="6"/>
  <c r="W43" i="6" s="1"/>
  <c r="V18" i="6"/>
  <c r="V43" i="6" s="1"/>
  <c r="U18" i="6"/>
  <c r="T18" i="6"/>
  <c r="T43" i="6" s="1"/>
  <c r="S18" i="6"/>
  <c r="R18" i="6"/>
  <c r="Q18" i="6"/>
  <c r="Q43" i="6" s="1"/>
  <c r="P18" i="6"/>
  <c r="O18" i="6"/>
  <c r="M18" i="6"/>
  <c r="M43" i="6" s="1"/>
  <c r="L18" i="6"/>
  <c r="K18" i="6"/>
  <c r="J18" i="6"/>
  <c r="I18" i="6"/>
  <c r="H18" i="6"/>
  <c r="G18" i="6"/>
  <c r="F18" i="6"/>
  <c r="F43" i="6" s="1"/>
  <c r="E18" i="6"/>
  <c r="D18" i="6"/>
  <c r="C18" i="6"/>
  <c r="B18" i="6"/>
  <c r="AI17" i="6"/>
  <c r="AH17" i="6"/>
  <c r="AF17" i="6"/>
  <c r="AE17" i="6"/>
  <c r="AE42" i="6" s="1"/>
  <c r="AG42" i="6" s="1"/>
  <c r="AD17" i="6"/>
  <c r="AC17" i="6"/>
  <c r="AB17" i="6"/>
  <c r="Z17" i="6"/>
  <c r="Y17" i="6"/>
  <c r="X17" i="6"/>
  <c r="W17" i="6"/>
  <c r="W42" i="6" s="1"/>
  <c r="V17" i="6"/>
  <c r="U17" i="6"/>
  <c r="T17" i="6"/>
  <c r="S17" i="6"/>
  <c r="R17" i="6"/>
  <c r="R42" i="6" s="1"/>
  <c r="Q17" i="6"/>
  <c r="P17" i="6"/>
  <c r="O17" i="6"/>
  <c r="M17" i="6"/>
  <c r="L17" i="6"/>
  <c r="L67" i="6" s="1"/>
  <c r="K17" i="6"/>
  <c r="J17" i="6"/>
  <c r="J42" i="6" s="1"/>
  <c r="I17" i="6"/>
  <c r="H17" i="6"/>
  <c r="G17" i="6"/>
  <c r="F17" i="6"/>
  <c r="E17" i="6"/>
  <c r="D17" i="6"/>
  <c r="C17" i="6"/>
  <c r="B17" i="6"/>
  <c r="B42" i="6" s="1"/>
  <c r="AI16" i="6"/>
  <c r="AI41" i="6" s="1"/>
  <c r="AI66" i="6" s="1"/>
  <c r="AH16" i="6"/>
  <c r="AG16" i="6"/>
  <c r="AF16" i="6"/>
  <c r="AE16" i="6"/>
  <c r="AD16" i="6"/>
  <c r="AC16" i="6"/>
  <c r="AB16" i="6"/>
  <c r="Z16" i="6"/>
  <c r="Y16" i="6"/>
  <c r="Y41" i="6" s="1"/>
  <c r="X16" i="6"/>
  <c r="W16" i="6"/>
  <c r="V16" i="6"/>
  <c r="U16" i="6"/>
  <c r="T16" i="6"/>
  <c r="T41" i="6" s="1"/>
  <c r="T66" i="6" s="1"/>
  <c r="S16" i="6"/>
  <c r="R16" i="6"/>
  <c r="Q16" i="6"/>
  <c r="P16" i="6"/>
  <c r="O16" i="6"/>
  <c r="M16" i="6"/>
  <c r="L16" i="6"/>
  <c r="K16" i="6"/>
  <c r="K66" i="6" s="1"/>
  <c r="J16" i="6"/>
  <c r="I16" i="6"/>
  <c r="I41" i="6" s="1"/>
  <c r="H16" i="6"/>
  <c r="H66" i="6" s="1"/>
  <c r="G16" i="6"/>
  <c r="G66" i="6" s="1"/>
  <c r="F16" i="6"/>
  <c r="E16" i="6"/>
  <c r="D16" i="6"/>
  <c r="C16" i="6"/>
  <c r="C41" i="6" s="1"/>
  <c r="B16" i="6"/>
  <c r="AJ15" i="6"/>
  <c r="AI15" i="6"/>
  <c r="AH15" i="6"/>
  <c r="AG15" i="6"/>
  <c r="AF15" i="6"/>
  <c r="AF40" i="6" s="1"/>
  <c r="AG40" i="6" s="1"/>
  <c r="AE15" i="6"/>
  <c r="AC15" i="6"/>
  <c r="AB15" i="6"/>
  <c r="Z15" i="6"/>
  <c r="Z40" i="6" s="1"/>
  <c r="Y15" i="6"/>
  <c r="X15" i="6"/>
  <c r="W15" i="6"/>
  <c r="W40" i="6" s="1"/>
  <c r="V15" i="6"/>
  <c r="V65" i="6" s="1"/>
  <c r="U15" i="6"/>
  <c r="T15" i="6"/>
  <c r="T40" i="6" s="1"/>
  <c r="S15" i="6"/>
  <c r="R15" i="6"/>
  <c r="R40" i="6" s="1"/>
  <c r="Q15" i="6"/>
  <c r="P15" i="6"/>
  <c r="O15" i="6"/>
  <c r="M15" i="6"/>
  <c r="M40" i="6" s="1"/>
  <c r="M65" i="6" s="1"/>
  <c r="L15" i="6"/>
  <c r="K15" i="6"/>
  <c r="J15" i="6"/>
  <c r="I15" i="6"/>
  <c r="H15" i="6"/>
  <c r="G15" i="6"/>
  <c r="F15" i="6"/>
  <c r="E15" i="6"/>
  <c r="E65" i="6" s="1"/>
  <c r="D15" i="6"/>
  <c r="D40" i="6" s="1"/>
  <c r="C15" i="6"/>
  <c r="B15" i="6"/>
  <c r="AI14" i="6"/>
  <c r="AH14" i="6"/>
  <c r="AH39" i="6" s="1"/>
  <c r="AF14" i="6"/>
  <c r="AF39" i="6" s="1"/>
  <c r="AE14" i="6"/>
  <c r="AG14" i="6" s="1"/>
  <c r="AC14" i="6"/>
  <c r="AB14" i="6"/>
  <c r="Z14" i="6"/>
  <c r="Y14" i="6"/>
  <c r="Y39" i="6" s="1"/>
  <c r="X14" i="6"/>
  <c r="X64" i="6" s="1"/>
  <c r="W14" i="6"/>
  <c r="V14" i="6"/>
  <c r="U14" i="6"/>
  <c r="U64" i="6" s="1"/>
  <c r="T14" i="6"/>
  <c r="S14" i="6"/>
  <c r="R14" i="6"/>
  <c r="Q14" i="6"/>
  <c r="Q39" i="6" s="1"/>
  <c r="Q64" i="6" s="1"/>
  <c r="P14" i="6"/>
  <c r="P39" i="6" s="1"/>
  <c r="O14" i="6"/>
  <c r="O64" i="6" s="1"/>
  <c r="M14" i="6"/>
  <c r="L14" i="6"/>
  <c r="L39" i="6" s="1"/>
  <c r="K14" i="6"/>
  <c r="K39" i="6" s="1"/>
  <c r="J14" i="6"/>
  <c r="I14" i="6"/>
  <c r="I39" i="6" s="1"/>
  <c r="H14" i="6"/>
  <c r="H39" i="6" s="1"/>
  <c r="G14" i="6"/>
  <c r="F14" i="6"/>
  <c r="E14" i="6"/>
  <c r="D14" i="6"/>
  <c r="C14" i="6"/>
  <c r="C39" i="6" s="1"/>
  <c r="B14" i="6"/>
  <c r="AJ13" i="6"/>
  <c r="AI13" i="6"/>
  <c r="AI38" i="6" s="1"/>
  <c r="AH13" i="6"/>
  <c r="AF13" i="6"/>
  <c r="AF38" i="6" s="1"/>
  <c r="AE13" i="6"/>
  <c r="AC13" i="6"/>
  <c r="AC38" i="6" s="1"/>
  <c r="AB13" i="6"/>
  <c r="Z13" i="6"/>
  <c r="Y13" i="6"/>
  <c r="X13" i="6"/>
  <c r="W13" i="6"/>
  <c r="V13" i="6"/>
  <c r="V38" i="6" s="1"/>
  <c r="U13" i="6"/>
  <c r="T13" i="6"/>
  <c r="T38" i="6" s="1"/>
  <c r="S13" i="6"/>
  <c r="R13" i="6"/>
  <c r="Q13" i="6"/>
  <c r="P13" i="6"/>
  <c r="O13" i="6"/>
  <c r="O38" i="6" s="1"/>
  <c r="M13" i="6"/>
  <c r="M63" i="6" s="1"/>
  <c r="L13" i="6"/>
  <c r="K13" i="6"/>
  <c r="K38" i="6" s="1"/>
  <c r="J13" i="6"/>
  <c r="I13" i="6"/>
  <c r="H13" i="6"/>
  <c r="G13" i="6"/>
  <c r="G38" i="6" s="1"/>
  <c r="F13" i="6"/>
  <c r="F38" i="6" s="1"/>
  <c r="E13" i="6"/>
  <c r="D13" i="6"/>
  <c r="C13" i="6"/>
  <c r="B13" i="6"/>
  <c r="B38" i="6" s="1"/>
  <c r="AI12" i="6"/>
  <c r="AI62" i="6" s="1"/>
  <c r="AH12" i="6"/>
  <c r="AF12" i="6"/>
  <c r="AE12" i="6"/>
  <c r="AE62" i="6" s="1"/>
  <c r="AG62" i="6" s="1"/>
  <c r="AC12" i="6"/>
  <c r="AB12" i="6"/>
  <c r="Z12" i="6"/>
  <c r="Z62" i="6" s="1"/>
  <c r="Y12" i="6"/>
  <c r="Y62" i="6" s="1"/>
  <c r="X12" i="6"/>
  <c r="X62" i="6" s="1"/>
  <c r="W12" i="6"/>
  <c r="W62" i="6" s="1"/>
  <c r="V12" i="6"/>
  <c r="V62" i="6" s="1"/>
  <c r="U12" i="6"/>
  <c r="U62" i="6" s="1"/>
  <c r="T12" i="6"/>
  <c r="T62" i="6" s="1"/>
  <c r="S12" i="6"/>
  <c r="S62" i="6" s="1"/>
  <c r="R12" i="6"/>
  <c r="R62" i="6" s="1"/>
  <c r="Q12" i="6"/>
  <c r="Q62" i="6" s="1"/>
  <c r="P12" i="6"/>
  <c r="P62" i="6" s="1"/>
  <c r="O12" i="6"/>
  <c r="O62" i="6" s="1"/>
  <c r="M12" i="6"/>
  <c r="M62" i="6" s="1"/>
  <c r="L12" i="6"/>
  <c r="K12" i="6"/>
  <c r="K62" i="6" s="1"/>
  <c r="J12" i="6"/>
  <c r="J62" i="6" s="1"/>
  <c r="I12" i="6"/>
  <c r="H12" i="6"/>
  <c r="H62" i="6" s="1"/>
  <c r="G12" i="6"/>
  <c r="G62" i="6" s="1"/>
  <c r="F12" i="6"/>
  <c r="F62" i="6" s="1"/>
  <c r="E12" i="6"/>
  <c r="D12" i="6"/>
  <c r="C12" i="6"/>
  <c r="C62" i="6" s="1"/>
  <c r="B12" i="6"/>
  <c r="B62" i="6" s="1"/>
  <c r="AI11" i="6"/>
  <c r="AH11" i="6"/>
  <c r="AJ11" i="6" s="1"/>
  <c r="AF11" i="6"/>
  <c r="AE11" i="6"/>
  <c r="AC11" i="6"/>
  <c r="AC61" i="6" s="1"/>
  <c r="AB11" i="6"/>
  <c r="AB61" i="6" s="1"/>
  <c r="Z11" i="6"/>
  <c r="Z61" i="6" s="1"/>
  <c r="Y11" i="6"/>
  <c r="Y61" i="6" s="1"/>
  <c r="X11" i="6"/>
  <c r="W11" i="6"/>
  <c r="W61" i="6" s="1"/>
  <c r="V11" i="6"/>
  <c r="V61" i="6" s="1"/>
  <c r="U11" i="6"/>
  <c r="U61" i="6" s="1"/>
  <c r="T11" i="6"/>
  <c r="S11" i="6"/>
  <c r="R11" i="6"/>
  <c r="R61" i="6" s="1"/>
  <c r="Q11" i="6"/>
  <c r="Q61" i="6" s="1"/>
  <c r="P11" i="6"/>
  <c r="O11" i="6"/>
  <c r="O61" i="6" s="1"/>
  <c r="M11" i="6"/>
  <c r="M61" i="6" s="1"/>
  <c r="L11" i="6"/>
  <c r="L61" i="6" s="1"/>
  <c r="K11" i="6"/>
  <c r="J11" i="6"/>
  <c r="I11" i="6"/>
  <c r="I61" i="6" s="1"/>
  <c r="H11" i="6"/>
  <c r="G11" i="6"/>
  <c r="F11" i="6"/>
  <c r="E11" i="6"/>
  <c r="E61" i="6" s="1"/>
  <c r="D11" i="6"/>
  <c r="D61" i="6" s="1"/>
  <c r="C11" i="6"/>
  <c r="B11" i="6"/>
  <c r="E10" i="6"/>
  <c r="F10" i="6" s="1"/>
  <c r="G10" i="6" s="1"/>
  <c r="H10" i="6" s="1"/>
  <c r="I10" i="6" s="1"/>
  <c r="J10" i="6" s="1"/>
  <c r="K10" i="6" s="1"/>
  <c r="L10" i="6" s="1"/>
  <c r="M10" i="6" s="1"/>
  <c r="O10" i="6" s="1"/>
  <c r="P10" i="6" s="1"/>
  <c r="Q10" i="6" s="1"/>
  <c r="R10" i="6" s="1"/>
  <c r="S10" i="6" s="1"/>
  <c r="T10" i="6" s="1"/>
  <c r="U10" i="6" s="1"/>
  <c r="V10" i="6" s="1"/>
  <c r="W10" i="6" s="1"/>
  <c r="X10" i="6" s="1"/>
  <c r="Y10" i="6" s="1"/>
  <c r="Z10" i="6" s="1"/>
  <c r="D10" i="6"/>
  <c r="C10" i="6"/>
  <c r="B10" i="6"/>
  <c r="BJ38" i="5"/>
  <c r="BI38" i="5"/>
  <c r="BH38" i="5"/>
  <c r="BG38" i="5"/>
  <c r="BF38" i="5"/>
  <c r="BE38" i="5"/>
  <c r="BD38" i="5"/>
  <c r="BC38" i="5"/>
  <c r="BB38" i="5"/>
  <c r="BA38" i="5"/>
  <c r="AZ38" i="5"/>
  <c r="AY38" i="5"/>
  <c r="AX38" i="5"/>
  <c r="AW38" i="5"/>
  <c r="AV38" i="5"/>
  <c r="AU38" i="5"/>
  <c r="AT38" i="5"/>
  <c r="AS38" i="5"/>
  <c r="AR38" i="5"/>
  <c r="AQ38" i="5"/>
  <c r="AP38" i="5"/>
  <c r="AO38" i="5"/>
  <c r="AN38" i="5"/>
  <c r="AM38" i="5"/>
  <c r="AL38" i="5"/>
  <c r="AK38"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I38" i="5"/>
  <c r="H38" i="5"/>
  <c r="G38" i="5"/>
  <c r="F38" i="5"/>
  <c r="E38" i="5"/>
  <c r="D38" i="5"/>
  <c r="C38" i="5"/>
  <c r="B38" i="5"/>
  <c r="BJ37" i="5"/>
  <c r="BI37" i="5"/>
  <c r="BH37" i="5"/>
  <c r="BG37" i="5"/>
  <c r="BF37" i="5"/>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F37" i="5"/>
  <c r="E37" i="5"/>
  <c r="D37" i="5"/>
  <c r="C37" i="5"/>
  <c r="B37" i="5"/>
  <c r="BJ36" i="5"/>
  <c r="BI36" i="5"/>
  <c r="BH36" i="5"/>
  <c r="BG36" i="5"/>
  <c r="BF36" i="5"/>
  <c r="BE36" i="5"/>
  <c r="BD36" i="5"/>
  <c r="BC36" i="5"/>
  <c r="BB36" i="5"/>
  <c r="BA36" i="5"/>
  <c r="AZ36" i="5"/>
  <c r="AY36" i="5"/>
  <c r="AX36" i="5"/>
  <c r="AW36" i="5"/>
  <c r="AV36" i="5"/>
  <c r="AU36" i="5"/>
  <c r="AT36" i="5"/>
  <c r="AS36" i="5"/>
  <c r="AR36" i="5"/>
  <c r="AQ36" i="5"/>
  <c r="AP36" i="5"/>
  <c r="AO36" i="5"/>
  <c r="AN36"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D36" i="5"/>
  <c r="C36" i="5"/>
  <c r="B36" i="5"/>
  <c r="BJ35" i="5"/>
  <c r="BI35" i="5"/>
  <c r="BH35" i="5"/>
  <c r="BG35" i="5"/>
  <c r="BF35" i="5"/>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BJ34" i="5"/>
  <c r="BI34" i="5"/>
  <c r="BH34" i="5"/>
  <c r="BG34" i="5"/>
  <c r="BF34" i="5"/>
  <c r="BE34" i="5"/>
  <c r="BD34" i="5"/>
  <c r="BC34" i="5"/>
  <c r="BB34" i="5"/>
  <c r="BA34" i="5"/>
  <c r="AZ34" i="5"/>
  <c r="AY34" i="5"/>
  <c r="AX34" i="5"/>
  <c r="AW34" i="5"/>
  <c r="AV34" i="5"/>
  <c r="AU34" i="5"/>
  <c r="AT34" i="5"/>
  <c r="AS34" i="5"/>
  <c r="AR34" i="5"/>
  <c r="AQ34" i="5"/>
  <c r="AP34" i="5"/>
  <c r="AO34" i="5"/>
  <c r="AN34"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C34" i="5"/>
  <c r="B34" i="5"/>
  <c r="BJ33" i="5"/>
  <c r="BI33" i="5"/>
  <c r="BH33" i="5"/>
  <c r="BG33" i="5"/>
  <c r="BF33" i="5"/>
  <c r="BE33" i="5"/>
  <c r="BD33" i="5"/>
  <c r="BC33" i="5"/>
  <c r="BB33" i="5"/>
  <c r="BA33" i="5"/>
  <c r="AZ33"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C33" i="5"/>
  <c r="B33" i="5"/>
  <c r="BJ32" i="5"/>
  <c r="BI32" i="5"/>
  <c r="BH32" i="5"/>
  <c r="BG32" i="5"/>
  <c r="BF32"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C32" i="5"/>
  <c r="B32" i="5"/>
  <c r="BJ31" i="5"/>
  <c r="BI31" i="5"/>
  <c r="BH31" i="5"/>
  <c r="BG31" i="5"/>
  <c r="BF31"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C31" i="5"/>
  <c r="B31" i="5"/>
  <c r="BJ30" i="5"/>
  <c r="BI30" i="5"/>
  <c r="BH30" i="5"/>
  <c r="BG30" i="5"/>
  <c r="BF30" i="5"/>
  <c r="BE30" i="5"/>
  <c r="BD30" i="5"/>
  <c r="BC30" i="5"/>
  <c r="BB30" i="5"/>
  <c r="BA30" i="5"/>
  <c r="AZ30" i="5"/>
  <c r="AY30" i="5"/>
  <c r="AX30" i="5"/>
  <c r="AW30" i="5"/>
  <c r="AV30" i="5"/>
  <c r="AU30" i="5"/>
  <c r="AT30" i="5"/>
  <c r="AS30" i="5"/>
  <c r="AR30" i="5"/>
  <c r="AQ30" i="5"/>
  <c r="AP30" i="5"/>
  <c r="AO30" i="5"/>
  <c r="AN30" i="5"/>
  <c r="AM30" i="5"/>
  <c r="AL30" i="5"/>
  <c r="AK30" i="5"/>
  <c r="AJ30" i="5"/>
  <c r="AI30" i="5"/>
  <c r="AH30" i="5"/>
  <c r="AG30" i="5"/>
  <c r="AF30" i="5"/>
  <c r="AE30" i="5"/>
  <c r="AD30" i="5"/>
  <c r="AC30" i="5"/>
  <c r="AB30" i="5"/>
  <c r="AA30" i="5"/>
  <c r="Z30" i="5"/>
  <c r="Y30" i="5"/>
  <c r="X30" i="5"/>
  <c r="W30" i="5"/>
  <c r="V30" i="5"/>
  <c r="U30" i="5"/>
  <c r="T30" i="5"/>
  <c r="S30" i="5"/>
  <c r="R30" i="5"/>
  <c r="Q30" i="5"/>
  <c r="P30" i="5"/>
  <c r="O30" i="5"/>
  <c r="N30" i="5"/>
  <c r="M30" i="5"/>
  <c r="L30" i="5"/>
  <c r="K30" i="5"/>
  <c r="J30" i="5"/>
  <c r="I30" i="5"/>
  <c r="H30" i="5"/>
  <c r="G30" i="5"/>
  <c r="F30" i="5"/>
  <c r="E30" i="5"/>
  <c r="D30" i="5"/>
  <c r="C30" i="5"/>
  <c r="B30" i="5"/>
  <c r="BJ29" i="5"/>
  <c r="BI29" i="5"/>
  <c r="BH29" i="5"/>
  <c r="BG29" i="5"/>
  <c r="BF29" i="5"/>
  <c r="BE29" i="5"/>
  <c r="BD29" i="5"/>
  <c r="BC29" i="5"/>
  <c r="BB29" i="5"/>
  <c r="BA29" i="5"/>
  <c r="AZ29" i="5"/>
  <c r="AY29" i="5"/>
  <c r="AX29" i="5"/>
  <c r="AW29" i="5"/>
  <c r="AV29" i="5"/>
  <c r="AU29" i="5"/>
  <c r="AT29" i="5"/>
  <c r="AS29" i="5"/>
  <c r="AR29" i="5"/>
  <c r="AQ29" i="5"/>
  <c r="AP29" i="5"/>
  <c r="AO29" i="5"/>
  <c r="AN29"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C29" i="5"/>
  <c r="B29" i="5"/>
  <c r="BJ28" i="5"/>
  <c r="BI28" i="5"/>
  <c r="BH28" i="5"/>
  <c r="BG28" i="5"/>
  <c r="BF28" i="5"/>
  <c r="BE28" i="5"/>
  <c r="BE40" i="5" s="1"/>
  <c r="BD28" i="5"/>
  <c r="BC28" i="5"/>
  <c r="BB28" i="5"/>
  <c r="BA28" i="5"/>
  <c r="AZ28" i="5"/>
  <c r="AY28" i="5"/>
  <c r="AX28" i="5"/>
  <c r="AW28" i="5"/>
  <c r="AW40" i="5" s="1"/>
  <c r="AV28" i="5"/>
  <c r="AU28" i="5"/>
  <c r="AT28" i="5"/>
  <c r="AS28" i="5"/>
  <c r="AR28" i="5"/>
  <c r="AQ28" i="5"/>
  <c r="AP28" i="5"/>
  <c r="AO28" i="5"/>
  <c r="AO40" i="5" s="1"/>
  <c r="AN28" i="5"/>
  <c r="AM28" i="5"/>
  <c r="AL28" i="5"/>
  <c r="AK28" i="5"/>
  <c r="AJ28" i="5"/>
  <c r="AI28" i="5"/>
  <c r="AH28" i="5"/>
  <c r="AG28" i="5"/>
  <c r="AG40" i="5" s="1"/>
  <c r="AF28" i="5"/>
  <c r="AE28" i="5"/>
  <c r="AD28" i="5"/>
  <c r="AC28" i="5"/>
  <c r="AB28" i="5"/>
  <c r="AA28" i="5"/>
  <c r="Z28" i="5"/>
  <c r="Y28" i="5"/>
  <c r="Y40" i="5" s="1"/>
  <c r="X28" i="5"/>
  <c r="W28" i="5"/>
  <c r="V28" i="5"/>
  <c r="U28" i="5"/>
  <c r="T28" i="5"/>
  <c r="S28" i="5"/>
  <c r="R28" i="5"/>
  <c r="Q28" i="5"/>
  <c r="Q40" i="5" s="1"/>
  <c r="P28" i="5"/>
  <c r="O28" i="5"/>
  <c r="N28" i="5"/>
  <c r="M28" i="5"/>
  <c r="L28" i="5"/>
  <c r="K28" i="5"/>
  <c r="J28" i="5"/>
  <c r="I28" i="5"/>
  <c r="I40" i="5" s="1"/>
  <c r="H28" i="5"/>
  <c r="G28" i="5"/>
  <c r="F28" i="5"/>
  <c r="E28" i="5"/>
  <c r="D28" i="5"/>
  <c r="C28" i="5"/>
  <c r="B28" i="5"/>
  <c r="BJ27" i="5"/>
  <c r="BJ40" i="5" s="1"/>
  <c r="BI27" i="5"/>
  <c r="BH27" i="5"/>
  <c r="BG27" i="5"/>
  <c r="BF27" i="5"/>
  <c r="BE27" i="5"/>
  <c r="BD27" i="5"/>
  <c r="BC27" i="5"/>
  <c r="BB27" i="5"/>
  <c r="BB40" i="5" s="1"/>
  <c r="BA27" i="5"/>
  <c r="AZ27" i="5"/>
  <c r="AY27" i="5"/>
  <c r="AX27" i="5"/>
  <c r="AW27" i="5"/>
  <c r="AV27" i="5"/>
  <c r="AU27" i="5"/>
  <c r="AT27" i="5"/>
  <c r="AT40" i="5" s="1"/>
  <c r="AS27" i="5"/>
  <c r="AR27" i="5"/>
  <c r="AQ27" i="5"/>
  <c r="AP27" i="5"/>
  <c r="AO27" i="5"/>
  <c r="AN27" i="5"/>
  <c r="AM27" i="5"/>
  <c r="AL27" i="5"/>
  <c r="AL40" i="5" s="1"/>
  <c r="AK27" i="5"/>
  <c r="AJ27" i="5"/>
  <c r="AI27" i="5"/>
  <c r="AH27" i="5"/>
  <c r="AG27" i="5"/>
  <c r="AF27" i="5"/>
  <c r="AE27" i="5"/>
  <c r="AD27" i="5"/>
  <c r="AD40" i="5" s="1"/>
  <c r="AC27" i="5"/>
  <c r="AB27" i="5"/>
  <c r="AA27" i="5"/>
  <c r="Z27" i="5"/>
  <c r="Y27" i="5"/>
  <c r="X27" i="5"/>
  <c r="W27" i="5"/>
  <c r="V27" i="5"/>
  <c r="V40" i="5" s="1"/>
  <c r="U27" i="5"/>
  <c r="T27" i="5"/>
  <c r="S27" i="5"/>
  <c r="R27" i="5"/>
  <c r="Q27" i="5"/>
  <c r="P27" i="5"/>
  <c r="O27" i="5"/>
  <c r="N27" i="5"/>
  <c r="N40" i="5" s="1"/>
  <c r="M27" i="5"/>
  <c r="L27" i="5"/>
  <c r="K27" i="5"/>
  <c r="J27" i="5"/>
  <c r="I27" i="5"/>
  <c r="H27" i="5"/>
  <c r="G27" i="5"/>
  <c r="F27" i="5"/>
  <c r="F40" i="5" s="1"/>
  <c r="E27" i="5"/>
  <c r="D27" i="5"/>
  <c r="C27" i="5"/>
  <c r="B27" i="5"/>
  <c r="K26" i="5"/>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AN26" i="5" s="1"/>
  <c r="AO26" i="5" s="1"/>
  <c r="AP26" i="5" s="1"/>
  <c r="AQ26" i="5" s="1"/>
  <c r="AR26" i="5" s="1"/>
  <c r="AS26" i="5" s="1"/>
  <c r="AT26" i="5" s="1"/>
  <c r="AU26" i="5" s="1"/>
  <c r="AV26" i="5" s="1"/>
  <c r="AW26" i="5" s="1"/>
  <c r="AX26" i="5" s="1"/>
  <c r="AY26" i="5" s="1"/>
  <c r="AZ26" i="5" s="1"/>
  <c r="BA26" i="5" s="1"/>
  <c r="BB26" i="5" s="1"/>
  <c r="BC26" i="5" s="1"/>
  <c r="BD26" i="5" s="1"/>
  <c r="BE26" i="5" s="1"/>
  <c r="BF26" i="5" s="1"/>
  <c r="BG26" i="5" s="1"/>
  <c r="BH26" i="5" s="1"/>
  <c r="BI26" i="5" s="1"/>
  <c r="BJ26" i="5" s="1"/>
  <c r="I26" i="5"/>
  <c r="J26" i="5" s="1"/>
  <c r="E26" i="5"/>
  <c r="F26" i="5" s="1"/>
  <c r="G26" i="5" s="1"/>
  <c r="H26" i="5" s="1"/>
  <c r="C26" i="5"/>
  <c r="D26" i="5" s="1"/>
  <c r="E20" i="5"/>
  <c r="E22" i="17" s="1"/>
  <c r="B20" i="5"/>
  <c r="E19" i="5"/>
  <c r="E21" i="17" s="1"/>
  <c r="D19" i="5"/>
  <c r="D21" i="17" s="1"/>
  <c r="B19" i="5"/>
  <c r="C18" i="5"/>
  <c r="C20" i="17" s="1"/>
  <c r="B18" i="5"/>
  <c r="B17" i="5"/>
  <c r="B16" i="5"/>
  <c r="B15" i="5"/>
  <c r="E14" i="5"/>
  <c r="E16" i="17" s="1"/>
  <c r="C14" i="5"/>
  <c r="C16" i="17" s="1"/>
  <c r="C54" i="17" s="1"/>
  <c r="B14" i="5"/>
  <c r="D13" i="5"/>
  <c r="D15" i="17" s="1"/>
  <c r="C13" i="5"/>
  <c r="C15" i="17" s="1"/>
  <c r="B13" i="5"/>
  <c r="E12" i="5"/>
  <c r="E14" i="17" s="1"/>
  <c r="B12" i="5"/>
  <c r="E11" i="5"/>
  <c r="E13" i="17" s="1"/>
  <c r="D11" i="5"/>
  <c r="D13" i="17" s="1"/>
  <c r="B11" i="5"/>
  <c r="C10" i="5"/>
  <c r="C12" i="17" s="1"/>
  <c r="C50" i="17" s="1"/>
  <c r="B10" i="5"/>
  <c r="B9" i="5"/>
  <c r="E8" i="5"/>
  <c r="D8" i="5"/>
  <c r="D17" i="5" s="1"/>
  <c r="D19" i="17" s="1"/>
  <c r="C8" i="5"/>
  <c r="AO30" i="4"/>
  <c r="AN30" i="4"/>
  <c r="AM30" i="4"/>
  <c r="AK30" i="4"/>
  <c r="AJ30" i="4"/>
  <c r="AI30" i="4"/>
  <c r="AG30" i="4"/>
  <c r="AF30" i="4"/>
  <c r="AE30" i="4"/>
  <c r="AC30" i="4"/>
  <c r="AB30" i="4"/>
  <c r="AA30" i="4"/>
  <c r="Z30" i="4"/>
  <c r="Y30" i="4"/>
  <c r="X30" i="4"/>
  <c r="W30" i="4"/>
  <c r="V30" i="4"/>
  <c r="U30" i="4"/>
  <c r="T30" i="4"/>
  <c r="S30" i="4"/>
  <c r="R30" i="4"/>
  <c r="Q30" i="4"/>
  <c r="O30" i="4"/>
  <c r="N30" i="4"/>
  <c r="M30" i="4"/>
  <c r="L30" i="4"/>
  <c r="K30" i="4"/>
  <c r="J30" i="4"/>
  <c r="I30" i="4"/>
  <c r="H30" i="4"/>
  <c r="G30" i="4"/>
  <c r="F30" i="4"/>
  <c r="E30" i="4"/>
  <c r="D30" i="4"/>
  <c r="C30" i="4"/>
  <c r="AP29" i="4"/>
  <c r="AL29" i="4"/>
  <c r="AH29" i="4"/>
  <c r="AD29" i="4"/>
  <c r="P29" i="4"/>
  <c r="AP28" i="4"/>
  <c r="AL28" i="4"/>
  <c r="AH28" i="4"/>
  <c r="AD28" i="4"/>
  <c r="P28" i="4"/>
  <c r="AP27" i="4"/>
  <c r="AL27" i="4"/>
  <c r="AH27" i="4"/>
  <c r="AD27" i="4"/>
  <c r="P27" i="4"/>
  <c r="AP26" i="4"/>
  <c r="AL26" i="4"/>
  <c r="AH26" i="4"/>
  <c r="AD26" i="4"/>
  <c r="P26" i="4"/>
  <c r="AP25" i="4"/>
  <c r="AL25" i="4"/>
  <c r="AH25" i="4"/>
  <c r="AD25" i="4"/>
  <c r="P25" i="4"/>
  <c r="AP24" i="4"/>
  <c r="AL24" i="4"/>
  <c r="AH24" i="4"/>
  <c r="AD24" i="4"/>
  <c r="P24" i="4"/>
  <c r="AP23" i="4"/>
  <c r="AL23" i="4"/>
  <c r="AH23" i="4"/>
  <c r="AD23" i="4"/>
  <c r="P23" i="4"/>
  <c r="AP22" i="4"/>
  <c r="AL22" i="4"/>
  <c r="AH22" i="4"/>
  <c r="AD22" i="4"/>
  <c r="P22" i="4"/>
  <c r="AP21" i="4"/>
  <c r="AL21" i="4"/>
  <c r="AH21" i="4"/>
  <c r="AD21" i="4"/>
  <c r="P21" i="4"/>
  <c r="AP20" i="4"/>
  <c r="AL20" i="4"/>
  <c r="AH20" i="4"/>
  <c r="AD20" i="4"/>
  <c r="P20" i="4"/>
  <c r="AP19" i="4"/>
  <c r="AL19" i="4"/>
  <c r="AH19" i="4"/>
  <c r="AD19" i="4"/>
  <c r="P19" i="4"/>
  <c r="AP18" i="4"/>
  <c r="AL18" i="4"/>
  <c r="AH18" i="4"/>
  <c r="AD18" i="4"/>
  <c r="P18" i="4"/>
  <c r="AP17" i="4"/>
  <c r="AL17" i="4"/>
  <c r="AH17" i="4"/>
  <c r="AD17" i="4"/>
  <c r="P17" i="4"/>
  <c r="AP16" i="4"/>
  <c r="AL16" i="4"/>
  <c r="AH16" i="4"/>
  <c r="AD16" i="4"/>
  <c r="P16" i="4"/>
  <c r="AP15" i="4"/>
  <c r="AL15" i="4"/>
  <c r="AH15" i="4"/>
  <c r="AD15" i="4"/>
  <c r="P15" i="4"/>
  <c r="AP14" i="4"/>
  <c r="AL14" i="4"/>
  <c r="AH14" i="4"/>
  <c r="AD14" i="4"/>
  <c r="P14" i="4"/>
  <c r="AP13" i="4"/>
  <c r="AL13" i="4"/>
  <c r="AH13" i="4"/>
  <c r="AD13" i="4"/>
  <c r="P13" i="4"/>
  <c r="AP12" i="4"/>
  <c r="AL12" i="4"/>
  <c r="AH12" i="4"/>
  <c r="AD12" i="4"/>
  <c r="P12" i="4"/>
  <c r="AP11" i="4"/>
  <c r="AL11" i="4"/>
  <c r="AH11" i="4"/>
  <c r="AD11" i="4"/>
  <c r="P11" i="4"/>
  <c r="AP10" i="4"/>
  <c r="AL10" i="4"/>
  <c r="AH10" i="4"/>
  <c r="AH30" i="4" s="1"/>
  <c r="E6" i="6" s="1"/>
  <c r="AD10" i="4"/>
  <c r="P10" i="4"/>
  <c r="F9" i="4"/>
  <c r="G9" i="4" s="1"/>
  <c r="H9" i="4" s="1"/>
  <c r="I9" i="4" s="1"/>
  <c r="J9" i="4" s="1"/>
  <c r="K9" i="4" s="1"/>
  <c r="L9" i="4" s="1"/>
  <c r="M9" i="4" s="1"/>
  <c r="N9" i="4" s="1"/>
  <c r="O9" i="4" s="1"/>
  <c r="R9" i="4" s="1"/>
  <c r="S9" i="4" s="1"/>
  <c r="T9" i="4" s="1"/>
  <c r="U9" i="4" s="1"/>
  <c r="V9" i="4" s="1"/>
  <c r="W9" i="4" s="1"/>
  <c r="X9" i="4" s="1"/>
  <c r="Y9" i="4" s="1"/>
  <c r="Z9" i="4" s="1"/>
  <c r="AA9" i="4" s="1"/>
  <c r="AB9" i="4" s="1"/>
  <c r="AC9" i="4" s="1"/>
  <c r="E9" i="4"/>
  <c r="D9" i="4"/>
  <c r="D100" i="3"/>
  <c r="C100" i="3"/>
  <c r="B90" i="3"/>
  <c r="B89" i="3"/>
  <c r="B88" i="3"/>
  <c r="B87" i="3"/>
  <c r="B86" i="3"/>
  <c r="B85" i="3"/>
  <c r="B84" i="3"/>
  <c r="B83" i="3"/>
  <c r="B82" i="3"/>
  <c r="B81" i="3"/>
  <c r="B80" i="3"/>
  <c r="B79" i="3"/>
  <c r="G43" i="3"/>
  <c r="B43" i="3"/>
  <c r="G42" i="3"/>
  <c r="B42" i="3"/>
  <c r="G41" i="3"/>
  <c r="B41" i="3"/>
  <c r="G40" i="3"/>
  <c r="B40" i="3"/>
  <c r="G39" i="3"/>
  <c r="B39" i="3"/>
  <c r="G38" i="3"/>
  <c r="B38" i="3"/>
  <c r="G37" i="3"/>
  <c r="B37" i="3"/>
  <c r="G36" i="3"/>
  <c r="B36" i="3"/>
  <c r="G35" i="3"/>
  <c r="B35" i="3"/>
  <c r="G34" i="3"/>
  <c r="B34" i="3"/>
  <c r="G33" i="3"/>
  <c r="B33" i="3"/>
  <c r="G32" i="3"/>
  <c r="B32" i="3"/>
  <c r="G25" i="3"/>
  <c r="C20" i="15" s="1"/>
  <c r="C41" i="17" s="1"/>
  <c r="G24" i="3"/>
  <c r="C19" i="15" s="1"/>
  <c r="C40" i="17" s="1"/>
  <c r="G23" i="3"/>
  <c r="G22" i="3"/>
  <c r="C17" i="15" s="1"/>
  <c r="C38" i="17" s="1"/>
  <c r="G21" i="3"/>
  <c r="G20" i="3"/>
  <c r="D15" i="15" s="1"/>
  <c r="D36" i="17" s="1"/>
  <c r="G19" i="3"/>
  <c r="C14" i="15" s="1"/>
  <c r="C35" i="17" s="1"/>
  <c r="G18" i="3"/>
  <c r="C13" i="15" s="1"/>
  <c r="C34" i="17" s="1"/>
  <c r="G17" i="3"/>
  <c r="C12" i="15" s="1"/>
  <c r="C33" i="17" s="1"/>
  <c r="G16" i="3"/>
  <c r="G15" i="3"/>
  <c r="C10" i="15" s="1"/>
  <c r="C31" i="17" s="1"/>
  <c r="G14" i="3"/>
  <c r="C9" i="15" s="1"/>
  <c r="C30" i="17" l="1"/>
  <c r="AD30" i="4"/>
  <c r="D6" i="6" s="1"/>
  <c r="E15" i="5"/>
  <c r="E17" i="17" s="1"/>
  <c r="E18" i="5"/>
  <c r="E20" i="17" s="1"/>
  <c r="E10" i="5"/>
  <c r="E12" i="17" s="1"/>
  <c r="E13" i="5"/>
  <c r="E15" i="17" s="1"/>
  <c r="F8" i="5"/>
  <c r="E17" i="5"/>
  <c r="E19" i="17" s="1"/>
  <c r="E9" i="5"/>
  <c r="E16" i="5"/>
  <c r="E18" i="17" s="1"/>
  <c r="AA62" i="6"/>
  <c r="AI42" i="6"/>
  <c r="AI67" i="6" s="1"/>
  <c r="B45" i="6"/>
  <c r="B70" i="6" s="1"/>
  <c r="N20" i="6"/>
  <c r="J45" i="6"/>
  <c r="J70" i="6" s="1"/>
  <c r="AG22" i="6"/>
  <c r="AJ49" i="6"/>
  <c r="H50" i="6"/>
  <c r="H75" i="6" s="1"/>
  <c r="E79" i="6"/>
  <c r="E54" i="6"/>
  <c r="C53" i="17"/>
  <c r="C55" i="18"/>
  <c r="AF61" i="6"/>
  <c r="AF31" i="6"/>
  <c r="AG11" i="6"/>
  <c r="I64" i="6"/>
  <c r="R39" i="6"/>
  <c r="R64" i="6" s="1"/>
  <c r="Z39" i="6"/>
  <c r="Z64" i="6" s="1"/>
  <c r="S67" i="6"/>
  <c r="S42" i="6"/>
  <c r="AA17" i="6"/>
  <c r="AC69" i="6"/>
  <c r="AC44" i="6"/>
  <c r="AD44" i="6" s="1"/>
  <c r="AF72" i="6"/>
  <c r="AF47" i="6"/>
  <c r="AI49" i="6"/>
  <c r="AI74" i="6" s="1"/>
  <c r="AC51" i="6"/>
  <c r="AC76" i="6" s="1"/>
  <c r="AE78" i="6"/>
  <c r="AG78" i="6" s="1"/>
  <c r="AE53" i="6"/>
  <c r="AG53" i="6" s="1"/>
  <c r="AG28" i="6"/>
  <c r="E10" i="7"/>
  <c r="E12" i="7"/>
  <c r="E13" i="7"/>
  <c r="E15" i="7"/>
  <c r="E16" i="7"/>
  <c r="AL30" i="4"/>
  <c r="F6" i="6" s="1"/>
  <c r="G40" i="5"/>
  <c r="O40" i="5"/>
  <c r="O41" i="5" s="1"/>
  <c r="P41" i="5" s="1"/>
  <c r="Q41" i="5" s="1"/>
  <c r="R41" i="5" s="1"/>
  <c r="W40" i="5"/>
  <c r="AE40" i="5"/>
  <c r="AM40" i="5"/>
  <c r="AM41" i="5" s="1"/>
  <c r="AU40" i="5"/>
  <c r="BC40" i="5"/>
  <c r="E40" i="5"/>
  <c r="M40" i="5"/>
  <c r="U40" i="5"/>
  <c r="AC40" i="5"/>
  <c r="AK40" i="5"/>
  <c r="AS40" i="5"/>
  <c r="BA40" i="5"/>
  <c r="BI40" i="5"/>
  <c r="S38" i="6"/>
  <c r="S63" i="6" s="1"/>
  <c r="AA13" i="6"/>
  <c r="C42" i="6"/>
  <c r="C67" i="6" s="1"/>
  <c r="N17" i="6"/>
  <c r="K67" i="6"/>
  <c r="K42" i="6"/>
  <c r="U69" i="6"/>
  <c r="U44" i="6"/>
  <c r="AA22" i="6"/>
  <c r="O47" i="6"/>
  <c r="W72" i="6"/>
  <c r="W47" i="6"/>
  <c r="U51" i="6"/>
  <c r="U76" i="6" s="1"/>
  <c r="O53" i="6"/>
  <c r="AA28" i="6"/>
  <c r="W53" i="6"/>
  <c r="W78" i="6" s="1"/>
  <c r="B31" i="6"/>
  <c r="AJ51" i="6"/>
  <c r="H40" i="5"/>
  <c r="P40" i="5"/>
  <c r="X40" i="5"/>
  <c r="AF40" i="5"/>
  <c r="AN40" i="5"/>
  <c r="AV40" i="5"/>
  <c r="BD40" i="5"/>
  <c r="AA11" i="6"/>
  <c r="P31" i="6"/>
  <c r="X61" i="6"/>
  <c r="X31" i="6"/>
  <c r="N13" i="6"/>
  <c r="E69" i="6"/>
  <c r="E44" i="6"/>
  <c r="M69" i="6"/>
  <c r="AF46" i="6"/>
  <c r="AF71" i="6" s="1"/>
  <c r="S49" i="6"/>
  <c r="S74" i="6" s="1"/>
  <c r="AA24" i="6"/>
  <c r="E51" i="6"/>
  <c r="E76" i="6" s="1"/>
  <c r="M51" i="6"/>
  <c r="M76" i="6" s="1"/>
  <c r="G78" i="6"/>
  <c r="G53" i="6"/>
  <c r="AD30" i="6"/>
  <c r="AB55" i="6"/>
  <c r="AD55" i="6" s="1"/>
  <c r="M31" i="6"/>
  <c r="C38" i="6"/>
  <c r="B66" i="6"/>
  <c r="P30" i="4"/>
  <c r="C6" i="6" s="1"/>
  <c r="H61" i="6"/>
  <c r="H31" i="6"/>
  <c r="F41" i="6"/>
  <c r="F56" i="6" s="1"/>
  <c r="N16" i="6"/>
  <c r="V41" i="6"/>
  <c r="V66" i="6"/>
  <c r="AF43" i="6"/>
  <c r="AF68" i="6" s="1"/>
  <c r="C74" i="6"/>
  <c r="C49" i="6"/>
  <c r="N49" i="6" s="1"/>
  <c r="N24" i="6"/>
  <c r="K74" i="6"/>
  <c r="K49" i="6"/>
  <c r="AG25" i="6"/>
  <c r="AH52" i="6"/>
  <c r="AJ52" i="6" s="1"/>
  <c r="AJ27" i="6"/>
  <c r="C55" i="6"/>
  <c r="C80" i="6"/>
  <c r="K55" i="6"/>
  <c r="K80" i="6" s="1"/>
  <c r="T80" i="6"/>
  <c r="T55" i="6"/>
  <c r="W31" i="6"/>
  <c r="AJ41" i="6"/>
  <c r="P61" i="6"/>
  <c r="J40" i="5"/>
  <c r="R40" i="5"/>
  <c r="Z40" i="5"/>
  <c r="AP40" i="5"/>
  <c r="AX40" i="5"/>
  <c r="BF40" i="5"/>
  <c r="AC62" i="6"/>
  <c r="AD62" i="6" s="1"/>
  <c r="AC31" i="6"/>
  <c r="AD12" i="6"/>
  <c r="G65" i="6"/>
  <c r="P40" i="6"/>
  <c r="P65" i="6"/>
  <c r="X40" i="6"/>
  <c r="X56" i="6" s="1"/>
  <c r="P71" i="6"/>
  <c r="AA21" i="6"/>
  <c r="X46" i="6"/>
  <c r="X71" i="6" s="1"/>
  <c r="AF50" i="6"/>
  <c r="AF75" i="6" s="1"/>
  <c r="AJ38" i="6"/>
  <c r="AH63" i="6"/>
  <c r="K63" i="6"/>
  <c r="AP30" i="4"/>
  <c r="G6" i="6" s="1"/>
  <c r="AH40" i="5"/>
  <c r="C17" i="5"/>
  <c r="C19" i="17" s="1"/>
  <c r="C57" i="17" s="1"/>
  <c r="C17" i="18" s="1"/>
  <c r="C9" i="5"/>
  <c r="C20" i="5"/>
  <c r="C22" i="17" s="1"/>
  <c r="C60" i="17" s="1"/>
  <c r="C20" i="18" s="1"/>
  <c r="C12" i="5"/>
  <c r="C14" i="17" s="1"/>
  <c r="C52" i="17" s="1"/>
  <c r="C15" i="5"/>
  <c r="C17" i="17" s="1"/>
  <c r="C19" i="5"/>
  <c r="C21" i="17" s="1"/>
  <c r="C59" i="17" s="1"/>
  <c r="C19" i="18" s="1"/>
  <c r="C11" i="5"/>
  <c r="C13" i="17" s="1"/>
  <c r="D9" i="5"/>
  <c r="C16" i="5"/>
  <c r="C18" i="17" s="1"/>
  <c r="N11" i="6"/>
  <c r="J31" i="6"/>
  <c r="AA38" i="6"/>
  <c r="H40" i="6"/>
  <c r="H65" i="6"/>
  <c r="AA18" i="6"/>
  <c r="X68" i="6"/>
  <c r="X43" i="6"/>
  <c r="AH70" i="6"/>
  <c r="AJ70" i="6" s="1"/>
  <c r="AJ20" i="6"/>
  <c r="AH45" i="6"/>
  <c r="AJ45" i="6" s="1"/>
  <c r="H71" i="6"/>
  <c r="H46" i="6"/>
  <c r="U73" i="6"/>
  <c r="U48" i="6"/>
  <c r="R77" i="6"/>
  <c r="R52" i="6"/>
  <c r="Z77" i="6"/>
  <c r="Z52" i="6"/>
  <c r="AC79" i="6"/>
  <c r="P43" i="6"/>
  <c r="P68" i="6" s="1"/>
  <c r="M54" i="6"/>
  <c r="M79" i="6" s="1"/>
  <c r="AD61" i="6"/>
  <c r="AC63" i="6"/>
  <c r="G29" i="13"/>
  <c r="G14" i="14" s="1"/>
  <c r="F29" i="13"/>
  <c r="F14" i="14" s="1"/>
  <c r="E29" i="13"/>
  <c r="E14" i="14" s="1"/>
  <c r="D29" i="13"/>
  <c r="D14" i="14" s="1"/>
  <c r="C29" i="13"/>
  <c r="D20" i="5"/>
  <c r="D22" i="17" s="1"/>
  <c r="D12" i="5"/>
  <c r="D14" i="17" s="1"/>
  <c r="D15" i="5"/>
  <c r="D17" i="17" s="1"/>
  <c r="D55" i="17" s="1"/>
  <c r="D18" i="5"/>
  <c r="D20" i="17" s="1"/>
  <c r="D10" i="5"/>
  <c r="D12" i="17" s="1"/>
  <c r="D14" i="5"/>
  <c r="D16" i="17" s="1"/>
  <c r="D16" i="5"/>
  <c r="D18" i="17" s="1"/>
  <c r="D40" i="5"/>
  <c r="L40" i="5"/>
  <c r="T40" i="5"/>
  <c r="AB40" i="5"/>
  <c r="AJ40" i="5"/>
  <c r="AR40" i="5"/>
  <c r="AZ40" i="5"/>
  <c r="BH40" i="5"/>
  <c r="C53" i="18"/>
  <c r="D53" i="18" s="1"/>
  <c r="E53" i="18" s="1"/>
  <c r="C40" i="5"/>
  <c r="C41" i="5" s="1"/>
  <c r="D41" i="5" s="1"/>
  <c r="E41" i="5" s="1"/>
  <c r="F41" i="5" s="1"/>
  <c r="G41" i="5" s="1"/>
  <c r="H41" i="5" s="1"/>
  <c r="I41" i="5" s="1"/>
  <c r="J41" i="5" s="1"/>
  <c r="K41" i="5" s="1"/>
  <c r="L41" i="5" s="1"/>
  <c r="M41" i="5" s="1"/>
  <c r="N41" i="5" s="1"/>
  <c r="C11" i="13" s="1"/>
  <c r="K40" i="5"/>
  <c r="S40" i="5"/>
  <c r="AA40" i="5"/>
  <c r="AA41" i="5" s="1"/>
  <c r="AB41" i="5" s="1"/>
  <c r="AC41" i="5" s="1"/>
  <c r="AD41" i="5" s="1"/>
  <c r="AE41" i="5" s="1"/>
  <c r="AF41" i="5" s="1"/>
  <c r="AG41" i="5" s="1"/>
  <c r="AH41" i="5" s="1"/>
  <c r="AI41" i="5" s="1"/>
  <c r="AJ41" i="5" s="1"/>
  <c r="AK41" i="5" s="1"/>
  <c r="AL41" i="5" s="1"/>
  <c r="E11" i="13" s="1"/>
  <c r="AI40" i="5"/>
  <c r="AQ40" i="5"/>
  <c r="AY40" i="5"/>
  <c r="AY41" i="5" s="1"/>
  <c r="AZ41" i="5" s="1"/>
  <c r="BA41" i="5" s="1"/>
  <c r="BB41" i="5" s="1"/>
  <c r="BC41" i="5" s="1"/>
  <c r="BD41" i="5" s="1"/>
  <c r="BE41" i="5" s="1"/>
  <c r="BF41" i="5" s="1"/>
  <c r="BG41" i="5" s="1"/>
  <c r="BH41" i="5" s="1"/>
  <c r="BI41" i="5" s="1"/>
  <c r="BJ41" i="5" s="1"/>
  <c r="G11" i="13" s="1"/>
  <c r="BG40" i="5"/>
  <c r="T31" i="6"/>
  <c r="E62" i="6"/>
  <c r="N62" i="6" s="1"/>
  <c r="E31" i="6"/>
  <c r="N12" i="6"/>
  <c r="AI39" i="6"/>
  <c r="AJ39" i="6" s="1"/>
  <c r="AI64" i="6"/>
  <c r="AJ17" i="6"/>
  <c r="H43" i="6"/>
  <c r="H68" i="6" s="1"/>
  <c r="R45" i="6"/>
  <c r="R70" i="6" s="1"/>
  <c r="Z45" i="6"/>
  <c r="Z70" i="6" s="1"/>
  <c r="E73" i="6"/>
  <c r="E48" i="6"/>
  <c r="N48" i="6" s="1"/>
  <c r="M73" i="6"/>
  <c r="M48" i="6"/>
  <c r="AA25" i="6"/>
  <c r="P50" i="6"/>
  <c r="AA50" i="6" s="1"/>
  <c r="X75" i="6"/>
  <c r="X50" i="6"/>
  <c r="B77" i="6"/>
  <c r="B52" i="6"/>
  <c r="N27" i="6"/>
  <c r="J77" i="6"/>
  <c r="J52" i="6"/>
  <c r="U79" i="6"/>
  <c r="U54" i="6"/>
  <c r="AG39" i="6"/>
  <c r="AM54" i="10"/>
  <c r="C50" i="18"/>
  <c r="D50" i="18" s="1"/>
  <c r="E50" i="18" s="1"/>
  <c r="C58" i="18"/>
  <c r="D58" i="18" s="1"/>
  <c r="E58" i="18" s="1"/>
  <c r="L63" i="6"/>
  <c r="N14" i="6"/>
  <c r="J39" i="6"/>
  <c r="J64" i="6" s="1"/>
  <c r="S39" i="6"/>
  <c r="S64" i="6"/>
  <c r="AA14" i="6"/>
  <c r="AJ14" i="6"/>
  <c r="I65" i="6"/>
  <c r="Q65" i="6"/>
  <c r="W41" i="6"/>
  <c r="W66" i="6"/>
  <c r="D67" i="6"/>
  <c r="T67" i="6"/>
  <c r="I68" i="6"/>
  <c r="F69" i="6"/>
  <c r="V69" i="6"/>
  <c r="AD19" i="6"/>
  <c r="C70" i="6"/>
  <c r="K45" i="6"/>
  <c r="K70" i="6" s="1"/>
  <c r="S70" i="6"/>
  <c r="G72" i="6"/>
  <c r="P72" i="6"/>
  <c r="X72" i="6"/>
  <c r="N23" i="6"/>
  <c r="AE73" i="6"/>
  <c r="D74" i="6"/>
  <c r="T74" i="6"/>
  <c r="AB74" i="6"/>
  <c r="AJ24" i="6"/>
  <c r="Q75" i="6"/>
  <c r="N26" i="6"/>
  <c r="V76" i="6"/>
  <c r="AD26" i="6"/>
  <c r="AA27" i="6"/>
  <c r="H53" i="6"/>
  <c r="H78" i="6" s="1"/>
  <c r="P78" i="6"/>
  <c r="X78" i="6"/>
  <c r="F79" i="6"/>
  <c r="F54" i="6"/>
  <c r="N54" i="6" s="1"/>
  <c r="N29" i="6"/>
  <c r="U55" i="6"/>
  <c r="U80" i="6" s="1"/>
  <c r="AC80" i="6"/>
  <c r="D31" i="6"/>
  <c r="Y31" i="6"/>
  <c r="D38" i="6"/>
  <c r="G40" i="6"/>
  <c r="AB40" i="6"/>
  <c r="AD40" i="6" s="1"/>
  <c r="O41" i="6"/>
  <c r="O56" i="6" s="1"/>
  <c r="C44" i="6"/>
  <c r="C69" i="6" s="1"/>
  <c r="AE45" i="6"/>
  <c r="AG45" i="6" s="1"/>
  <c r="X47" i="6"/>
  <c r="Q51" i="6"/>
  <c r="AA51" i="6" s="1"/>
  <c r="B61" i="6"/>
  <c r="AG61" i="6"/>
  <c r="AF63" i="6"/>
  <c r="L71" i="6"/>
  <c r="Y72" i="6"/>
  <c r="I75" i="6"/>
  <c r="D79" i="6"/>
  <c r="Q80" i="6"/>
  <c r="G54" i="10"/>
  <c r="V54" i="10"/>
  <c r="E63" i="6"/>
  <c r="T39" i="6"/>
  <c r="T56" i="6" s="1"/>
  <c r="AD14" i="6"/>
  <c r="B65" i="6"/>
  <c r="R65" i="6"/>
  <c r="B71" i="6"/>
  <c r="J71" i="6"/>
  <c r="Z71" i="6"/>
  <c r="H72" i="6"/>
  <c r="AH72" i="6"/>
  <c r="G73" i="6"/>
  <c r="O73" i="6"/>
  <c r="O48" i="6"/>
  <c r="AA23" i="6"/>
  <c r="AF48" i="6"/>
  <c r="AG48" i="6" s="1"/>
  <c r="AF73" i="6"/>
  <c r="M49" i="6"/>
  <c r="M74" i="6"/>
  <c r="AC49" i="6"/>
  <c r="AC74" i="6" s="1"/>
  <c r="J50" i="6"/>
  <c r="J75" i="6" s="1"/>
  <c r="R50" i="6"/>
  <c r="R75" i="6" s="1"/>
  <c r="Z50" i="6"/>
  <c r="Z75" i="6"/>
  <c r="G51" i="6"/>
  <c r="G76" i="6" s="1"/>
  <c r="W51" i="6"/>
  <c r="W76" i="6" s="1"/>
  <c r="D52" i="6"/>
  <c r="D77" i="6" s="1"/>
  <c r="L77" i="6"/>
  <c r="L52" i="6"/>
  <c r="T52" i="6"/>
  <c r="T77" i="6"/>
  <c r="AB52" i="6"/>
  <c r="AD52" i="6" s="1"/>
  <c r="AB77" i="6"/>
  <c r="I53" i="6"/>
  <c r="I78" i="6" s="1"/>
  <c r="Q53" i="6"/>
  <c r="Q78" i="6" s="1"/>
  <c r="Y53" i="6"/>
  <c r="Y78" i="6"/>
  <c r="G54" i="6"/>
  <c r="G79" i="6" s="1"/>
  <c r="W79" i="6"/>
  <c r="AE79" i="6"/>
  <c r="AG79" i="6" s="1"/>
  <c r="AG29" i="6"/>
  <c r="Z31" i="6"/>
  <c r="E38" i="6"/>
  <c r="R46" i="6"/>
  <c r="R71" i="6" s="1"/>
  <c r="AD49" i="6"/>
  <c r="M55" i="6"/>
  <c r="M80" i="6" s="1"/>
  <c r="AH61" i="6"/>
  <c r="P63" i="6"/>
  <c r="E74" i="6"/>
  <c r="AR14" i="8"/>
  <c r="AQ14" i="8"/>
  <c r="AQ28" i="8" s="1"/>
  <c r="F25" i="13" s="1"/>
  <c r="AP14" i="8"/>
  <c r="AE28" i="8"/>
  <c r="E11" i="14" s="1"/>
  <c r="C52" i="18"/>
  <c r="D52" i="18" s="1"/>
  <c r="E52" i="18" s="1"/>
  <c r="C31" i="6"/>
  <c r="K31" i="6"/>
  <c r="S31" i="6"/>
  <c r="AI31" i="6"/>
  <c r="AD13" i="6"/>
  <c r="L64" i="6"/>
  <c r="AC64" i="6"/>
  <c r="AC39" i="6"/>
  <c r="AC56" i="6" s="1"/>
  <c r="C65" i="6"/>
  <c r="Y66" i="6"/>
  <c r="F67" i="6"/>
  <c r="F42" i="6"/>
  <c r="V67" i="6"/>
  <c r="C68" i="6"/>
  <c r="K68" i="6"/>
  <c r="S68" i="6"/>
  <c r="AI68" i="6"/>
  <c r="AI43" i="6"/>
  <c r="AJ43" i="6" s="1"/>
  <c r="X69" i="6"/>
  <c r="E70" i="6"/>
  <c r="M70" i="6"/>
  <c r="U70" i="6"/>
  <c r="AC45" i="6"/>
  <c r="AD45" i="6" s="1"/>
  <c r="C46" i="6"/>
  <c r="C71" i="6" s="1"/>
  <c r="K71" i="6"/>
  <c r="S71" i="6"/>
  <c r="AJ21" i="6"/>
  <c r="AI47" i="6"/>
  <c r="AI72" i="6" s="1"/>
  <c r="P48" i="6"/>
  <c r="P73" i="6"/>
  <c r="X48" i="6"/>
  <c r="X73" i="6" s="1"/>
  <c r="AG23" i="6"/>
  <c r="F74" i="6"/>
  <c r="AD24" i="6"/>
  <c r="C75" i="6"/>
  <c r="S50" i="6"/>
  <c r="S75" i="6" s="1"/>
  <c r="P76" i="6"/>
  <c r="M52" i="6"/>
  <c r="M77" i="6" s="1"/>
  <c r="AC77" i="6"/>
  <c r="J78" i="6"/>
  <c r="AJ28" i="6"/>
  <c r="P54" i="6"/>
  <c r="AA54" i="6" s="1"/>
  <c r="P79" i="6"/>
  <c r="X54" i="6"/>
  <c r="X79" i="6" s="1"/>
  <c r="AF79" i="6"/>
  <c r="G31" i="6"/>
  <c r="Q31" i="6"/>
  <c r="AB31" i="6"/>
  <c r="AD38" i="6"/>
  <c r="AB56" i="6"/>
  <c r="D39" i="6"/>
  <c r="D64" i="6" s="1"/>
  <c r="J40" i="6"/>
  <c r="J65" i="6" s="1"/>
  <c r="Q41" i="6"/>
  <c r="Q66" i="6" s="1"/>
  <c r="P44" i="6"/>
  <c r="P69" i="6" s="1"/>
  <c r="M45" i="6"/>
  <c r="S46" i="6"/>
  <c r="Z47" i="6"/>
  <c r="Z72" i="6" s="1"/>
  <c r="H51" i="6"/>
  <c r="H76" i="6" s="1"/>
  <c r="AF51" i="6"/>
  <c r="AF76" i="6" s="1"/>
  <c r="K53" i="6"/>
  <c r="K78" i="6" s="1"/>
  <c r="Z53" i="6"/>
  <c r="Z78" i="6" s="1"/>
  <c r="T61" i="6"/>
  <c r="AI61" i="6"/>
  <c r="B64" i="6"/>
  <c r="D65" i="6"/>
  <c r="B67" i="6"/>
  <c r="P70" i="6"/>
  <c r="W71" i="6"/>
  <c r="T75" i="6"/>
  <c r="AE76" i="6"/>
  <c r="O79" i="6"/>
  <c r="C49" i="18"/>
  <c r="D49" i="18" s="1"/>
  <c r="E49" i="18" s="1"/>
  <c r="C57" i="18"/>
  <c r="D57" i="18" s="1"/>
  <c r="E57" i="18" s="1"/>
  <c r="AG12" i="6"/>
  <c r="G63" i="6"/>
  <c r="O63" i="6"/>
  <c r="AE63" i="6"/>
  <c r="AG63" i="6" s="1"/>
  <c r="AG13" i="6"/>
  <c r="L65" i="6"/>
  <c r="L40" i="6"/>
  <c r="L56" i="6" s="1"/>
  <c r="T65" i="6"/>
  <c r="AC65" i="6"/>
  <c r="R66" i="6"/>
  <c r="Z66" i="6"/>
  <c r="AH66" i="6"/>
  <c r="AJ66" i="6" s="1"/>
  <c r="G67" i="6"/>
  <c r="O67" i="6"/>
  <c r="O42" i="6"/>
  <c r="W67" i="6"/>
  <c r="AE67" i="6"/>
  <c r="L68" i="6"/>
  <c r="T68" i="6"/>
  <c r="AB68" i="6"/>
  <c r="AD68" i="6" s="1"/>
  <c r="I69" i="6"/>
  <c r="I44" i="6"/>
  <c r="Y69" i="6"/>
  <c r="F70" i="6"/>
  <c r="V70" i="6"/>
  <c r="T71" i="6"/>
  <c r="N22" i="6"/>
  <c r="S47" i="6"/>
  <c r="S72" i="6" s="1"/>
  <c r="AJ22" i="6"/>
  <c r="I73" i="6"/>
  <c r="Y48" i="6"/>
  <c r="Y73" i="6" s="1"/>
  <c r="AH48" i="6"/>
  <c r="AJ48" i="6" s="1"/>
  <c r="O74" i="6"/>
  <c r="AE74" i="6"/>
  <c r="D50" i="6"/>
  <c r="L75" i="6"/>
  <c r="AB75" i="6"/>
  <c r="AD75" i="6" s="1"/>
  <c r="AB50" i="6"/>
  <c r="AD50" i="6" s="1"/>
  <c r="AJ25" i="6"/>
  <c r="AG26" i="6"/>
  <c r="F77" i="6"/>
  <c r="V52" i="6"/>
  <c r="V77" i="6"/>
  <c r="AD27" i="6"/>
  <c r="AI78" i="6"/>
  <c r="AH54" i="6"/>
  <c r="AJ54" i="6" s="1"/>
  <c r="G55" i="6"/>
  <c r="G80" i="6" s="1"/>
  <c r="P80" i="6"/>
  <c r="P55" i="6"/>
  <c r="X80" i="6"/>
  <c r="AG30" i="6"/>
  <c r="R31" i="6"/>
  <c r="H56" i="6"/>
  <c r="E39" i="6"/>
  <c r="E64" i="6" s="1"/>
  <c r="AA39" i="6"/>
  <c r="R41" i="6"/>
  <c r="K43" i="6"/>
  <c r="K56" i="6" s="1"/>
  <c r="Q44" i="6"/>
  <c r="Q69" i="6" s="1"/>
  <c r="J46" i="6"/>
  <c r="T46" i="6"/>
  <c r="Q47" i="6"/>
  <c r="Q72" i="6" s="1"/>
  <c r="W48" i="6"/>
  <c r="W73" i="6" s="1"/>
  <c r="I51" i="6"/>
  <c r="I76" i="6" s="1"/>
  <c r="H54" i="6"/>
  <c r="H79" i="6" s="1"/>
  <c r="AE55" i="6"/>
  <c r="AG55" i="6" s="1"/>
  <c r="B63" i="6"/>
  <c r="T63" i="6"/>
  <c r="C64" i="6"/>
  <c r="W65" i="6"/>
  <c r="I66" i="6"/>
  <c r="J67" i="6"/>
  <c r="M68" i="6"/>
  <c r="R69" i="6"/>
  <c r="AB71" i="6"/>
  <c r="F73" i="6"/>
  <c r="C77" i="6"/>
  <c r="V79" i="6"/>
  <c r="G12" i="14"/>
  <c r="G23" i="14" s="1"/>
  <c r="G25" i="14" s="1"/>
  <c r="AK28" i="8"/>
  <c r="AR9" i="8"/>
  <c r="AH62" i="6"/>
  <c r="AJ62" i="6" s="1"/>
  <c r="AJ12" i="6"/>
  <c r="AJ31" i="6" s="1"/>
  <c r="G8" i="19" s="1"/>
  <c r="H63" i="6"/>
  <c r="X63" i="6"/>
  <c r="W64" i="6"/>
  <c r="AF64" i="6"/>
  <c r="AG64" i="6" s="1"/>
  <c r="U65" i="6"/>
  <c r="U40" i="6"/>
  <c r="AD15" i="6"/>
  <c r="C66" i="6"/>
  <c r="AA16" i="6"/>
  <c r="H67" i="6"/>
  <c r="X67" i="6"/>
  <c r="X42" i="6"/>
  <c r="AF67" i="6"/>
  <c r="U68" i="6"/>
  <c r="AC68" i="6"/>
  <c r="B69" i="6"/>
  <c r="Z69" i="6"/>
  <c r="AH69" i="6"/>
  <c r="AJ69" i="6" s="1"/>
  <c r="G70" i="6"/>
  <c r="O70" i="6"/>
  <c r="E71" i="6"/>
  <c r="AC71" i="6"/>
  <c r="C47" i="6"/>
  <c r="C72" i="6"/>
  <c r="T72" i="6"/>
  <c r="AD22" i="6"/>
  <c r="AB72" i="6"/>
  <c r="AD72" i="6" s="1"/>
  <c r="B73" i="6"/>
  <c r="J73" i="6"/>
  <c r="R73" i="6"/>
  <c r="B79" i="6"/>
  <c r="J54" i="6"/>
  <c r="J79" i="6" s="1"/>
  <c r="R79" i="6"/>
  <c r="Z79" i="6"/>
  <c r="AI79" i="6"/>
  <c r="H55" i="6"/>
  <c r="H80" i="6" s="1"/>
  <c r="Y55" i="6"/>
  <c r="Y80" i="6" s="1"/>
  <c r="AH55" i="6"/>
  <c r="AJ55" i="6" s="1"/>
  <c r="I31" i="6"/>
  <c r="J38" i="6"/>
  <c r="J63" i="6" s="1"/>
  <c r="AE38" i="6"/>
  <c r="B40" i="6"/>
  <c r="B56" i="6" s="1"/>
  <c r="AH40" i="6"/>
  <c r="AJ40" i="6" s="1"/>
  <c r="S41" i="6"/>
  <c r="S66" i="6" s="1"/>
  <c r="P42" i="6"/>
  <c r="P67" i="6" s="1"/>
  <c r="L43" i="6"/>
  <c r="H44" i="6"/>
  <c r="H69" i="6" s="1"/>
  <c r="E45" i="6"/>
  <c r="O45" i="6"/>
  <c r="K46" i="6"/>
  <c r="H47" i="6"/>
  <c r="V49" i="6"/>
  <c r="V74" i="6" s="1"/>
  <c r="K50" i="6"/>
  <c r="K75" i="6" s="1"/>
  <c r="V51" i="6"/>
  <c r="B53" i="6"/>
  <c r="W54" i="6"/>
  <c r="D55" i="6"/>
  <c r="D80" i="6" s="1"/>
  <c r="J61" i="6"/>
  <c r="V63" i="6"/>
  <c r="Z65" i="6"/>
  <c r="Q68" i="6"/>
  <c r="T69" i="6"/>
  <c r="Y70" i="6"/>
  <c r="B72" i="6"/>
  <c r="H73" i="6"/>
  <c r="U74" i="6"/>
  <c r="AH75" i="6"/>
  <c r="R78" i="6"/>
  <c r="C51" i="18"/>
  <c r="D51" i="18" s="1"/>
  <c r="E51" i="18" s="1"/>
  <c r="C59" i="18"/>
  <c r="F61" i="6"/>
  <c r="F31" i="6"/>
  <c r="AD11" i="6"/>
  <c r="AA12" i="6"/>
  <c r="I63" i="6"/>
  <c r="Q63" i="6"/>
  <c r="G64" i="6"/>
  <c r="P64" i="6"/>
  <c r="F65" i="6"/>
  <c r="N15" i="6"/>
  <c r="D41" i="6"/>
  <c r="D66" i="6" s="1"/>
  <c r="L66" i="6"/>
  <c r="AB66" i="6"/>
  <c r="AJ16" i="6"/>
  <c r="I67" i="6"/>
  <c r="AG17" i="6"/>
  <c r="F68" i="6"/>
  <c r="N18" i="6"/>
  <c r="V68" i="6"/>
  <c r="AD18" i="6"/>
  <c r="K69" i="6"/>
  <c r="S69" i="6"/>
  <c r="AA19" i="6"/>
  <c r="X70" i="6"/>
  <c r="AF70" i="6"/>
  <c r="F46" i="6"/>
  <c r="F71" i="6"/>
  <c r="N21" i="6"/>
  <c r="V46" i="6"/>
  <c r="V71" i="6" s="1"/>
  <c r="L72" i="6"/>
  <c r="U72" i="6"/>
  <c r="AC72" i="6"/>
  <c r="AB73" i="6"/>
  <c r="AJ23" i="6"/>
  <c r="I74" i="6"/>
  <c r="Q74" i="6"/>
  <c r="Q49" i="6"/>
  <c r="AA49" i="6" s="1"/>
  <c r="Y74" i="6"/>
  <c r="AG24" i="6"/>
  <c r="F75" i="6"/>
  <c r="N25" i="6"/>
  <c r="V75" i="6"/>
  <c r="V50" i="6"/>
  <c r="AD25" i="6"/>
  <c r="C76" i="6"/>
  <c r="K51" i="6"/>
  <c r="K76" i="6" s="1"/>
  <c r="S76" i="6"/>
  <c r="AA26" i="6"/>
  <c r="AI76" i="6"/>
  <c r="H77" i="6"/>
  <c r="P77" i="6"/>
  <c r="P52" i="6"/>
  <c r="AF77" i="6"/>
  <c r="E53" i="6"/>
  <c r="E78" i="6" s="1"/>
  <c r="M78" i="6"/>
  <c r="M53" i="6"/>
  <c r="U78" i="6"/>
  <c r="AC78" i="6"/>
  <c r="C79" i="6"/>
  <c r="K79" i="6"/>
  <c r="S54" i="6"/>
  <c r="S79" i="6" s="1"/>
  <c r="AA29" i="6"/>
  <c r="AJ29" i="6"/>
  <c r="I80" i="6"/>
  <c r="R80" i="6"/>
  <c r="Z55" i="6"/>
  <c r="Z80" i="6" s="1"/>
  <c r="AI55" i="6"/>
  <c r="AI80" i="6" s="1"/>
  <c r="U31" i="6"/>
  <c r="AE31" i="6"/>
  <c r="U38" i="6"/>
  <c r="G39" i="6"/>
  <c r="G56" i="6" s="1"/>
  <c r="AB39" i="6"/>
  <c r="AD39" i="6" s="1"/>
  <c r="Y40" i="6"/>
  <c r="Y56" i="6" s="1"/>
  <c r="J41" i="6"/>
  <c r="J66" i="6" s="1"/>
  <c r="AE41" i="6"/>
  <c r="AG41" i="6" s="1"/>
  <c r="G42" i="6"/>
  <c r="Q42" i="6"/>
  <c r="Q56" i="6" s="1"/>
  <c r="AB42" i="6"/>
  <c r="AD42" i="6" s="1"/>
  <c r="C43" i="6"/>
  <c r="J44" i="6"/>
  <c r="J69" i="6" s="1"/>
  <c r="F45" i="6"/>
  <c r="B46" i="6"/>
  <c r="M46" i="6"/>
  <c r="M71" i="6" s="1"/>
  <c r="AH46" i="6"/>
  <c r="AJ46" i="6" s="1"/>
  <c r="I47" i="6"/>
  <c r="I72" i="6" s="1"/>
  <c r="T47" i="6"/>
  <c r="Q48" i="6"/>
  <c r="Q73" i="6" s="1"/>
  <c r="L49" i="6"/>
  <c r="L74" i="6" s="1"/>
  <c r="W49" i="6"/>
  <c r="W74" i="6" s="1"/>
  <c r="L50" i="6"/>
  <c r="AI50" i="6"/>
  <c r="AJ50" i="6" s="1"/>
  <c r="Y51" i="6"/>
  <c r="Y76" i="6" s="1"/>
  <c r="K52" i="6"/>
  <c r="K77" i="6" s="1"/>
  <c r="X52" i="6"/>
  <c r="X77" i="6" s="1"/>
  <c r="C53" i="6"/>
  <c r="C78" i="6" s="1"/>
  <c r="P53" i="6"/>
  <c r="K54" i="6"/>
  <c r="Z54" i="6"/>
  <c r="E55" i="6"/>
  <c r="E80" i="6" s="1"/>
  <c r="K61" i="6"/>
  <c r="F63" i="6"/>
  <c r="H64" i="6"/>
  <c r="R67" i="6"/>
  <c r="W68" i="6"/>
  <c r="AB69" i="6"/>
  <c r="AD69" i="6" s="1"/>
  <c r="C48" i="18"/>
  <c r="C56" i="18"/>
  <c r="D56" i="18" s="1"/>
  <c r="E56" i="18" s="1"/>
  <c r="AA61" i="6"/>
  <c r="R38" i="6"/>
  <c r="R63" i="6" s="1"/>
  <c r="Z63" i="6"/>
  <c r="AI63" i="6"/>
  <c r="Y64" i="6"/>
  <c r="AH64" i="6"/>
  <c r="AA15" i="6"/>
  <c r="O65" i="6"/>
  <c r="E41" i="6"/>
  <c r="E66" i="6"/>
  <c r="M41" i="6"/>
  <c r="M56" i="6" s="1"/>
  <c r="M66" i="6"/>
  <c r="U41" i="6"/>
  <c r="U66" i="6" s="1"/>
  <c r="AC41" i="6"/>
  <c r="AD41" i="6" s="1"/>
  <c r="Z42" i="6"/>
  <c r="Z56" i="6" s="1"/>
  <c r="Z67" i="6"/>
  <c r="AH42" i="6"/>
  <c r="AJ42" i="6" s="1"/>
  <c r="AH67" i="6"/>
  <c r="G68" i="6"/>
  <c r="G43" i="6"/>
  <c r="O43" i="6"/>
  <c r="O68" i="6" s="1"/>
  <c r="AA68" i="6" s="1"/>
  <c r="AE43" i="6"/>
  <c r="AG43" i="6" s="1"/>
  <c r="AE68" i="6"/>
  <c r="D44" i="6"/>
  <c r="D69" i="6"/>
  <c r="L44" i="6"/>
  <c r="L69" i="6" s="1"/>
  <c r="I45" i="6"/>
  <c r="I70" i="6" s="1"/>
  <c r="Q45" i="6"/>
  <c r="Q70" i="6"/>
  <c r="AE46" i="6"/>
  <c r="AG46" i="6" s="1"/>
  <c r="AG21" i="6"/>
  <c r="E47" i="6"/>
  <c r="N47" i="6" s="1"/>
  <c r="M72" i="6"/>
  <c r="D73" i="6"/>
  <c r="L73" i="6"/>
  <c r="T73" i="6"/>
  <c r="AC73" i="6"/>
  <c r="B74" i="6"/>
  <c r="J74" i="6"/>
  <c r="R74" i="6"/>
  <c r="Z74" i="6"/>
  <c r="Z49" i="6"/>
  <c r="AH74" i="6"/>
  <c r="G75" i="6"/>
  <c r="O75" i="6"/>
  <c r="W75" i="6"/>
  <c r="AE75" i="6"/>
  <c r="AE50" i="6"/>
  <c r="AG50" i="6" s="1"/>
  <c r="D76" i="6"/>
  <c r="L76" i="6"/>
  <c r="T51" i="6"/>
  <c r="T76" i="6" s="1"/>
  <c r="AB76" i="6"/>
  <c r="I77" i="6"/>
  <c r="Q77" i="6"/>
  <c r="Y52" i="6"/>
  <c r="Y77" i="6" s="1"/>
  <c r="F78" i="6"/>
  <c r="N28" i="6"/>
  <c r="V78" i="6"/>
  <c r="V53" i="6"/>
  <c r="L79" i="6"/>
  <c r="T79" i="6"/>
  <c r="AB54" i="6"/>
  <c r="AD54" i="6" s="1"/>
  <c r="N30" i="6"/>
  <c r="B55" i="6"/>
  <c r="N55" i="6" s="1"/>
  <c r="J80" i="6"/>
  <c r="AA30" i="6"/>
  <c r="L31" i="6"/>
  <c r="V31" i="6"/>
  <c r="W38" i="6"/>
  <c r="W63" i="6" s="1"/>
  <c r="O40" i="6"/>
  <c r="D43" i="6"/>
  <c r="D68" i="6" s="1"/>
  <c r="AF44" i="6"/>
  <c r="AG44" i="6" s="1"/>
  <c r="D46" i="6"/>
  <c r="D71" i="6" s="1"/>
  <c r="O46" i="6"/>
  <c r="AA46" i="6" s="1"/>
  <c r="AI46" i="6"/>
  <c r="AI71" i="6" s="1"/>
  <c r="J47" i="6"/>
  <c r="J72" i="6" s="1"/>
  <c r="AE47" i="6"/>
  <c r="AG47" i="6" s="1"/>
  <c r="G48" i="6"/>
  <c r="S53" i="6"/>
  <c r="S78" i="6" s="1"/>
  <c r="AH53" i="6"/>
  <c r="L54" i="6"/>
  <c r="AB63" i="6"/>
  <c r="AD63" i="6" s="1"/>
  <c r="K64" i="6"/>
  <c r="E54" i="10"/>
  <c r="T54" i="10"/>
  <c r="AG54" i="10"/>
  <c r="F54" i="10"/>
  <c r="U54" i="10"/>
  <c r="G10" i="11"/>
  <c r="H10" i="11" s="1"/>
  <c r="I10" i="11" s="1"/>
  <c r="J10" i="11" s="1"/>
  <c r="K10" i="11" s="1"/>
  <c r="L10" i="11" s="1"/>
  <c r="M10" i="11" s="1"/>
  <c r="N10" i="11" s="1"/>
  <c r="O10" i="11" s="1"/>
  <c r="P10" i="11" s="1"/>
  <c r="F15" i="11"/>
  <c r="AR12" i="8"/>
  <c r="C20" i="13"/>
  <c r="C30" i="14" s="1"/>
  <c r="G20" i="13"/>
  <c r="G30" i="14" s="1"/>
  <c r="M54" i="10"/>
  <c r="AR10" i="8"/>
  <c r="N54" i="10"/>
  <c r="X66" i="6"/>
  <c r="E67" i="6"/>
  <c r="M67" i="6"/>
  <c r="U67" i="6"/>
  <c r="AC67" i="6"/>
  <c r="B68" i="6"/>
  <c r="J68" i="6"/>
  <c r="R68" i="6"/>
  <c r="AH68" i="6"/>
  <c r="G69" i="6"/>
  <c r="O69" i="6"/>
  <c r="W69" i="6"/>
  <c r="AE69" i="6"/>
  <c r="D70" i="6"/>
  <c r="L70" i="6"/>
  <c r="AB70" i="6"/>
  <c r="I71" i="6"/>
  <c r="Q71" i="6"/>
  <c r="Y71" i="6"/>
  <c r="F72" i="6"/>
  <c r="V72" i="6"/>
  <c r="C73" i="6"/>
  <c r="K73" i="6"/>
  <c r="S73" i="6"/>
  <c r="AI73" i="6"/>
  <c r="H74" i="6"/>
  <c r="P74" i="6"/>
  <c r="X74" i="6"/>
  <c r="AF74" i="6"/>
  <c r="E75" i="6"/>
  <c r="M75" i="6"/>
  <c r="U75" i="6"/>
  <c r="AC75" i="6"/>
  <c r="B76" i="6"/>
  <c r="J76" i="6"/>
  <c r="R76" i="6"/>
  <c r="Z76" i="6"/>
  <c r="AH76" i="6"/>
  <c r="G77" i="6"/>
  <c r="O77" i="6"/>
  <c r="W77" i="6"/>
  <c r="AE77" i="6"/>
  <c r="AG77" i="6" s="1"/>
  <c r="D78" i="6"/>
  <c r="L78" i="6"/>
  <c r="T78" i="6"/>
  <c r="AB78" i="6"/>
  <c r="I79" i="6"/>
  <c r="Q79" i="6"/>
  <c r="F80" i="6"/>
  <c r="O80" i="6"/>
  <c r="W80" i="6"/>
  <c r="AF80" i="6"/>
  <c r="O31" i="6"/>
  <c r="I38" i="6"/>
  <c r="C40" i="6"/>
  <c r="AF41" i="6"/>
  <c r="AF66" i="6" s="1"/>
  <c r="Z43" i="6"/>
  <c r="Z68" i="6" s="1"/>
  <c r="T45" i="6"/>
  <c r="T70" i="6" s="1"/>
  <c r="H49" i="6"/>
  <c r="B51" i="6"/>
  <c r="AE52" i="6"/>
  <c r="AG52" i="6" s="1"/>
  <c r="Y54" i="6"/>
  <c r="Y79" i="6" s="1"/>
  <c r="C25" i="16"/>
  <c r="C12" i="14"/>
  <c r="C23" i="14" s="1"/>
  <c r="AN9" i="8"/>
  <c r="AN28" i="8" s="1"/>
  <c r="C25" i="13" s="1"/>
  <c r="C12" i="16" s="1"/>
  <c r="D12" i="16" s="1"/>
  <c r="E12" i="16" s="1"/>
  <c r="AA54" i="10"/>
  <c r="F12" i="14"/>
  <c r="F23" i="14" s="1"/>
  <c r="F25" i="14" s="1"/>
  <c r="AH28" i="8"/>
  <c r="F11" i="14" s="1"/>
  <c r="AQ15" i="8"/>
  <c r="H37" i="11"/>
  <c r="H29" i="11"/>
  <c r="H45" i="11"/>
  <c r="D12" i="14"/>
  <c r="D23" i="14" s="1"/>
  <c r="D25" i="14" s="1"/>
  <c r="AB28" i="8"/>
  <c r="AO9" i="8"/>
  <c r="AO28" i="8" s="1"/>
  <c r="D25" i="13" s="1"/>
  <c r="D20" i="13"/>
  <c r="D30" i="14" s="1"/>
  <c r="F20" i="13"/>
  <c r="F30" i="14" s="1"/>
  <c r="C26" i="16"/>
  <c r="D26" i="16" s="1"/>
  <c r="E26" i="16" s="1"/>
  <c r="F26" i="16" s="1"/>
  <c r="G26" i="16" s="1"/>
  <c r="C24" i="14"/>
  <c r="E24" i="14"/>
  <c r="G24" i="14"/>
  <c r="D29" i="14"/>
  <c r="F29" i="14"/>
  <c r="C15" i="14"/>
  <c r="E15" i="14"/>
  <c r="G15" i="14"/>
  <c r="C16" i="14"/>
  <c r="E16" i="14"/>
  <c r="G16" i="14"/>
  <c r="H13" i="11"/>
  <c r="G15" i="11"/>
  <c r="H21" i="11"/>
  <c r="V80" i="6"/>
  <c r="E12" i="14"/>
  <c r="E23" i="14" s="1"/>
  <c r="AP9" i="8"/>
  <c r="AP28" i="8" s="1"/>
  <c r="E25" i="13" s="1"/>
  <c r="I54" i="10"/>
  <c r="F24" i="14"/>
  <c r="E29" i="14"/>
  <c r="G29" i="14"/>
  <c r="D28" i="14"/>
  <c r="D13" i="14" s="1"/>
  <c r="G28" i="14"/>
  <c r="G13" i="14" s="1"/>
  <c r="D15" i="14"/>
  <c r="F15" i="14"/>
  <c r="D16" i="14"/>
  <c r="F16" i="14"/>
  <c r="E15" i="11"/>
  <c r="C25" i="14"/>
  <c r="E25" i="14"/>
  <c r="Q54" i="10"/>
  <c r="Y54" i="10"/>
  <c r="C28" i="14"/>
  <c r="C13" i="14" s="1"/>
  <c r="C11" i="14" s="1"/>
  <c r="Q43" i="15"/>
  <c r="R43" i="15" s="1"/>
  <c r="S43" i="15" s="1"/>
  <c r="J54" i="10"/>
  <c r="R54" i="10"/>
  <c r="Z54" i="10"/>
  <c r="D16" i="15"/>
  <c r="D37" i="17" s="1"/>
  <c r="D20" i="15"/>
  <c r="D41" i="17" s="1"/>
  <c r="D9" i="15"/>
  <c r="D17" i="15"/>
  <c r="D38" i="17" s="1"/>
  <c r="D57" i="17" s="1"/>
  <c r="D17" i="18" s="1"/>
  <c r="D12" i="15"/>
  <c r="D33" i="17" s="1"/>
  <c r="D18" i="15"/>
  <c r="D39" i="17" s="1"/>
  <c r="D14" i="15"/>
  <c r="D35" i="17" s="1"/>
  <c r="D10" i="15"/>
  <c r="D31" i="17" s="1"/>
  <c r="D19" i="15"/>
  <c r="D40" i="17" s="1"/>
  <c r="D59" i="17" s="1"/>
  <c r="D19" i="18" s="1"/>
  <c r="D13" i="15"/>
  <c r="D34" i="17" s="1"/>
  <c r="D53" i="17" s="1"/>
  <c r="E8" i="15"/>
  <c r="D11" i="15"/>
  <c r="D32" i="17" s="1"/>
  <c r="D51" i="17" s="1"/>
  <c r="AB43" i="15"/>
  <c r="C54" i="10"/>
  <c r="K54" i="10"/>
  <c r="S54" i="10"/>
  <c r="C18" i="15"/>
  <c r="C39" i="17" s="1"/>
  <c r="C58" i="17" s="1"/>
  <c r="C15" i="15"/>
  <c r="C36" i="17" s="1"/>
  <c r="H42" i="15"/>
  <c r="J17" i="11" s="1"/>
  <c r="AF42" i="15"/>
  <c r="AN42" i="15"/>
  <c r="BD42" i="15"/>
  <c r="Z42" i="15"/>
  <c r="AX42" i="15"/>
  <c r="C32" i="18"/>
  <c r="C40" i="18"/>
  <c r="K42" i="15"/>
  <c r="M17" i="11" s="1"/>
  <c r="AI42" i="15"/>
  <c r="AY42" i="15"/>
  <c r="AY43" i="15" s="1"/>
  <c r="AZ43" i="15" s="1"/>
  <c r="BA43" i="15" s="1"/>
  <c r="BG42" i="15"/>
  <c r="D42" i="15"/>
  <c r="F17" i="11" s="1"/>
  <c r="L42" i="15"/>
  <c r="N17" i="11" s="1"/>
  <c r="T42" i="15"/>
  <c r="AR42" i="15"/>
  <c r="BH42" i="15"/>
  <c r="AM42" i="15"/>
  <c r="AM43" i="15" s="1"/>
  <c r="AN43" i="15" s="1"/>
  <c r="AO43" i="15" s="1"/>
  <c r="AP43" i="15" s="1"/>
  <c r="AQ43" i="15" s="1"/>
  <c r="AR43" i="15" s="1"/>
  <c r="AS43" i="15" s="1"/>
  <c r="AT43" i="15" s="1"/>
  <c r="AU43" i="15" s="1"/>
  <c r="AV43" i="15" s="1"/>
  <c r="AW43" i="15" s="1"/>
  <c r="AX43" i="15" s="1"/>
  <c r="F9" i="13" s="1"/>
  <c r="C34" i="18"/>
  <c r="E42" i="15"/>
  <c r="G17" i="11" s="1"/>
  <c r="M42" i="15"/>
  <c r="O17" i="11" s="1"/>
  <c r="U42" i="15"/>
  <c r="AC42" i="15"/>
  <c r="AS42" i="15"/>
  <c r="BA42" i="15"/>
  <c r="BI42" i="15"/>
  <c r="C31" i="18"/>
  <c r="C39" i="18"/>
  <c r="D39" i="18" s="1"/>
  <c r="E16" i="16"/>
  <c r="N42" i="15"/>
  <c r="P17" i="11" s="1"/>
  <c r="V42" i="15"/>
  <c r="AD42" i="15"/>
  <c r="AL42" i="15"/>
  <c r="AT42" i="15"/>
  <c r="BB42" i="15"/>
  <c r="BJ42" i="15"/>
  <c r="C11" i="15"/>
  <c r="C32" i="17" s="1"/>
  <c r="C16" i="15"/>
  <c r="C37" i="17" s="1"/>
  <c r="W42" i="15"/>
  <c r="AE42" i="15"/>
  <c r="C29" i="18"/>
  <c r="C37" i="18"/>
  <c r="D37" i="18" s="1"/>
  <c r="C36" i="18"/>
  <c r="C42" i="15"/>
  <c r="C33" i="18"/>
  <c r="C30" i="18"/>
  <c r="W81" i="6" l="1"/>
  <c r="W50" i="10" s="1"/>
  <c r="M81" i="6"/>
  <c r="S81" i="6"/>
  <c r="S50" i="10" s="1"/>
  <c r="Z81" i="6"/>
  <c r="Z50" i="10" s="1"/>
  <c r="N70" i="6"/>
  <c r="V81" i="6"/>
  <c r="V50" i="10" s="1"/>
  <c r="L81" i="6"/>
  <c r="R81" i="6"/>
  <c r="R50" i="10" s="1"/>
  <c r="I81" i="6"/>
  <c r="G81" i="6"/>
  <c r="D36" i="18"/>
  <c r="I45" i="11"/>
  <c r="C13" i="18"/>
  <c r="D33" i="18"/>
  <c r="D40" i="18"/>
  <c r="E40" i="18" s="1"/>
  <c r="AD78" i="6"/>
  <c r="AJ76" i="6"/>
  <c r="AB79" i="6"/>
  <c r="AD79" i="6" s="1"/>
  <c r="N43" i="6"/>
  <c r="Q67" i="6"/>
  <c r="Q81" i="6" s="1"/>
  <c r="Q50" i="10" s="1"/>
  <c r="AA45" i="6"/>
  <c r="AE56" i="6"/>
  <c r="AG38" i="6"/>
  <c r="AR28" i="8"/>
  <c r="G25" i="13" s="1"/>
  <c r="AA55" i="6"/>
  <c r="AH73" i="6"/>
  <c r="AJ73" i="6" s="1"/>
  <c r="AA42" i="6"/>
  <c r="AC70" i="6"/>
  <c r="V56" i="6"/>
  <c r="AA48" i="6"/>
  <c r="T64" i="6"/>
  <c r="AA64" i="6" s="1"/>
  <c r="N61" i="6"/>
  <c r="D56" i="6"/>
  <c r="AB67" i="6"/>
  <c r="AD67" i="6" s="1"/>
  <c r="Y65" i="6"/>
  <c r="Y81" i="6" s="1"/>
  <c r="Y50" i="10" s="1"/>
  <c r="AF56" i="6"/>
  <c r="C51" i="17"/>
  <c r="G9" i="19"/>
  <c r="G10" i="19"/>
  <c r="G16" i="7"/>
  <c r="G15" i="7"/>
  <c r="G10" i="7"/>
  <c r="G13" i="7"/>
  <c r="G12" i="7"/>
  <c r="N41" i="6"/>
  <c r="AJ47" i="6"/>
  <c r="E12" i="19"/>
  <c r="AK12" i="7"/>
  <c r="AR12" i="7"/>
  <c r="AJ12" i="7"/>
  <c r="AQ12" i="7"/>
  <c r="AI12" i="7"/>
  <c r="AP12" i="7"/>
  <c r="AM12" i="7"/>
  <c r="AL12" i="7"/>
  <c r="AH12" i="7"/>
  <c r="AO12" i="7"/>
  <c r="AN12" i="7"/>
  <c r="AG12" i="7"/>
  <c r="N42" i="6"/>
  <c r="AD51" i="6"/>
  <c r="AD56" i="6" s="1"/>
  <c r="AI56" i="6"/>
  <c r="D30" i="18"/>
  <c r="C10" i="18"/>
  <c r="AC43" i="15"/>
  <c r="AD43" i="15" s="1"/>
  <c r="AE43" i="15" s="1"/>
  <c r="AF43" i="15" s="1"/>
  <c r="AG43" i="15" s="1"/>
  <c r="AH43" i="15" s="1"/>
  <c r="AI43" i="15" s="1"/>
  <c r="AJ43" i="15" s="1"/>
  <c r="AK43" i="15" s="1"/>
  <c r="AL43" i="15" s="1"/>
  <c r="E9" i="13" s="1"/>
  <c r="C43" i="15"/>
  <c r="D43" i="15" s="1"/>
  <c r="E43" i="15" s="1"/>
  <c r="F43" i="15" s="1"/>
  <c r="G43" i="15" s="1"/>
  <c r="H43" i="15" s="1"/>
  <c r="I43" i="15" s="1"/>
  <c r="J43" i="15" s="1"/>
  <c r="K43" i="15" s="1"/>
  <c r="L43" i="15" s="1"/>
  <c r="M43" i="15" s="1"/>
  <c r="N43" i="15" s="1"/>
  <c r="C9" i="13" s="1"/>
  <c r="E17" i="11"/>
  <c r="E18" i="11" s="1"/>
  <c r="E23" i="11" s="1"/>
  <c r="F16" i="16"/>
  <c r="D32" i="18"/>
  <c r="C12" i="18"/>
  <c r="E16" i="15"/>
  <c r="E37" i="17" s="1"/>
  <c r="E56" i="17" s="1"/>
  <c r="E19" i="15"/>
  <c r="E40" i="17" s="1"/>
  <c r="E59" i="17" s="1"/>
  <c r="E19" i="18" s="1"/>
  <c r="E9" i="15"/>
  <c r="E17" i="15"/>
  <c r="E38" i="17" s="1"/>
  <c r="E12" i="15"/>
  <c r="E33" i="17" s="1"/>
  <c r="E52" i="17" s="1"/>
  <c r="E20" i="15"/>
  <c r="E41" i="17" s="1"/>
  <c r="E60" i="17" s="1"/>
  <c r="E20" i="18" s="1"/>
  <c r="E18" i="15"/>
  <c r="E39" i="17" s="1"/>
  <c r="E14" i="15"/>
  <c r="E35" i="17" s="1"/>
  <c r="E54" i="17" s="1"/>
  <c r="E10" i="15"/>
  <c r="E31" i="17" s="1"/>
  <c r="E50" i="17" s="1"/>
  <c r="E13" i="15"/>
  <c r="E34" i="17" s="1"/>
  <c r="F8" i="15"/>
  <c r="E15" i="15"/>
  <c r="E36" i="17" s="1"/>
  <c r="E55" i="17" s="1"/>
  <c r="E11" i="15"/>
  <c r="E32" i="17" s="1"/>
  <c r="E51" i="17" s="1"/>
  <c r="D22" i="15"/>
  <c r="D30" i="17"/>
  <c r="D43" i="17" s="1"/>
  <c r="D16" i="10" s="1"/>
  <c r="E49" i="10" s="1"/>
  <c r="D11" i="14"/>
  <c r="N51" i="6"/>
  <c r="AG75" i="6"/>
  <c r="E72" i="6"/>
  <c r="AC66" i="6"/>
  <c r="AC81" i="6" s="1"/>
  <c r="U56" i="6"/>
  <c r="AA52" i="6"/>
  <c r="D59" i="18"/>
  <c r="E59" i="18" s="1"/>
  <c r="N72" i="6"/>
  <c r="J56" i="6"/>
  <c r="N73" i="6"/>
  <c r="G11" i="14"/>
  <c r="AA67" i="6"/>
  <c r="AI75" i="6"/>
  <c r="AA73" i="6"/>
  <c r="U63" i="6"/>
  <c r="U81" i="6" s="1"/>
  <c r="U50" i="10" s="1"/>
  <c r="N52" i="6"/>
  <c r="D52" i="17"/>
  <c r="P81" i="6"/>
  <c r="P50" i="10" s="1"/>
  <c r="H81" i="6"/>
  <c r="S41" i="5"/>
  <c r="T41" i="5" s="1"/>
  <c r="U41" i="5" s="1"/>
  <c r="V41" i="5" s="1"/>
  <c r="W41" i="5" s="1"/>
  <c r="X41" i="5" s="1"/>
  <c r="Y41" i="5" s="1"/>
  <c r="Z41" i="5" s="1"/>
  <c r="D11" i="13" s="1"/>
  <c r="AM10" i="7"/>
  <c r="AL10" i="7"/>
  <c r="AK10" i="7"/>
  <c r="AR10" i="7"/>
  <c r="AG10" i="7"/>
  <c r="AH10" i="7"/>
  <c r="AQ10" i="7"/>
  <c r="AO10" i="7"/>
  <c r="AJ10" i="7"/>
  <c r="AP10" i="7"/>
  <c r="AN10" i="7"/>
  <c r="AI10" i="7"/>
  <c r="N45" i="6"/>
  <c r="E58" i="17"/>
  <c r="E39" i="18"/>
  <c r="AG69" i="6"/>
  <c r="N68" i="6"/>
  <c r="N74" i="6"/>
  <c r="AA43" i="6"/>
  <c r="N53" i="6"/>
  <c r="AA70" i="6"/>
  <c r="B78" i="6"/>
  <c r="N78" i="6" s="1"/>
  <c r="N71" i="6"/>
  <c r="AG73" i="6"/>
  <c r="N77" i="6"/>
  <c r="D60" i="17"/>
  <c r="D20" i="18" s="1"/>
  <c r="C55" i="17"/>
  <c r="C56" i="6"/>
  <c r="N38" i="6"/>
  <c r="N56" i="6" s="1"/>
  <c r="D55" i="18"/>
  <c r="E55" i="18" s="1"/>
  <c r="E37" i="18"/>
  <c r="D31" i="18"/>
  <c r="C11" i="18"/>
  <c r="D34" i="18"/>
  <c r="C14" i="18"/>
  <c r="BB43" i="15"/>
  <c r="BC43" i="15" s="1"/>
  <c r="BD43" i="15" s="1"/>
  <c r="BE43" i="15" s="1"/>
  <c r="BF43" i="15" s="1"/>
  <c r="BG43" i="15" s="1"/>
  <c r="BH43" i="15" s="1"/>
  <c r="BI43" i="15" s="1"/>
  <c r="BJ43" i="15" s="1"/>
  <c r="G9" i="13" s="1"/>
  <c r="I37" i="11"/>
  <c r="AA80" i="6"/>
  <c r="AD76" i="6"/>
  <c r="AA75" i="6"/>
  <c r="AJ64" i="6"/>
  <c r="K81" i="6"/>
  <c r="AD66" i="6"/>
  <c r="AH80" i="6"/>
  <c r="AJ80" i="6" s="1"/>
  <c r="N67" i="6"/>
  <c r="AA44" i="6"/>
  <c r="AJ72" i="6"/>
  <c r="AE66" i="6"/>
  <c r="AG66" i="6" s="1"/>
  <c r="F53" i="18"/>
  <c r="C30" i="16"/>
  <c r="C14" i="14"/>
  <c r="N44" i="6"/>
  <c r="AH56" i="6"/>
  <c r="F66" i="6"/>
  <c r="F81" i="6" s="1"/>
  <c r="C63" i="6"/>
  <c r="C81" i="6" s="1"/>
  <c r="AA53" i="6"/>
  <c r="AA47" i="6"/>
  <c r="D9" i="19"/>
  <c r="D10" i="19"/>
  <c r="D12" i="7"/>
  <c r="D10" i="7"/>
  <c r="D13" i="7"/>
  <c r="D16" i="7"/>
  <c r="D15" i="7"/>
  <c r="N50" i="6"/>
  <c r="F49" i="18"/>
  <c r="AF69" i="6"/>
  <c r="AF81" i="6" s="1"/>
  <c r="P56" i="6"/>
  <c r="N65" i="6"/>
  <c r="D56" i="17"/>
  <c r="AJ63" i="6"/>
  <c r="C9" i="19"/>
  <c r="C13" i="7"/>
  <c r="C12" i="7"/>
  <c r="C15" i="7"/>
  <c r="C10" i="7"/>
  <c r="C16" i="7"/>
  <c r="AE70" i="6"/>
  <c r="AG70" i="6" s="1"/>
  <c r="C11" i="16"/>
  <c r="O78" i="6"/>
  <c r="AA78" i="6" s="1"/>
  <c r="F10" i="7"/>
  <c r="F16" i="7"/>
  <c r="F12" i="7"/>
  <c r="F13" i="7"/>
  <c r="F15" i="7"/>
  <c r="E11" i="17"/>
  <c r="E22" i="5"/>
  <c r="E46" i="10" s="1"/>
  <c r="C22" i="15"/>
  <c r="F11" i="19"/>
  <c r="F12" i="16"/>
  <c r="G12" i="16" s="1"/>
  <c r="N76" i="6"/>
  <c r="AA69" i="6"/>
  <c r="AJ53" i="6"/>
  <c r="AJ56" i="6" s="1"/>
  <c r="AH78" i="6"/>
  <c r="AJ78" i="6" s="1"/>
  <c r="I21" i="11"/>
  <c r="B80" i="6"/>
  <c r="N80" i="6" s="1"/>
  <c r="AJ74" i="6"/>
  <c r="AE71" i="6"/>
  <c r="AG71" i="6" s="1"/>
  <c r="AJ67" i="6"/>
  <c r="D48" i="18"/>
  <c r="N46" i="6"/>
  <c r="AD73" i="6"/>
  <c r="AH79" i="6"/>
  <c r="AJ79" i="6" s="1"/>
  <c r="D75" i="6"/>
  <c r="N75" i="6" s="1"/>
  <c r="N64" i="6"/>
  <c r="AJ61" i="6"/>
  <c r="E56" i="6"/>
  <c r="AD77" i="6"/>
  <c r="AG51" i="6"/>
  <c r="AA41" i="6"/>
  <c r="D54" i="17"/>
  <c r="N39" i="6"/>
  <c r="Q76" i="6"/>
  <c r="AA76" i="6" s="1"/>
  <c r="N31" i="6"/>
  <c r="C8" i="19" s="1"/>
  <c r="C11" i="17"/>
  <c r="C49" i="17" s="1"/>
  <c r="C9" i="18" s="1"/>
  <c r="C22" i="5"/>
  <c r="D63" i="6"/>
  <c r="D81" i="6" s="1"/>
  <c r="O72" i="6"/>
  <c r="AA72" i="6" s="1"/>
  <c r="AO16" i="7"/>
  <c r="AG16" i="7"/>
  <c r="AN16" i="7"/>
  <c r="AM16" i="7"/>
  <c r="AL16" i="7"/>
  <c r="AP16" i="7"/>
  <c r="AI16" i="7"/>
  <c r="AH16" i="7"/>
  <c r="AR16" i="7"/>
  <c r="AK16" i="7"/>
  <c r="AJ16" i="7"/>
  <c r="AQ16" i="7"/>
  <c r="AB65" i="6"/>
  <c r="AD65" i="6" s="1"/>
  <c r="E57" i="17"/>
  <c r="E17" i="18" s="1"/>
  <c r="C43" i="17"/>
  <c r="C16" i="10" s="1"/>
  <c r="D49" i="10" s="1"/>
  <c r="C38" i="18"/>
  <c r="D38" i="18" s="1"/>
  <c r="E38" i="18" s="1"/>
  <c r="C35" i="18"/>
  <c r="D25" i="16"/>
  <c r="AA77" i="6"/>
  <c r="AD70" i="6"/>
  <c r="AJ68" i="6"/>
  <c r="AA40" i="6"/>
  <c r="O71" i="6"/>
  <c r="AA71" i="6" s="1"/>
  <c r="AD31" i="6"/>
  <c r="AJ75" i="6"/>
  <c r="N79" i="6"/>
  <c r="E81" i="6"/>
  <c r="AD71" i="6"/>
  <c r="AG74" i="6"/>
  <c r="AG67" i="6"/>
  <c r="AG81" i="6" s="1"/>
  <c r="F21" i="13" s="1"/>
  <c r="AA79" i="6"/>
  <c r="AI81" i="6"/>
  <c r="AB64" i="6"/>
  <c r="AD64" i="6" s="1"/>
  <c r="AD81" i="6" s="1"/>
  <c r="E21" i="13" s="1"/>
  <c r="AD74" i="6"/>
  <c r="O66" i="6"/>
  <c r="P75" i="6"/>
  <c r="D50" i="17"/>
  <c r="C56" i="17"/>
  <c r="C16" i="18" s="1"/>
  <c r="X65" i="6"/>
  <c r="AA65" i="6" s="1"/>
  <c r="AH77" i="6"/>
  <c r="AJ77" i="6" s="1"/>
  <c r="AB80" i="6"/>
  <c r="AD80" i="6" s="1"/>
  <c r="AN41" i="5"/>
  <c r="AO41" i="5" s="1"/>
  <c r="AP41" i="5" s="1"/>
  <c r="AQ41" i="5" s="1"/>
  <c r="AR41" i="5" s="1"/>
  <c r="AS41" i="5" s="1"/>
  <c r="AT41" i="5" s="1"/>
  <c r="AU41" i="5" s="1"/>
  <c r="AV41" i="5" s="1"/>
  <c r="AW41" i="5" s="1"/>
  <c r="AX41" i="5" s="1"/>
  <c r="F11" i="13" s="1"/>
  <c r="F12" i="13" s="1"/>
  <c r="AP15" i="7"/>
  <c r="AH15" i="7"/>
  <c r="AO15" i="7"/>
  <c r="AG15" i="7"/>
  <c r="AN15" i="7"/>
  <c r="AM15" i="7"/>
  <c r="AQ15" i="7"/>
  <c r="AL15" i="7"/>
  <c r="AJ15" i="7"/>
  <c r="AR15" i="7"/>
  <c r="AK15" i="7"/>
  <c r="AI15" i="7"/>
  <c r="AG31" i="6"/>
  <c r="F8" i="19" s="1"/>
  <c r="F18" i="5"/>
  <c r="F20" i="17" s="1"/>
  <c r="F10" i="5"/>
  <c r="F12" i="17" s="1"/>
  <c r="F13" i="5"/>
  <c r="F15" i="17" s="1"/>
  <c r="G8" i="5"/>
  <c r="F16" i="5"/>
  <c r="F18" i="17" s="1"/>
  <c r="F20" i="5"/>
  <c r="F22" i="17" s="1"/>
  <c r="F12" i="5"/>
  <c r="F14" i="17" s="1"/>
  <c r="F17" i="5"/>
  <c r="F19" i="17" s="1"/>
  <c r="F9" i="5"/>
  <c r="F11" i="5"/>
  <c r="F13" i="17" s="1"/>
  <c r="F19" i="5"/>
  <c r="F21" i="17" s="1"/>
  <c r="F14" i="5"/>
  <c r="F16" i="17" s="1"/>
  <c r="F15" i="5"/>
  <c r="F17" i="17" s="1"/>
  <c r="C42" i="18"/>
  <c r="D29" i="18"/>
  <c r="T43" i="15"/>
  <c r="U43" i="15" s="1"/>
  <c r="V43" i="15" s="1"/>
  <c r="W43" i="15" s="1"/>
  <c r="X43" i="15" s="1"/>
  <c r="Y43" i="15" s="1"/>
  <c r="Z43" i="15" s="1"/>
  <c r="D9" i="13" s="1"/>
  <c r="I13" i="11"/>
  <c r="H15" i="11"/>
  <c r="I29" i="11"/>
  <c r="I56" i="6"/>
  <c r="W56" i="6"/>
  <c r="AE72" i="6"/>
  <c r="AG72" i="6" s="1"/>
  <c r="AG68" i="6"/>
  <c r="R56" i="6"/>
  <c r="J81" i="6"/>
  <c r="N40" i="6"/>
  <c r="N69" i="6"/>
  <c r="C54" i="18"/>
  <c r="D54" i="18" s="1"/>
  <c r="E54" i="18" s="1"/>
  <c r="F54" i="18" s="1"/>
  <c r="AA74" i="6"/>
  <c r="AA63" i="6"/>
  <c r="AG76" i="6"/>
  <c r="T81" i="6"/>
  <c r="T50" i="10" s="1"/>
  <c r="AE80" i="6"/>
  <c r="AG80" i="6" s="1"/>
  <c r="AH71" i="6"/>
  <c r="AJ71" i="6" s="1"/>
  <c r="AH65" i="6"/>
  <c r="AJ65" i="6" s="1"/>
  <c r="D58" i="17"/>
  <c r="D11" i="17"/>
  <c r="D49" i="17" s="1"/>
  <c r="D22" i="5"/>
  <c r="D46" i="10" s="1"/>
  <c r="N66" i="6"/>
  <c r="AA31" i="6"/>
  <c r="D8" i="19" s="1"/>
  <c r="S56" i="6"/>
  <c r="AR13" i="7"/>
  <c r="AJ13" i="7"/>
  <c r="AQ13" i="7"/>
  <c r="AI13" i="7"/>
  <c r="AP13" i="7"/>
  <c r="AH13" i="7"/>
  <c r="AO13" i="7"/>
  <c r="AN13" i="7"/>
  <c r="AM13" i="7"/>
  <c r="AL13" i="7"/>
  <c r="AG13" i="7"/>
  <c r="AK13" i="7"/>
  <c r="E53" i="17"/>
  <c r="I41" i="11" l="1"/>
  <c r="G50" i="10"/>
  <c r="F13" i="13"/>
  <c r="AI50" i="10"/>
  <c r="AH50" i="10"/>
  <c r="AG50" i="10"/>
  <c r="AJ50" i="10"/>
  <c r="AL50" i="10"/>
  <c r="AK50" i="10"/>
  <c r="AX50" i="10"/>
  <c r="AW50" i="10"/>
  <c r="AS50" i="10"/>
  <c r="AT50" i="10"/>
  <c r="AV50" i="10"/>
  <c r="AU50" i="10"/>
  <c r="Q16" i="7"/>
  <c r="I16" i="7"/>
  <c r="P16" i="7"/>
  <c r="O16" i="7"/>
  <c r="M16" i="7"/>
  <c r="N16" i="7"/>
  <c r="S16" i="7"/>
  <c r="R16" i="7"/>
  <c r="L16" i="7"/>
  <c r="J16" i="7"/>
  <c r="T16" i="7"/>
  <c r="K16" i="7"/>
  <c r="G16" i="16"/>
  <c r="BM16" i="7"/>
  <c r="BE16" i="7"/>
  <c r="BL16" i="7"/>
  <c r="BK16" i="7"/>
  <c r="BN16" i="7"/>
  <c r="BO16" i="7"/>
  <c r="BP16" i="7"/>
  <c r="BJ16" i="7"/>
  <c r="BH16" i="7"/>
  <c r="BF16" i="7"/>
  <c r="BI16" i="7"/>
  <c r="BG16" i="7"/>
  <c r="B81" i="6"/>
  <c r="J45" i="11"/>
  <c r="G41" i="11"/>
  <c r="E50" i="10"/>
  <c r="J29" i="11"/>
  <c r="F56" i="17"/>
  <c r="AA56" i="6"/>
  <c r="F19" i="15"/>
  <c r="F40" i="17" s="1"/>
  <c r="F14" i="15"/>
  <c r="F35" i="17" s="1"/>
  <c r="F54" i="17" s="1"/>
  <c r="F17" i="15"/>
  <c r="F38" i="17" s="1"/>
  <c r="F12" i="15"/>
  <c r="F33" i="17" s="1"/>
  <c r="F20" i="15"/>
  <c r="F41" i="17" s="1"/>
  <c r="F18" i="15"/>
  <c r="F39" i="17" s="1"/>
  <c r="F10" i="15"/>
  <c r="F31" i="17" s="1"/>
  <c r="F13" i="15"/>
  <c r="F34" i="17" s="1"/>
  <c r="G8" i="15"/>
  <c r="F15" i="15"/>
  <c r="F36" i="17" s="1"/>
  <c r="F11" i="15"/>
  <c r="F32" i="17" s="1"/>
  <c r="F16" i="15"/>
  <c r="F37" i="17" s="1"/>
  <c r="F9" i="15"/>
  <c r="E30" i="17"/>
  <c r="E43" i="17" s="1"/>
  <c r="E16" i="10" s="1"/>
  <c r="F49" i="10" s="1"/>
  <c r="E22" i="15"/>
  <c r="F12" i="19"/>
  <c r="BA12" i="7"/>
  <c r="AS12" i="7"/>
  <c r="AZ12" i="7"/>
  <c r="AY12" i="7"/>
  <c r="BD12" i="7"/>
  <c r="AT12" i="7"/>
  <c r="BC12" i="7"/>
  <c r="BB12" i="7"/>
  <c r="AX12" i="7"/>
  <c r="AV12" i="7"/>
  <c r="AW12" i="7"/>
  <c r="AU12" i="7"/>
  <c r="F60" i="17"/>
  <c r="F20" i="18" s="1"/>
  <c r="F52" i="18"/>
  <c r="G49" i="18"/>
  <c r="F37" i="18"/>
  <c r="F55" i="17"/>
  <c r="AX15" i="7"/>
  <c r="AW15" i="7"/>
  <c r="BD15" i="7"/>
  <c r="AV15" i="7"/>
  <c r="BA15" i="7"/>
  <c r="BB15" i="7"/>
  <c r="AU15" i="7"/>
  <c r="AT15" i="7"/>
  <c r="AS15" i="7"/>
  <c r="AZ15" i="7"/>
  <c r="BC15" i="7"/>
  <c r="AY15" i="7"/>
  <c r="C13" i="16"/>
  <c r="C14" i="16" s="1"/>
  <c r="D11" i="16"/>
  <c r="C10" i="19"/>
  <c r="F57" i="18"/>
  <c r="K50" i="10"/>
  <c r="M41" i="11"/>
  <c r="G13" i="5"/>
  <c r="G15" i="17" s="1"/>
  <c r="H8" i="5"/>
  <c r="G16" i="5"/>
  <c r="G18" i="17" s="1"/>
  <c r="G19" i="5"/>
  <c r="G21" i="17" s="1"/>
  <c r="G11" i="5"/>
  <c r="G13" i="17" s="1"/>
  <c r="G15" i="5"/>
  <c r="G17" i="17" s="1"/>
  <c r="G18" i="5"/>
  <c r="G20" i="17" s="1"/>
  <c r="G10" i="5"/>
  <c r="G12" i="17" s="1"/>
  <c r="G20" i="5"/>
  <c r="G22" i="17" s="1"/>
  <c r="G12" i="5"/>
  <c r="G14" i="17" s="1"/>
  <c r="G14" i="5"/>
  <c r="G16" i="17" s="1"/>
  <c r="G17" i="5"/>
  <c r="G19" i="17" s="1"/>
  <c r="G9" i="5"/>
  <c r="AA66" i="6"/>
  <c r="AA81" i="6" s="1"/>
  <c r="D21" i="13" s="1"/>
  <c r="O81" i="6"/>
  <c r="O50" i="10" s="1"/>
  <c r="N63" i="6"/>
  <c r="N81" i="6" s="1"/>
  <c r="C21" i="13" s="1"/>
  <c r="X81" i="6"/>
  <c r="X50" i="10" s="1"/>
  <c r="AZ13" i="7"/>
  <c r="AY13" i="7"/>
  <c r="AX13" i="7"/>
  <c r="BC13" i="7"/>
  <c r="BD13" i="7"/>
  <c r="AS13" i="7"/>
  <c r="BB13" i="7"/>
  <c r="AW13" i="7"/>
  <c r="AU13" i="7"/>
  <c r="AV13" i="7"/>
  <c r="AT13" i="7"/>
  <c r="BA13" i="7"/>
  <c r="Z15" i="7"/>
  <c r="Y15" i="7"/>
  <c r="AF15" i="7"/>
  <c r="X15" i="7"/>
  <c r="AB15" i="7"/>
  <c r="AC15" i="7"/>
  <c r="AE15" i="7"/>
  <c r="AD15" i="7"/>
  <c r="AA15" i="7"/>
  <c r="V15" i="7"/>
  <c r="W15" i="7"/>
  <c r="U15" i="7"/>
  <c r="D30" i="16"/>
  <c r="J37" i="11"/>
  <c r="F55" i="18"/>
  <c r="G55" i="18" s="1"/>
  <c r="AG56" i="6"/>
  <c r="E36" i="18"/>
  <c r="D16" i="18"/>
  <c r="F59" i="17"/>
  <c r="F19" i="18" s="1"/>
  <c r="C11" i="19"/>
  <c r="C13" i="13"/>
  <c r="C12" i="13"/>
  <c r="F40" i="18"/>
  <c r="O41" i="11"/>
  <c r="M50" i="10"/>
  <c r="P41" i="11"/>
  <c r="N50" i="10"/>
  <c r="I15" i="11"/>
  <c r="J13" i="11"/>
  <c r="F51" i="17"/>
  <c r="F50" i="17"/>
  <c r="AE81" i="6"/>
  <c r="H41" i="11"/>
  <c r="F50" i="10"/>
  <c r="C46" i="10"/>
  <c r="C23" i="5"/>
  <c r="D23" i="5" s="1"/>
  <c r="E23" i="5" s="1"/>
  <c r="F23" i="5" s="1"/>
  <c r="AW16" i="7"/>
  <c r="BD16" i="7"/>
  <c r="AV16" i="7"/>
  <c r="BC16" i="7"/>
  <c r="AU16" i="7"/>
  <c r="AZ16" i="7"/>
  <c r="BA16" i="7"/>
  <c r="AY16" i="7"/>
  <c r="AX16" i="7"/>
  <c r="AT16" i="7"/>
  <c r="BB16" i="7"/>
  <c r="AS16" i="7"/>
  <c r="O10" i="7"/>
  <c r="N10" i="7"/>
  <c r="M10" i="7"/>
  <c r="S10" i="7"/>
  <c r="T10" i="7"/>
  <c r="I10" i="7"/>
  <c r="P10" i="7"/>
  <c r="L10" i="7"/>
  <c r="K10" i="7"/>
  <c r="R10" i="7"/>
  <c r="Q10" i="7"/>
  <c r="J10" i="7"/>
  <c r="F50" i="18"/>
  <c r="AB13" i="7"/>
  <c r="AA13" i="7"/>
  <c r="Z13" i="7"/>
  <c r="AD13" i="7"/>
  <c r="AE13" i="7"/>
  <c r="X13" i="7"/>
  <c r="W13" i="7"/>
  <c r="V13" i="7"/>
  <c r="AC13" i="7"/>
  <c r="AF13" i="7"/>
  <c r="Y13" i="7"/>
  <c r="U13" i="7"/>
  <c r="F41" i="11"/>
  <c r="D50" i="10"/>
  <c r="F58" i="18"/>
  <c r="G58" i="18" s="1"/>
  <c r="N41" i="11"/>
  <c r="L50" i="10"/>
  <c r="F59" i="18"/>
  <c r="G59" i="18" s="1"/>
  <c r="E11" i="19"/>
  <c r="E12" i="13"/>
  <c r="E13" i="13" s="1"/>
  <c r="G12" i="19"/>
  <c r="BI12" i="7"/>
  <c r="BP12" i="7"/>
  <c r="BH12" i="7"/>
  <c r="BO12" i="7"/>
  <c r="BG12" i="7"/>
  <c r="BE12" i="7"/>
  <c r="BN12" i="7"/>
  <c r="BL12" i="7"/>
  <c r="BJ12" i="7"/>
  <c r="BM12" i="7"/>
  <c r="BK12" i="7"/>
  <c r="BF12" i="7"/>
  <c r="J41" i="11"/>
  <c r="H50" i="10"/>
  <c r="F53" i="17"/>
  <c r="G11" i="19"/>
  <c r="G12" i="13"/>
  <c r="G13" i="13"/>
  <c r="D11" i="19"/>
  <c r="D12" i="13"/>
  <c r="D13" i="13" s="1"/>
  <c r="F11" i="17"/>
  <c r="F22" i="5"/>
  <c r="F46" i="10" s="1"/>
  <c r="F58" i="17"/>
  <c r="J21" i="11"/>
  <c r="BC10" i="7"/>
  <c r="AU10" i="7"/>
  <c r="BB10" i="7"/>
  <c r="AT10" i="7"/>
  <c r="BA10" i="7"/>
  <c r="AS10" i="7"/>
  <c r="AV10" i="7"/>
  <c r="AX10" i="7"/>
  <c r="AW10" i="7"/>
  <c r="AZ10" i="7"/>
  <c r="BD10" i="7"/>
  <c r="AY10" i="7"/>
  <c r="R15" i="7"/>
  <c r="J15" i="7"/>
  <c r="Q15" i="7"/>
  <c r="I15" i="7"/>
  <c r="P15" i="7"/>
  <c r="N15" i="7"/>
  <c r="O15" i="7"/>
  <c r="M15" i="7"/>
  <c r="L15" i="7"/>
  <c r="K15" i="7"/>
  <c r="T15" i="7"/>
  <c r="S15" i="7"/>
  <c r="AE10" i="7"/>
  <c r="W10" i="7"/>
  <c r="AD10" i="7"/>
  <c r="V10" i="7"/>
  <c r="AC10" i="7"/>
  <c r="U10" i="7"/>
  <c r="AF10" i="7"/>
  <c r="AB10" i="7"/>
  <c r="AA10" i="7"/>
  <c r="Y10" i="7"/>
  <c r="Z10" i="7"/>
  <c r="X10" i="7"/>
  <c r="E34" i="18"/>
  <c r="D14" i="18"/>
  <c r="E32" i="18"/>
  <c r="D12" i="18"/>
  <c r="BP13" i="7"/>
  <c r="BH13" i="7"/>
  <c r="BO13" i="7"/>
  <c r="BG13" i="7"/>
  <c r="BN13" i="7"/>
  <c r="BF13" i="7"/>
  <c r="BI13" i="7"/>
  <c r="BE13" i="7"/>
  <c r="BM13" i="7"/>
  <c r="BK13" i="7"/>
  <c r="BL13" i="7"/>
  <c r="BJ13" i="7"/>
  <c r="D13" i="18"/>
  <c r="E33" i="18"/>
  <c r="Y16" i="7"/>
  <c r="AF16" i="7"/>
  <c r="X16" i="7"/>
  <c r="AE16" i="7"/>
  <c r="W16" i="7"/>
  <c r="AA16" i="7"/>
  <c r="AB16" i="7"/>
  <c r="AD16" i="7"/>
  <c r="Z16" i="7"/>
  <c r="U16" i="7"/>
  <c r="AC16" i="7"/>
  <c r="V16" i="7"/>
  <c r="E29" i="18"/>
  <c r="D42" i="18"/>
  <c r="D9" i="18"/>
  <c r="BG50" i="10"/>
  <c r="BF50" i="10"/>
  <c r="BE50" i="10"/>
  <c r="BH50" i="10"/>
  <c r="BI50" i="10"/>
  <c r="BJ50" i="10"/>
  <c r="E25" i="16"/>
  <c r="AH81" i="6"/>
  <c r="D61" i="18"/>
  <c r="E48" i="18"/>
  <c r="F56" i="18"/>
  <c r="G56" i="18" s="1"/>
  <c r="C23" i="15"/>
  <c r="D23" i="15" s="1"/>
  <c r="E23" i="15" s="1"/>
  <c r="C15" i="10"/>
  <c r="C40" i="10" s="1"/>
  <c r="E25" i="11"/>
  <c r="F10" i="19"/>
  <c r="C12" i="19"/>
  <c r="M12" i="7"/>
  <c r="T12" i="7"/>
  <c r="L12" i="7"/>
  <c r="S12" i="7"/>
  <c r="K12" i="7"/>
  <c r="Q12" i="7"/>
  <c r="R12" i="7"/>
  <c r="P12" i="7"/>
  <c r="N12" i="7"/>
  <c r="I12" i="7"/>
  <c r="O12" i="7"/>
  <c r="J12" i="7"/>
  <c r="D12" i="19"/>
  <c r="AC12" i="7"/>
  <c r="U12" i="7"/>
  <c r="AB12" i="7"/>
  <c r="AA12" i="7"/>
  <c r="AE12" i="7"/>
  <c r="AF12" i="7"/>
  <c r="W12" i="7"/>
  <c r="V12" i="7"/>
  <c r="AD12" i="7"/>
  <c r="Y12" i="7"/>
  <c r="X12" i="7"/>
  <c r="Z12" i="7"/>
  <c r="F51" i="18"/>
  <c r="G51" i="18" s="1"/>
  <c r="D15" i="10"/>
  <c r="F25" i="11"/>
  <c r="F18" i="11"/>
  <c r="BK10" i="7"/>
  <c r="BJ10" i="7"/>
  <c r="BI10" i="7"/>
  <c r="BF10" i="7"/>
  <c r="BG10" i="7"/>
  <c r="BN10" i="7"/>
  <c r="BM10" i="7"/>
  <c r="BL10" i="7"/>
  <c r="BE10" i="7"/>
  <c r="BP10" i="7"/>
  <c r="BH10" i="7"/>
  <c r="BO10" i="7"/>
  <c r="J50" i="10"/>
  <c r="L41" i="11"/>
  <c r="F57" i="17"/>
  <c r="F17" i="18" s="1"/>
  <c r="G54" i="18"/>
  <c r="F52" i="17"/>
  <c r="E8" i="19"/>
  <c r="E9" i="19"/>
  <c r="E10" i="19"/>
  <c r="D35" i="18"/>
  <c r="C15" i="18"/>
  <c r="AJ81" i="6"/>
  <c r="G21" i="13" s="1"/>
  <c r="C61" i="18"/>
  <c r="F9" i="19"/>
  <c r="T13" i="7"/>
  <c r="L13" i="7"/>
  <c r="S13" i="7"/>
  <c r="K13" i="7"/>
  <c r="R13" i="7"/>
  <c r="J13" i="7"/>
  <c r="P13" i="7"/>
  <c r="Q13" i="7"/>
  <c r="O13" i="7"/>
  <c r="M13" i="7"/>
  <c r="N13" i="7"/>
  <c r="I13" i="7"/>
  <c r="AB81" i="6"/>
  <c r="E31" i="18"/>
  <c r="D11" i="18"/>
  <c r="F39" i="18"/>
  <c r="I50" i="10"/>
  <c r="K41" i="11"/>
  <c r="E30" i="18"/>
  <c r="D10" i="18"/>
  <c r="BN15" i="7"/>
  <c r="BF15" i="7"/>
  <c r="BM15" i="7"/>
  <c r="BE15" i="7"/>
  <c r="BL15" i="7"/>
  <c r="BO15" i="7"/>
  <c r="BP15" i="7"/>
  <c r="BK15" i="7"/>
  <c r="BJ15" i="7"/>
  <c r="BI15" i="7"/>
  <c r="BG15" i="7"/>
  <c r="BH15" i="7"/>
  <c r="E33" i="11" l="1"/>
  <c r="E34" i="11" s="1"/>
  <c r="E39" i="11" s="1"/>
  <c r="E26" i="11"/>
  <c r="E59" i="11"/>
  <c r="F33" i="18"/>
  <c r="E13" i="18"/>
  <c r="AQ50" i="10"/>
  <c r="AP50" i="10"/>
  <c r="AO50" i="10"/>
  <c r="AR50" i="10"/>
  <c r="AN50" i="10"/>
  <c r="AM50" i="10"/>
  <c r="E15" i="10"/>
  <c r="G25" i="11"/>
  <c r="C18" i="18"/>
  <c r="E11" i="18"/>
  <c r="F31" i="18"/>
  <c r="H54" i="18"/>
  <c r="F23" i="11"/>
  <c r="G18" i="11"/>
  <c r="F25" i="16"/>
  <c r="E14" i="18"/>
  <c r="F34" i="18"/>
  <c r="G53" i="18"/>
  <c r="H53" i="18" s="1"/>
  <c r="K29" i="11"/>
  <c r="D18" i="18"/>
  <c r="K37" i="11"/>
  <c r="G11" i="17"/>
  <c r="G22" i="5"/>
  <c r="G46" i="10" s="1"/>
  <c r="F30" i="17"/>
  <c r="F43" i="17" s="1"/>
  <c r="F16" i="10" s="1"/>
  <c r="G49" i="10" s="1"/>
  <c r="F22" i="15"/>
  <c r="F29" i="18"/>
  <c r="G50" i="18"/>
  <c r="G57" i="18"/>
  <c r="H57" i="18" s="1"/>
  <c r="F33" i="11"/>
  <c r="F34" i="11" s="1"/>
  <c r="F39" i="11" s="1"/>
  <c r="F26" i="11"/>
  <c r="F59" i="11"/>
  <c r="E35" i="18"/>
  <c r="D15" i="18"/>
  <c r="J15" i="11"/>
  <c r="K13" i="11"/>
  <c r="E30" i="16"/>
  <c r="G54" i="17"/>
  <c r="AA50" i="10"/>
  <c r="AB50" i="10"/>
  <c r="AC50" i="10"/>
  <c r="AD50" i="10"/>
  <c r="AF50" i="10"/>
  <c r="AE50" i="10"/>
  <c r="E61" i="18"/>
  <c r="F48" i="18"/>
  <c r="H58" i="18"/>
  <c r="H16" i="5"/>
  <c r="H18" i="17" s="1"/>
  <c r="H19" i="5"/>
  <c r="H21" i="17" s="1"/>
  <c r="H11" i="5"/>
  <c r="H13" i="17" s="1"/>
  <c r="H14" i="5"/>
  <c r="H16" i="17" s="1"/>
  <c r="H18" i="5"/>
  <c r="H20" i="17" s="1"/>
  <c r="H10" i="5"/>
  <c r="H12" i="17" s="1"/>
  <c r="H12" i="5"/>
  <c r="H14" i="17" s="1"/>
  <c r="H20" i="5"/>
  <c r="H22" i="17" s="1"/>
  <c r="H13" i="5"/>
  <c r="H15" i="17" s="1"/>
  <c r="H9" i="5"/>
  <c r="H17" i="5"/>
  <c r="H19" i="17" s="1"/>
  <c r="H15" i="5"/>
  <c r="H17" i="17" s="1"/>
  <c r="I8" i="5"/>
  <c r="D13" i="16"/>
  <c r="D14" i="16" s="1"/>
  <c r="E11" i="16"/>
  <c r="H49" i="18"/>
  <c r="K45" i="11"/>
  <c r="F30" i="18"/>
  <c r="E10" i="18"/>
  <c r="G23" i="5"/>
  <c r="K21" i="11"/>
  <c r="E49" i="17"/>
  <c r="E9" i="18" s="1"/>
  <c r="G14" i="15"/>
  <c r="G35" i="17" s="1"/>
  <c r="G17" i="15"/>
  <c r="G38" i="17" s="1"/>
  <c r="G57" i="17" s="1"/>
  <c r="G17" i="18" s="1"/>
  <c r="G20" i="15"/>
  <c r="G41" i="17" s="1"/>
  <c r="G60" i="17" s="1"/>
  <c r="G20" i="18" s="1"/>
  <c r="G18" i="15"/>
  <c r="G39" i="17" s="1"/>
  <c r="G58" i="17" s="1"/>
  <c r="G10" i="15"/>
  <c r="G31" i="17" s="1"/>
  <c r="G13" i="15"/>
  <c r="G34" i="17" s="1"/>
  <c r="G53" i="17" s="1"/>
  <c r="H8" i="15"/>
  <c r="G15" i="15"/>
  <c r="G36" i="17" s="1"/>
  <c r="G55" i="17" s="1"/>
  <c r="G19" i="15"/>
  <c r="G40" i="17" s="1"/>
  <c r="G59" i="17" s="1"/>
  <c r="G19" i="18" s="1"/>
  <c r="G11" i="15"/>
  <c r="G32" i="17" s="1"/>
  <c r="G51" i="17" s="1"/>
  <c r="G12" i="15"/>
  <c r="G33" i="17" s="1"/>
  <c r="G52" i="17" s="1"/>
  <c r="G9" i="15"/>
  <c r="G16" i="15"/>
  <c r="G37" i="17" s="1"/>
  <c r="G56" i="17" s="1"/>
  <c r="F38" i="18"/>
  <c r="AY50" i="10"/>
  <c r="AZ50" i="10"/>
  <c r="BD50" i="10"/>
  <c r="BC50" i="10"/>
  <c r="BB50" i="10"/>
  <c r="BA50" i="10"/>
  <c r="G39" i="18"/>
  <c r="F32" i="18"/>
  <c r="E12" i="18"/>
  <c r="F36" i="18"/>
  <c r="E16" i="18"/>
  <c r="G50" i="17"/>
  <c r="G52" i="18"/>
  <c r="C50" i="10"/>
  <c r="E41" i="11"/>
  <c r="E42" i="11" s="1"/>
  <c r="E47" i="11" s="1"/>
  <c r="F10" i="18" l="1"/>
  <c r="G30" i="18"/>
  <c r="H56" i="18"/>
  <c r="L37" i="11"/>
  <c r="L29" i="11"/>
  <c r="G30" i="17"/>
  <c r="G43" i="17" s="1"/>
  <c r="G16" i="10" s="1"/>
  <c r="H49" i="10" s="1"/>
  <c r="G22" i="15"/>
  <c r="F42" i="11"/>
  <c r="L45" i="11"/>
  <c r="H11" i="17"/>
  <c r="H22" i="5"/>
  <c r="H46" i="10" s="1"/>
  <c r="G37" i="18"/>
  <c r="F35" i="18"/>
  <c r="E15" i="18"/>
  <c r="H50" i="18"/>
  <c r="G34" i="18"/>
  <c r="F14" i="18"/>
  <c r="F11" i="18"/>
  <c r="G31" i="18"/>
  <c r="E31" i="11"/>
  <c r="E60" i="11"/>
  <c r="L21" i="11"/>
  <c r="G40" i="18"/>
  <c r="F31" i="11"/>
  <c r="F60" i="11"/>
  <c r="H25" i="11"/>
  <c r="F15" i="10"/>
  <c r="G25" i="16"/>
  <c r="F11" i="16"/>
  <c r="E13" i="16"/>
  <c r="E14" i="16" s="1"/>
  <c r="H52" i="17"/>
  <c r="F30" i="16"/>
  <c r="F49" i="17"/>
  <c r="H55" i="18"/>
  <c r="G33" i="11"/>
  <c r="G34" i="11" s="1"/>
  <c r="G39" i="11" s="1"/>
  <c r="G26" i="11"/>
  <c r="G59" i="11"/>
  <c r="G36" i="18"/>
  <c r="F16" i="18"/>
  <c r="G32" i="18"/>
  <c r="F12" i="18"/>
  <c r="I19" i="5"/>
  <c r="I21" i="17" s="1"/>
  <c r="I11" i="5"/>
  <c r="I13" i="17" s="1"/>
  <c r="I14" i="5"/>
  <c r="I16" i="17" s="1"/>
  <c r="I17" i="5"/>
  <c r="I19" i="17" s="1"/>
  <c r="I9" i="5"/>
  <c r="I13" i="5"/>
  <c r="I15" i="17" s="1"/>
  <c r="J8" i="5"/>
  <c r="I18" i="5"/>
  <c r="I20" i="17" s="1"/>
  <c r="I10" i="5"/>
  <c r="I12" i="17" s="1"/>
  <c r="I20" i="5"/>
  <c r="I22" i="17" s="1"/>
  <c r="I12" i="5"/>
  <c r="I14" i="17" s="1"/>
  <c r="I15" i="5"/>
  <c r="I17" i="17" s="1"/>
  <c r="I16" i="5"/>
  <c r="I18" i="17" s="1"/>
  <c r="K15" i="11"/>
  <c r="L13" i="11"/>
  <c r="E42" i="18"/>
  <c r="H59" i="18"/>
  <c r="I59" i="18" s="1"/>
  <c r="H18" i="11"/>
  <c r="G23" i="11"/>
  <c r="I57" i="18"/>
  <c r="H17" i="15"/>
  <c r="H38" i="17" s="1"/>
  <c r="H57" i="17" s="1"/>
  <c r="H17" i="18" s="1"/>
  <c r="H20" i="15"/>
  <c r="H41" i="17" s="1"/>
  <c r="H60" i="17" s="1"/>
  <c r="H20" i="18" s="1"/>
  <c r="H18" i="15"/>
  <c r="H39" i="17" s="1"/>
  <c r="H58" i="17" s="1"/>
  <c r="H10" i="15"/>
  <c r="H31" i="17" s="1"/>
  <c r="H50" i="17" s="1"/>
  <c r="H13" i="15"/>
  <c r="H34" i="17" s="1"/>
  <c r="H53" i="17" s="1"/>
  <c r="I8" i="15"/>
  <c r="H15" i="15"/>
  <c r="H36" i="17" s="1"/>
  <c r="H14" i="15"/>
  <c r="H35" i="17" s="1"/>
  <c r="H19" i="15"/>
  <c r="H40" i="17" s="1"/>
  <c r="H59" i="17" s="1"/>
  <c r="H19" i="18" s="1"/>
  <c r="H11" i="15"/>
  <c r="H32" i="17" s="1"/>
  <c r="H51" i="17" s="1"/>
  <c r="H16" i="15"/>
  <c r="H37" i="17" s="1"/>
  <c r="H56" i="17" s="1"/>
  <c r="H9" i="15"/>
  <c r="H12" i="15"/>
  <c r="H33" i="17" s="1"/>
  <c r="H51" i="18"/>
  <c r="H52" i="18"/>
  <c r="I52" i="18" s="1"/>
  <c r="G38" i="18"/>
  <c r="H55" i="17"/>
  <c r="H54" i="17"/>
  <c r="F61" i="18"/>
  <c r="G48" i="18"/>
  <c r="G29" i="18"/>
  <c r="F9" i="18"/>
  <c r="G49" i="17"/>
  <c r="F23" i="15"/>
  <c r="G23" i="15" s="1"/>
  <c r="G33" i="18"/>
  <c r="F13" i="18"/>
  <c r="I11" i="17" l="1"/>
  <c r="I22" i="5"/>
  <c r="I46" i="10" s="1"/>
  <c r="G30" i="16"/>
  <c r="H33" i="11"/>
  <c r="H34" i="11" s="1"/>
  <c r="H39" i="11" s="1"/>
  <c r="H26" i="11"/>
  <c r="H59" i="11"/>
  <c r="M21" i="11"/>
  <c r="I50" i="18"/>
  <c r="I18" i="11"/>
  <c r="H23" i="11"/>
  <c r="F47" i="11"/>
  <c r="G42" i="11"/>
  <c r="M37" i="11"/>
  <c r="G35" i="18"/>
  <c r="F15" i="18"/>
  <c r="I25" i="11"/>
  <c r="G15" i="10"/>
  <c r="H37" i="18"/>
  <c r="I56" i="18"/>
  <c r="H30" i="17"/>
  <c r="H43" i="17" s="1"/>
  <c r="H16" i="10" s="1"/>
  <c r="I49" i="10" s="1"/>
  <c r="H22" i="15"/>
  <c r="J59" i="18"/>
  <c r="H23" i="15"/>
  <c r="H39" i="18"/>
  <c r="I39" i="18" s="1"/>
  <c r="H38" i="18"/>
  <c r="G31" i="11"/>
  <c r="G60" i="11"/>
  <c r="H31" i="18"/>
  <c r="G11" i="18"/>
  <c r="I58" i="18"/>
  <c r="L15" i="11"/>
  <c r="M13" i="11"/>
  <c r="H40" i="18"/>
  <c r="I40" i="18" s="1"/>
  <c r="G61" i="18"/>
  <c r="H48" i="18"/>
  <c r="H36" i="18"/>
  <c r="G16" i="18"/>
  <c r="I51" i="17"/>
  <c r="J57" i="18"/>
  <c r="E18" i="18"/>
  <c r="G42" i="18"/>
  <c r="H29" i="18"/>
  <c r="G9" i="18"/>
  <c r="I51" i="18"/>
  <c r="I20" i="15"/>
  <c r="I41" i="17" s="1"/>
  <c r="I60" i="17" s="1"/>
  <c r="I20" i="18" s="1"/>
  <c r="I15" i="15"/>
  <c r="I36" i="17" s="1"/>
  <c r="I55" i="17" s="1"/>
  <c r="I13" i="15"/>
  <c r="I34" i="17" s="1"/>
  <c r="J8" i="15"/>
  <c r="I14" i="15"/>
  <c r="I35" i="17" s="1"/>
  <c r="I54" i="17" s="1"/>
  <c r="I19" i="15"/>
  <c r="I40" i="17" s="1"/>
  <c r="I59" i="17" s="1"/>
  <c r="I19" i="18" s="1"/>
  <c r="I11" i="15"/>
  <c r="I32" i="17" s="1"/>
  <c r="I16" i="15"/>
  <c r="I37" i="17" s="1"/>
  <c r="I56" i="17" s="1"/>
  <c r="I9" i="15"/>
  <c r="I12" i="15"/>
  <c r="I33" i="17" s="1"/>
  <c r="I52" i="17" s="1"/>
  <c r="I18" i="15"/>
  <c r="I39" i="17" s="1"/>
  <c r="I58" i="17" s="1"/>
  <c r="I17" i="15"/>
  <c r="I38" i="17" s="1"/>
  <c r="I57" i="17" s="1"/>
  <c r="I17" i="18" s="1"/>
  <c r="I10" i="15"/>
  <c r="I31" i="17" s="1"/>
  <c r="J14" i="5"/>
  <c r="J16" i="17" s="1"/>
  <c r="J17" i="5"/>
  <c r="J19" i="17" s="1"/>
  <c r="J9" i="5"/>
  <c r="J20" i="5"/>
  <c r="J22" i="17" s="1"/>
  <c r="J12" i="5"/>
  <c r="J14" i="17" s="1"/>
  <c r="J16" i="5"/>
  <c r="J18" i="17" s="1"/>
  <c r="J19" i="5"/>
  <c r="J21" i="17" s="1"/>
  <c r="J11" i="5"/>
  <c r="J13" i="17" s="1"/>
  <c r="J13" i="5"/>
  <c r="J15" i="17" s="1"/>
  <c r="J15" i="5"/>
  <c r="J17" i="17" s="1"/>
  <c r="K8" i="5"/>
  <c r="J18" i="5"/>
  <c r="J20" i="17" s="1"/>
  <c r="J10" i="5"/>
  <c r="J12" i="17" s="1"/>
  <c r="H32" i="18"/>
  <c r="G12" i="18"/>
  <c r="I55" i="18"/>
  <c r="J55" i="18" s="1"/>
  <c r="H49" i="17"/>
  <c r="I54" i="18"/>
  <c r="J54" i="18" s="1"/>
  <c r="H30" i="18"/>
  <c r="G10" i="18"/>
  <c r="H33" i="18"/>
  <c r="G13" i="18"/>
  <c r="I50" i="17"/>
  <c r="G11" i="16"/>
  <c r="G13" i="16" s="1"/>
  <c r="G14" i="16" s="1"/>
  <c r="F13" i="16"/>
  <c r="F14" i="16" s="1"/>
  <c r="I53" i="18"/>
  <c r="I49" i="18"/>
  <c r="J49" i="18" s="1"/>
  <c r="F42" i="18"/>
  <c r="H23" i="5"/>
  <c r="I23" i="5" s="1"/>
  <c r="I53" i="17"/>
  <c r="G14" i="18"/>
  <c r="H34" i="18"/>
  <c r="M45" i="11"/>
  <c r="M29" i="11"/>
  <c r="N45" i="11" l="1"/>
  <c r="J50" i="17"/>
  <c r="J54" i="17"/>
  <c r="I29" i="18"/>
  <c r="H9" i="18"/>
  <c r="J58" i="18"/>
  <c r="G18" i="18"/>
  <c r="H61" i="18"/>
  <c r="I48" i="18"/>
  <c r="J39" i="18"/>
  <c r="H60" i="11"/>
  <c r="H31" i="11"/>
  <c r="I31" i="18"/>
  <c r="H11" i="18"/>
  <c r="I26" i="11"/>
  <c r="I33" i="11"/>
  <c r="I34" i="11" s="1"/>
  <c r="I39" i="11" s="1"/>
  <c r="I59" i="11"/>
  <c r="J59" i="17"/>
  <c r="J19" i="18" s="1"/>
  <c r="J15" i="15"/>
  <c r="J36" i="17" s="1"/>
  <c r="J18" i="15"/>
  <c r="J39" i="17" s="1"/>
  <c r="J14" i="15"/>
  <c r="J35" i="17" s="1"/>
  <c r="J19" i="15"/>
  <c r="J40" i="17" s="1"/>
  <c r="J11" i="15"/>
  <c r="J32" i="17" s="1"/>
  <c r="J16" i="15"/>
  <c r="J37" i="17" s="1"/>
  <c r="J56" i="17" s="1"/>
  <c r="J9" i="15"/>
  <c r="J12" i="15"/>
  <c r="J33" i="17" s="1"/>
  <c r="J52" i="17" s="1"/>
  <c r="J20" i="15"/>
  <c r="J41" i="17" s="1"/>
  <c r="J60" i="17" s="1"/>
  <c r="J20" i="18" s="1"/>
  <c r="J13" i="15"/>
  <c r="J34" i="17" s="1"/>
  <c r="J53" i="17" s="1"/>
  <c r="K8" i="15"/>
  <c r="J10" i="15"/>
  <c r="J31" i="17" s="1"/>
  <c r="J17" i="15"/>
  <c r="J38" i="17" s="1"/>
  <c r="F18" i="18"/>
  <c r="H12" i="18"/>
  <c r="I32" i="18"/>
  <c r="J18" i="11"/>
  <c r="I23" i="11"/>
  <c r="J51" i="17"/>
  <c r="N29" i="11"/>
  <c r="I33" i="18"/>
  <c r="H13" i="18"/>
  <c r="I30" i="17"/>
  <c r="I43" i="17" s="1"/>
  <c r="I16" i="10" s="1"/>
  <c r="J49" i="10" s="1"/>
  <c r="I22" i="15"/>
  <c r="N37" i="11"/>
  <c r="J50" i="18"/>
  <c r="H15" i="10"/>
  <c r="J25" i="11"/>
  <c r="J58" i="17"/>
  <c r="H14" i="18"/>
  <c r="I34" i="18"/>
  <c r="J52" i="18"/>
  <c r="K52" i="18" s="1"/>
  <c r="I30" i="18"/>
  <c r="H10" i="18"/>
  <c r="J11" i="17"/>
  <c r="J22" i="5"/>
  <c r="J46" i="10" s="1"/>
  <c r="J51" i="18"/>
  <c r="K51" i="18" s="1"/>
  <c r="N13" i="11"/>
  <c r="M15" i="11"/>
  <c r="I38" i="18"/>
  <c r="J38" i="18" s="1"/>
  <c r="J56" i="18"/>
  <c r="N21" i="11"/>
  <c r="K57" i="18"/>
  <c r="H35" i="18"/>
  <c r="G15" i="18"/>
  <c r="K17" i="5"/>
  <c r="K19" i="17" s="1"/>
  <c r="K9" i="5"/>
  <c r="K20" i="5"/>
  <c r="K22" i="17" s="1"/>
  <c r="K12" i="5"/>
  <c r="K14" i="17" s="1"/>
  <c r="K15" i="5"/>
  <c r="K17" i="17" s="1"/>
  <c r="K19" i="5"/>
  <c r="K21" i="17" s="1"/>
  <c r="K11" i="5"/>
  <c r="K13" i="17" s="1"/>
  <c r="K13" i="5"/>
  <c r="K15" i="17" s="1"/>
  <c r="L8" i="5"/>
  <c r="K14" i="5"/>
  <c r="K16" i="17" s="1"/>
  <c r="K16" i="5"/>
  <c r="K18" i="17" s="1"/>
  <c r="K18" i="5"/>
  <c r="K20" i="17" s="1"/>
  <c r="K10" i="5"/>
  <c r="K12" i="17" s="1"/>
  <c r="J53" i="18"/>
  <c r="K54" i="18"/>
  <c r="J55" i="17"/>
  <c r="J57" i="17"/>
  <c r="J17" i="18" s="1"/>
  <c r="I36" i="18"/>
  <c r="H16" i="18"/>
  <c r="I37" i="18"/>
  <c r="G47" i="11"/>
  <c r="H42" i="11"/>
  <c r="J36" i="18" l="1"/>
  <c r="I16" i="18"/>
  <c r="K11" i="17"/>
  <c r="K22" i="5"/>
  <c r="K46" i="10" s="1"/>
  <c r="K56" i="18"/>
  <c r="J30" i="18"/>
  <c r="I10" i="18"/>
  <c r="K50" i="18"/>
  <c r="J23" i="5"/>
  <c r="I11" i="18"/>
  <c r="J31" i="18"/>
  <c r="K58" i="18"/>
  <c r="K49" i="18"/>
  <c r="K57" i="17"/>
  <c r="K17" i="18" s="1"/>
  <c r="K25" i="11"/>
  <c r="I15" i="10"/>
  <c r="J30" i="17"/>
  <c r="J43" i="17" s="1"/>
  <c r="J16" i="10" s="1"/>
  <c r="K49" i="10" s="1"/>
  <c r="J22" i="15"/>
  <c r="K55" i="18"/>
  <c r="K59" i="17"/>
  <c r="K19" i="18" s="1"/>
  <c r="I42" i="18"/>
  <c r="I9" i="18"/>
  <c r="J29" i="18"/>
  <c r="O45" i="11"/>
  <c r="J34" i="18"/>
  <c r="I14" i="18"/>
  <c r="O37" i="11"/>
  <c r="O29" i="11"/>
  <c r="I35" i="18"/>
  <c r="H15" i="18"/>
  <c r="O13" i="11"/>
  <c r="N15" i="11"/>
  <c r="H47" i="11"/>
  <c r="I42" i="11"/>
  <c r="K53" i="18"/>
  <c r="L53" i="18" s="1"/>
  <c r="I49" i="17"/>
  <c r="J26" i="11"/>
  <c r="J33" i="11"/>
  <c r="J34" i="11" s="1"/>
  <c r="J39" i="11" s="1"/>
  <c r="J59" i="11"/>
  <c r="H42" i="18"/>
  <c r="K59" i="18"/>
  <c r="L20" i="5"/>
  <c r="L22" i="17" s="1"/>
  <c r="L12" i="5"/>
  <c r="L14" i="17" s="1"/>
  <c r="L15" i="5"/>
  <c r="L17" i="17" s="1"/>
  <c r="L18" i="5"/>
  <c r="L20" i="17" s="1"/>
  <c r="L10" i="5"/>
  <c r="L12" i="17" s="1"/>
  <c r="L14" i="5"/>
  <c r="L16" i="17" s="1"/>
  <c r="L19" i="5"/>
  <c r="L21" i="17" s="1"/>
  <c r="L11" i="5"/>
  <c r="L13" i="17" s="1"/>
  <c r="L13" i="5"/>
  <c r="L15" i="17" s="1"/>
  <c r="M8" i="5"/>
  <c r="L16" i="5"/>
  <c r="L18" i="17" s="1"/>
  <c r="L17" i="5"/>
  <c r="L19" i="17" s="1"/>
  <c r="L9" i="5"/>
  <c r="L52" i="18"/>
  <c r="I12" i="18"/>
  <c r="J32" i="18"/>
  <c r="L51" i="18"/>
  <c r="J49" i="17"/>
  <c r="I60" i="11"/>
  <c r="I31" i="11"/>
  <c r="I61" i="18"/>
  <c r="J48" i="18"/>
  <c r="J40" i="18"/>
  <c r="K40" i="18" s="1"/>
  <c r="K55" i="17"/>
  <c r="J37" i="18"/>
  <c r="O21" i="11"/>
  <c r="J33" i="18"/>
  <c r="I13" i="18"/>
  <c r="K18" i="11"/>
  <c r="J23" i="11"/>
  <c r="K18" i="15"/>
  <c r="K39" i="17" s="1"/>
  <c r="K58" i="17" s="1"/>
  <c r="K19" i="15"/>
  <c r="K40" i="17" s="1"/>
  <c r="K11" i="15"/>
  <c r="K32" i="17" s="1"/>
  <c r="K51" i="17" s="1"/>
  <c r="K15" i="15"/>
  <c r="K36" i="17" s="1"/>
  <c r="K16" i="15"/>
  <c r="K37" i="17" s="1"/>
  <c r="K56" i="17" s="1"/>
  <c r="K9" i="15"/>
  <c r="K12" i="15"/>
  <c r="K33" i="17" s="1"/>
  <c r="K52" i="17" s="1"/>
  <c r="K17" i="15"/>
  <c r="K38" i="17" s="1"/>
  <c r="K10" i="15"/>
  <c r="K31" i="17" s="1"/>
  <c r="K50" i="17" s="1"/>
  <c r="K14" i="15"/>
  <c r="K35" i="17" s="1"/>
  <c r="K54" i="17" s="1"/>
  <c r="K20" i="15"/>
  <c r="K41" i="17" s="1"/>
  <c r="K60" i="17" s="1"/>
  <c r="K20" i="18" s="1"/>
  <c r="L8" i="15"/>
  <c r="K13" i="15"/>
  <c r="K34" i="17" s="1"/>
  <c r="K53" i="17" s="1"/>
  <c r="I23" i="15"/>
  <c r="J23" i="15" s="1"/>
  <c r="L11" i="17" l="1"/>
  <c r="L22" i="5"/>
  <c r="L46" i="10" s="1"/>
  <c r="K29" i="18"/>
  <c r="J9" i="18"/>
  <c r="K26" i="11"/>
  <c r="K33" i="11"/>
  <c r="K34" i="11" s="1"/>
  <c r="K39" i="11" s="1"/>
  <c r="K59" i="11"/>
  <c r="K30" i="18"/>
  <c r="J10" i="18"/>
  <c r="L55" i="17"/>
  <c r="J60" i="11"/>
  <c r="J31" i="11"/>
  <c r="P13" i="11"/>
  <c r="P15" i="11" s="1"/>
  <c r="O15" i="11"/>
  <c r="I18" i="18"/>
  <c r="L49" i="18"/>
  <c r="L56" i="18"/>
  <c r="P37" i="11"/>
  <c r="L16" i="15"/>
  <c r="L37" i="17" s="1"/>
  <c r="L20" i="15"/>
  <c r="L41" i="17" s="1"/>
  <c r="L15" i="15"/>
  <c r="L36" i="17" s="1"/>
  <c r="L9" i="15"/>
  <c r="L12" i="15"/>
  <c r="L33" i="17" s="1"/>
  <c r="L52" i="17" s="1"/>
  <c r="L17" i="15"/>
  <c r="L38" i="17" s="1"/>
  <c r="L57" i="17" s="1"/>
  <c r="L17" i="18" s="1"/>
  <c r="L10" i="15"/>
  <c r="L31" i="17" s="1"/>
  <c r="L50" i="17" s="1"/>
  <c r="L13" i="15"/>
  <c r="L34" i="17" s="1"/>
  <c r="M8" i="15"/>
  <c r="L19" i="15"/>
  <c r="L40" i="17" s="1"/>
  <c r="L11" i="15"/>
  <c r="L32" i="17" s="1"/>
  <c r="L51" i="17" s="1"/>
  <c r="L14" i="15"/>
  <c r="L35" i="17" s="1"/>
  <c r="L18" i="15"/>
  <c r="L39" i="17" s="1"/>
  <c r="L58" i="17" s="1"/>
  <c r="J61" i="18"/>
  <c r="K48" i="18"/>
  <c r="K34" i="18"/>
  <c r="J14" i="18"/>
  <c r="L58" i="18"/>
  <c r="M58" i="18" s="1"/>
  <c r="M15" i="5"/>
  <c r="M17" i="17" s="1"/>
  <c r="M18" i="5"/>
  <c r="M20" i="17" s="1"/>
  <c r="M10" i="5"/>
  <c r="M12" i="17" s="1"/>
  <c r="M13" i="5"/>
  <c r="M15" i="17" s="1"/>
  <c r="N8" i="5"/>
  <c r="M17" i="5"/>
  <c r="M19" i="17" s="1"/>
  <c r="M9" i="5"/>
  <c r="M20" i="5"/>
  <c r="M22" i="17" s="1"/>
  <c r="M12" i="5"/>
  <c r="M14" i="17" s="1"/>
  <c r="M14" i="5"/>
  <c r="M16" i="17" s="1"/>
  <c r="M16" i="5"/>
  <c r="M18" i="17" s="1"/>
  <c r="M19" i="5"/>
  <c r="M21" i="17" s="1"/>
  <c r="M11" i="5"/>
  <c r="M13" i="17" s="1"/>
  <c r="P21" i="11"/>
  <c r="L60" i="17"/>
  <c r="L20" i="18" s="1"/>
  <c r="J35" i="18"/>
  <c r="J42" i="18" s="1"/>
  <c r="I15" i="18"/>
  <c r="L55" i="18"/>
  <c r="M55" i="18" s="1"/>
  <c r="J11" i="18"/>
  <c r="K31" i="18"/>
  <c r="K49" i="17"/>
  <c r="K33" i="18"/>
  <c r="J13" i="18"/>
  <c r="L40" i="18"/>
  <c r="L56" i="17"/>
  <c r="L53" i="17"/>
  <c r="K32" i="18"/>
  <c r="J12" i="18"/>
  <c r="L59" i="18"/>
  <c r="L57" i="18"/>
  <c r="M57" i="18" s="1"/>
  <c r="L54" i="18"/>
  <c r="M54" i="18" s="1"/>
  <c r="K38" i="18"/>
  <c r="L38" i="18" s="1"/>
  <c r="L25" i="11"/>
  <c r="J15" i="10"/>
  <c r="L18" i="11"/>
  <c r="K23" i="11"/>
  <c r="L59" i="17"/>
  <c r="L19" i="18" s="1"/>
  <c r="H18" i="18"/>
  <c r="M53" i="18"/>
  <c r="K23" i="5"/>
  <c r="L23" i="5" s="1"/>
  <c r="K30" i="17"/>
  <c r="K43" i="17" s="1"/>
  <c r="K16" i="10" s="1"/>
  <c r="L49" i="10" s="1"/>
  <c r="K22" i="15"/>
  <c r="K37" i="18"/>
  <c r="L37" i="18" s="1"/>
  <c r="M52" i="18"/>
  <c r="L54" i="17"/>
  <c r="K39" i="18"/>
  <c r="L39" i="18" s="1"/>
  <c r="I47" i="11"/>
  <c r="J42" i="11"/>
  <c r="P29" i="11"/>
  <c r="P45" i="11"/>
  <c r="L50" i="18"/>
  <c r="K36" i="18"/>
  <c r="J16" i="18"/>
  <c r="J18" i="18" l="1"/>
  <c r="L26" i="11"/>
  <c r="L59" i="11"/>
  <c r="L33" i="11"/>
  <c r="L34" i="11" s="1"/>
  <c r="L39" i="11" s="1"/>
  <c r="L34" i="18"/>
  <c r="K14" i="18"/>
  <c r="M16" i="15"/>
  <c r="M37" i="17" s="1"/>
  <c r="M56" i="17" s="1"/>
  <c r="M19" i="15"/>
  <c r="M40" i="17" s="1"/>
  <c r="M9" i="15"/>
  <c r="M12" i="15"/>
  <c r="M33" i="17" s="1"/>
  <c r="M52" i="17" s="1"/>
  <c r="M17" i="15"/>
  <c r="M38" i="17" s="1"/>
  <c r="M57" i="17" s="1"/>
  <c r="M17" i="18" s="1"/>
  <c r="M10" i="15"/>
  <c r="M31" i="17" s="1"/>
  <c r="M50" i="17" s="1"/>
  <c r="M13" i="15"/>
  <c r="M34" i="17" s="1"/>
  <c r="N8" i="15"/>
  <c r="M20" i="15"/>
  <c r="M41" i="17" s="1"/>
  <c r="M18" i="15"/>
  <c r="M39" i="17" s="1"/>
  <c r="M58" i="17" s="1"/>
  <c r="M14" i="15"/>
  <c r="M35" i="17" s="1"/>
  <c r="M54" i="17" s="1"/>
  <c r="M15" i="15"/>
  <c r="M36" i="17" s="1"/>
  <c r="M11" i="15"/>
  <c r="M32" i="17" s="1"/>
  <c r="M51" i="17" s="1"/>
  <c r="K60" i="11"/>
  <c r="K31" i="11"/>
  <c r="K15" i="10"/>
  <c r="M25" i="11"/>
  <c r="M55" i="17"/>
  <c r="K61" i="18"/>
  <c r="L48" i="18"/>
  <c r="M18" i="11"/>
  <c r="L23" i="11"/>
  <c r="K11" i="18"/>
  <c r="L31" i="18"/>
  <c r="L36" i="18"/>
  <c r="K16" i="18"/>
  <c r="K35" i="18"/>
  <c r="J15" i="18"/>
  <c r="M60" i="17"/>
  <c r="M20" i="18" s="1"/>
  <c r="M51" i="18"/>
  <c r="N51" i="18" s="1"/>
  <c r="M56" i="18"/>
  <c r="K42" i="18"/>
  <c r="K9" i="18"/>
  <c r="L29" i="18"/>
  <c r="M50" i="18"/>
  <c r="N53" i="18"/>
  <c r="N54" i="18"/>
  <c r="M40" i="18"/>
  <c r="M59" i="18"/>
  <c r="N59" i="18" s="1"/>
  <c r="K13" i="18"/>
  <c r="L33" i="18"/>
  <c r="M11" i="17"/>
  <c r="M22" i="5"/>
  <c r="M46" i="10" s="1"/>
  <c r="K23" i="15"/>
  <c r="L22" i="15"/>
  <c r="L30" i="17"/>
  <c r="L43" i="17" s="1"/>
  <c r="L16" i="10" s="1"/>
  <c r="M49" i="10" s="1"/>
  <c r="M49" i="18"/>
  <c r="K10" i="18"/>
  <c r="L30" i="18"/>
  <c r="N18" i="5"/>
  <c r="N20" i="17" s="1"/>
  <c r="N10" i="5"/>
  <c r="N12" i="17" s="1"/>
  <c r="N13" i="5"/>
  <c r="N15" i="17" s="1"/>
  <c r="O8" i="5"/>
  <c r="N16" i="5"/>
  <c r="N18" i="17" s="1"/>
  <c r="N20" i="5"/>
  <c r="N22" i="17" s="1"/>
  <c r="N12" i="5"/>
  <c r="N14" i="17" s="1"/>
  <c r="N14" i="5"/>
  <c r="N16" i="17" s="1"/>
  <c r="N9" i="5"/>
  <c r="N15" i="5"/>
  <c r="N17" i="17" s="1"/>
  <c r="N17" i="5"/>
  <c r="N19" i="17" s="1"/>
  <c r="N19" i="5"/>
  <c r="N21" i="17" s="1"/>
  <c r="N11" i="5"/>
  <c r="N13" i="17" s="1"/>
  <c r="K42" i="11"/>
  <c r="J47" i="11"/>
  <c r="L32" i="18"/>
  <c r="K12" i="18"/>
  <c r="M59" i="17"/>
  <c r="M19" i="18" s="1"/>
  <c r="M53" i="17"/>
  <c r="O13" i="5" l="1"/>
  <c r="O15" i="17" s="1"/>
  <c r="P8" i="5"/>
  <c r="O16" i="5"/>
  <c r="O18" i="17" s="1"/>
  <c r="O19" i="5"/>
  <c r="O21" i="17" s="1"/>
  <c r="O11" i="5"/>
  <c r="O13" i="17" s="1"/>
  <c r="O15" i="5"/>
  <c r="O17" i="17" s="1"/>
  <c r="O14" i="5"/>
  <c r="O16" i="17" s="1"/>
  <c r="O17" i="5"/>
  <c r="O19" i="17" s="1"/>
  <c r="O9" i="5"/>
  <c r="O18" i="5"/>
  <c r="O20" i="17" s="1"/>
  <c r="O10" i="5"/>
  <c r="O12" i="17" s="1"/>
  <c r="O20" i="5"/>
  <c r="O22" i="17" s="1"/>
  <c r="O12" i="5"/>
  <c r="O14" i="17" s="1"/>
  <c r="N49" i="18"/>
  <c r="O49" i="18" s="1"/>
  <c r="L13" i="18"/>
  <c r="M33" i="18"/>
  <c r="N56" i="18"/>
  <c r="M36" i="18"/>
  <c r="L16" i="18"/>
  <c r="N55" i="18"/>
  <c r="O55" i="18" s="1"/>
  <c r="M38" i="18"/>
  <c r="M31" i="18"/>
  <c r="L11" i="18"/>
  <c r="M33" i="11"/>
  <c r="M34" i="11" s="1"/>
  <c r="M39" i="11" s="1"/>
  <c r="M26" i="11"/>
  <c r="M59" i="11"/>
  <c r="M22" i="15"/>
  <c r="M30" i="17"/>
  <c r="M43" i="17" s="1"/>
  <c r="M16" i="10" s="1"/>
  <c r="N49" i="10" s="1"/>
  <c r="N56" i="17"/>
  <c r="K18" i="18"/>
  <c r="L60" i="11"/>
  <c r="L31" i="11"/>
  <c r="L15" i="10"/>
  <c r="N25" i="11"/>
  <c r="O53" i="18"/>
  <c r="N18" i="11"/>
  <c r="M23" i="11"/>
  <c r="N19" i="15"/>
  <c r="N40" i="17" s="1"/>
  <c r="N59" i="17" s="1"/>
  <c r="N19" i="18" s="1"/>
  <c r="N14" i="15"/>
  <c r="N35" i="17" s="1"/>
  <c r="N54" i="17" s="1"/>
  <c r="N12" i="15"/>
  <c r="N33" i="17" s="1"/>
  <c r="N16" i="15"/>
  <c r="N37" i="17" s="1"/>
  <c r="N17" i="15"/>
  <c r="N38" i="17" s="1"/>
  <c r="N10" i="15"/>
  <c r="N31" i="17" s="1"/>
  <c r="N50" i="17" s="1"/>
  <c r="N13" i="15"/>
  <c r="N34" i="17" s="1"/>
  <c r="N53" i="17" s="1"/>
  <c r="O8" i="15"/>
  <c r="N20" i="15"/>
  <c r="N41" i="17" s="1"/>
  <c r="N18" i="15"/>
  <c r="N39" i="17" s="1"/>
  <c r="N58" i="17" s="1"/>
  <c r="N11" i="15"/>
  <c r="N32" i="17" s="1"/>
  <c r="N9" i="15"/>
  <c r="N15" i="15"/>
  <c r="N36" i="17" s="1"/>
  <c r="M23" i="5"/>
  <c r="N23" i="5" s="1"/>
  <c r="N51" i="17"/>
  <c r="L42" i="11"/>
  <c r="K47" i="11"/>
  <c r="M30" i="18"/>
  <c r="L10" i="18"/>
  <c r="L23" i="15"/>
  <c r="N52" i="18"/>
  <c r="O52" i="18" s="1"/>
  <c r="M29" i="18"/>
  <c r="L35" i="18"/>
  <c r="K15" i="18"/>
  <c r="M34" i="18"/>
  <c r="L14" i="18"/>
  <c r="N57" i="17"/>
  <c r="N17" i="18" s="1"/>
  <c r="L12" i="18"/>
  <c r="M32" i="18"/>
  <c r="N55" i="17"/>
  <c r="N11" i="17"/>
  <c r="N22" i="5"/>
  <c r="N46" i="10" s="1"/>
  <c r="M37" i="18"/>
  <c r="N37" i="18" s="1"/>
  <c r="N50" i="18"/>
  <c r="O50" i="18" s="1"/>
  <c r="N57" i="18"/>
  <c r="O57" i="18" s="1"/>
  <c r="N52" i="17"/>
  <c r="L49" i="17"/>
  <c r="L9" i="18" s="1"/>
  <c r="N58" i="18"/>
  <c r="N60" i="17"/>
  <c r="N20" i="18" s="1"/>
  <c r="M39" i="18"/>
  <c r="L61" i="18"/>
  <c r="M48" i="18"/>
  <c r="N33" i="18" l="1"/>
  <c r="M13" i="18"/>
  <c r="N31" i="18"/>
  <c r="M11" i="18"/>
  <c r="M12" i="18"/>
  <c r="N32" i="18"/>
  <c r="M35" i="18"/>
  <c r="L15" i="18"/>
  <c r="O51" i="18"/>
  <c r="M61" i="18"/>
  <c r="N48" i="18"/>
  <c r="N38" i="18"/>
  <c r="N30" i="18"/>
  <c r="M10" i="18"/>
  <c r="M15" i="10"/>
  <c r="O25" i="11"/>
  <c r="N39" i="18"/>
  <c r="O39" i="18" s="1"/>
  <c r="L42" i="18"/>
  <c r="O59" i="17"/>
  <c r="O19" i="18" s="1"/>
  <c r="M42" i="11"/>
  <c r="L47" i="11"/>
  <c r="O14" i="15"/>
  <c r="O35" i="17" s="1"/>
  <c r="O54" i="17" s="1"/>
  <c r="O17" i="15"/>
  <c r="O38" i="17" s="1"/>
  <c r="O57" i="17" s="1"/>
  <c r="O17" i="18" s="1"/>
  <c r="O16" i="15"/>
  <c r="O37" i="17" s="1"/>
  <c r="O10" i="15"/>
  <c r="O31" i="17" s="1"/>
  <c r="O13" i="15"/>
  <c r="O34" i="17" s="1"/>
  <c r="P8" i="15"/>
  <c r="O20" i="15"/>
  <c r="O41" i="17" s="1"/>
  <c r="O60" i="17" s="1"/>
  <c r="O20" i="18" s="1"/>
  <c r="O18" i="15"/>
  <c r="O39" i="17" s="1"/>
  <c r="O11" i="15"/>
  <c r="O32" i="17" s="1"/>
  <c r="O51" i="17" s="1"/>
  <c r="O15" i="15"/>
  <c r="O36" i="17" s="1"/>
  <c r="O55" i="17" s="1"/>
  <c r="O12" i="15"/>
  <c r="O33" i="17" s="1"/>
  <c r="O52" i="17" s="1"/>
  <c r="O19" i="15"/>
  <c r="O40" i="17" s="1"/>
  <c r="O9" i="15"/>
  <c r="M42" i="18"/>
  <c r="N29" i="18"/>
  <c r="O18" i="11"/>
  <c r="N23" i="11"/>
  <c r="M60" i="11"/>
  <c r="M31" i="11"/>
  <c r="M16" i="18"/>
  <c r="N36" i="18"/>
  <c r="O50" i="17"/>
  <c r="O56" i="17"/>
  <c r="M23" i="15"/>
  <c r="N30" i="17"/>
  <c r="N43" i="17" s="1"/>
  <c r="N22" i="15"/>
  <c r="O56" i="18"/>
  <c r="P56" i="18" s="1"/>
  <c r="O58" i="17"/>
  <c r="P16" i="5"/>
  <c r="P18" i="17" s="1"/>
  <c r="P19" i="5"/>
  <c r="P21" i="17" s="1"/>
  <c r="P11" i="5"/>
  <c r="P13" i="17" s="1"/>
  <c r="P14" i="5"/>
  <c r="P16" i="17" s="1"/>
  <c r="P18" i="5"/>
  <c r="P20" i="17" s="1"/>
  <c r="P10" i="5"/>
  <c r="P12" i="17" s="1"/>
  <c r="P13" i="5"/>
  <c r="P15" i="17" s="1"/>
  <c r="P17" i="5"/>
  <c r="P19" i="17" s="1"/>
  <c r="P15" i="5"/>
  <c r="P17" i="17" s="1"/>
  <c r="P9" i="5"/>
  <c r="Q8" i="5"/>
  <c r="P20" i="5"/>
  <c r="P22" i="17" s="1"/>
  <c r="P12" i="5"/>
  <c r="P14" i="17" s="1"/>
  <c r="O59" i="18"/>
  <c r="P59" i="18" s="1"/>
  <c r="N40" i="18"/>
  <c r="O58" i="18"/>
  <c r="P58" i="18" s="1"/>
  <c r="N34" i="18"/>
  <c r="M14" i="18"/>
  <c r="N33" i="11"/>
  <c r="N34" i="11" s="1"/>
  <c r="N39" i="11" s="1"/>
  <c r="N26" i="11"/>
  <c r="N59" i="11"/>
  <c r="M49" i="17"/>
  <c r="M9" i="18" s="1"/>
  <c r="O54" i="18"/>
  <c r="P54" i="18" s="1"/>
  <c r="O11" i="17"/>
  <c r="O22" i="5"/>
  <c r="O53" i="17"/>
  <c r="O40" i="18" l="1"/>
  <c r="P18" i="11"/>
  <c r="P23" i="11" s="1"/>
  <c r="O23" i="11"/>
  <c r="P49" i="18"/>
  <c r="O32" i="18"/>
  <c r="N12" i="18"/>
  <c r="O33" i="11"/>
  <c r="O34" i="11" s="1"/>
  <c r="O39" i="11" s="1"/>
  <c r="O26" i="11"/>
  <c r="O59" i="11"/>
  <c r="O38" i="18"/>
  <c r="O29" i="18"/>
  <c r="N61" i="18"/>
  <c r="C31" i="16" s="1"/>
  <c r="O48" i="18"/>
  <c r="P25" i="11"/>
  <c r="N15" i="10"/>
  <c r="O36" i="18"/>
  <c r="N16" i="18"/>
  <c r="N42" i="11"/>
  <c r="M47" i="11"/>
  <c r="O31" i="18"/>
  <c r="N11" i="18"/>
  <c r="P52" i="17"/>
  <c r="Q19" i="5"/>
  <c r="Q21" i="17" s="1"/>
  <c r="Q11" i="5"/>
  <c r="Q13" i="17" s="1"/>
  <c r="Q14" i="5"/>
  <c r="Q16" i="17" s="1"/>
  <c r="Q17" i="5"/>
  <c r="Q19" i="17" s="1"/>
  <c r="Q9" i="5"/>
  <c r="Q13" i="5"/>
  <c r="Q15" i="17" s="1"/>
  <c r="R8" i="5"/>
  <c r="Q15" i="5"/>
  <c r="Q17" i="17" s="1"/>
  <c r="Q16" i="5"/>
  <c r="Q18" i="17" s="1"/>
  <c r="Q10" i="5"/>
  <c r="Q12" i="17" s="1"/>
  <c r="Q18" i="5"/>
  <c r="Q20" i="17" s="1"/>
  <c r="Q20" i="5"/>
  <c r="Q22" i="17" s="1"/>
  <c r="Q12" i="5"/>
  <c r="Q14" i="17" s="1"/>
  <c r="P57" i="18"/>
  <c r="Q57" i="18" s="1"/>
  <c r="P17" i="15"/>
  <c r="P38" i="17" s="1"/>
  <c r="P20" i="15"/>
  <c r="P41" i="17" s="1"/>
  <c r="P60" i="17" s="1"/>
  <c r="P20" i="18" s="1"/>
  <c r="P10" i="15"/>
  <c r="P31" i="17" s="1"/>
  <c r="P50" i="17" s="1"/>
  <c r="P13" i="15"/>
  <c r="P34" i="17" s="1"/>
  <c r="P53" i="17" s="1"/>
  <c r="Q8" i="15"/>
  <c r="P18" i="15"/>
  <c r="P39" i="17" s="1"/>
  <c r="P11" i="15"/>
  <c r="P32" i="17" s="1"/>
  <c r="P15" i="15"/>
  <c r="P36" i="17" s="1"/>
  <c r="P55" i="17" s="1"/>
  <c r="P14" i="15"/>
  <c r="P35" i="17" s="1"/>
  <c r="P54" i="17" s="1"/>
  <c r="P19" i="15"/>
  <c r="P40" i="17" s="1"/>
  <c r="P59" i="17" s="1"/>
  <c r="P19" i="18" s="1"/>
  <c r="P9" i="15"/>
  <c r="P16" i="15"/>
  <c r="P37" i="17" s="1"/>
  <c r="P56" i="17" s="1"/>
  <c r="P12" i="15"/>
  <c r="P33" i="17" s="1"/>
  <c r="N60" i="11"/>
  <c r="N31" i="11"/>
  <c r="P58" i="17"/>
  <c r="C32" i="16"/>
  <c r="N16" i="10"/>
  <c r="O49" i="10" s="1"/>
  <c r="P11" i="17"/>
  <c r="P22" i="5"/>
  <c r="P46" i="10" s="1"/>
  <c r="P52" i="18"/>
  <c r="P53" i="18"/>
  <c r="Q53" i="18" s="1"/>
  <c r="O30" i="17"/>
  <c r="O43" i="17" s="1"/>
  <c r="O16" i="10" s="1"/>
  <c r="P49" i="10" s="1"/>
  <c r="O22" i="15"/>
  <c r="P51" i="18"/>
  <c r="Q51" i="18" s="1"/>
  <c r="P51" i="17"/>
  <c r="O46" i="10"/>
  <c r="O23" i="5"/>
  <c r="O34" i="18"/>
  <c r="N14" i="18"/>
  <c r="O49" i="17"/>
  <c r="N49" i="17"/>
  <c r="N9" i="18" s="1"/>
  <c r="O37" i="18"/>
  <c r="P37" i="18" s="1"/>
  <c r="P55" i="18"/>
  <c r="L18" i="18"/>
  <c r="N10" i="18"/>
  <c r="O30" i="18"/>
  <c r="O33" i="18"/>
  <c r="N13" i="18"/>
  <c r="N23" i="15"/>
  <c r="M18" i="18"/>
  <c r="Q54" i="18"/>
  <c r="Q58" i="18"/>
  <c r="P57" i="17"/>
  <c r="P17" i="18" s="1"/>
  <c r="P50" i="18"/>
  <c r="Q50" i="18" s="1"/>
  <c r="N35" i="18"/>
  <c r="M15" i="18"/>
  <c r="P36" i="18" l="1"/>
  <c r="O16" i="18"/>
  <c r="O42" i="18"/>
  <c r="P29" i="18"/>
  <c r="O9" i="18"/>
  <c r="P39" i="18"/>
  <c r="P30" i="17"/>
  <c r="P43" i="17" s="1"/>
  <c r="P16" i="10" s="1"/>
  <c r="Q49" i="10" s="1"/>
  <c r="P22" i="15"/>
  <c r="P15" i="10" s="1"/>
  <c r="P33" i="18"/>
  <c r="O13" i="18"/>
  <c r="Q55" i="17"/>
  <c r="P38" i="18"/>
  <c r="P30" i="18"/>
  <c r="O10" i="18"/>
  <c r="O23" i="15"/>
  <c r="O15" i="10"/>
  <c r="P33" i="11"/>
  <c r="P34" i="11" s="1"/>
  <c r="P39" i="11" s="1"/>
  <c r="P26" i="11"/>
  <c r="P59" i="11"/>
  <c r="O35" i="18"/>
  <c r="N15" i="18"/>
  <c r="P49" i="17"/>
  <c r="O61" i="18"/>
  <c r="P48" i="18"/>
  <c r="O60" i="11"/>
  <c r="O31" i="11"/>
  <c r="Q56" i="18"/>
  <c r="R14" i="5"/>
  <c r="R16" i="17" s="1"/>
  <c r="R17" i="5"/>
  <c r="R19" i="17" s="1"/>
  <c r="R9" i="5"/>
  <c r="R20" i="5"/>
  <c r="R22" i="17" s="1"/>
  <c r="R12" i="5"/>
  <c r="R14" i="17" s="1"/>
  <c r="R16" i="5"/>
  <c r="R18" i="17" s="1"/>
  <c r="R15" i="5"/>
  <c r="R17" i="17" s="1"/>
  <c r="S8" i="5"/>
  <c r="R18" i="5"/>
  <c r="R20" i="17" s="1"/>
  <c r="R10" i="5"/>
  <c r="R12" i="17" s="1"/>
  <c r="R19" i="5"/>
  <c r="R21" i="17" s="1"/>
  <c r="R11" i="5"/>
  <c r="R13" i="17" s="1"/>
  <c r="R13" i="5"/>
  <c r="R15" i="17" s="1"/>
  <c r="Q52" i="17"/>
  <c r="Q11" i="17"/>
  <c r="Q22" i="5"/>
  <c r="Q46" i="10" s="1"/>
  <c r="P31" i="18"/>
  <c r="O11" i="18"/>
  <c r="R54" i="18"/>
  <c r="Q60" i="17"/>
  <c r="Q20" i="18" s="1"/>
  <c r="P40" i="18"/>
  <c r="Q40" i="18" s="1"/>
  <c r="R58" i="18"/>
  <c r="R57" i="18"/>
  <c r="R53" i="18"/>
  <c r="O14" i="18"/>
  <c r="P34" i="18"/>
  <c r="Q52" i="18"/>
  <c r="C11" i="7"/>
  <c r="C14" i="7"/>
  <c r="C17" i="7"/>
  <c r="C18" i="7"/>
  <c r="C9" i="7"/>
  <c r="Q55" i="18"/>
  <c r="P23" i="5"/>
  <c r="Q23" i="5" s="1"/>
  <c r="Q20" i="15"/>
  <c r="Q41" i="17" s="1"/>
  <c r="Q15" i="15"/>
  <c r="Q36" i="17" s="1"/>
  <c r="Q13" i="15"/>
  <c r="Q34" i="17" s="1"/>
  <c r="Q53" i="17" s="1"/>
  <c r="R8" i="15"/>
  <c r="Q18" i="15"/>
  <c r="Q39" i="17" s="1"/>
  <c r="Q17" i="15"/>
  <c r="Q38" i="17" s="1"/>
  <c r="Q57" i="17" s="1"/>
  <c r="Q17" i="18" s="1"/>
  <c r="Q11" i="15"/>
  <c r="Q32" i="17" s="1"/>
  <c r="Q51" i="17" s="1"/>
  <c r="Q14" i="15"/>
  <c r="Q35" i="17" s="1"/>
  <c r="Q54" i="17" s="1"/>
  <c r="Q19" i="15"/>
  <c r="Q40" i="17" s="1"/>
  <c r="Q59" i="17" s="1"/>
  <c r="Q19" i="18" s="1"/>
  <c r="Q9" i="15"/>
  <c r="Q12" i="15"/>
  <c r="Q33" i="17" s="1"/>
  <c r="Q10" i="15"/>
  <c r="Q31" i="17" s="1"/>
  <c r="Q50" i="17" s="1"/>
  <c r="Q16" i="15"/>
  <c r="Q37" i="17" s="1"/>
  <c r="Q56" i="17" s="1"/>
  <c r="Q58" i="17"/>
  <c r="O42" i="11"/>
  <c r="N47" i="11"/>
  <c r="P32" i="18"/>
  <c r="O12" i="18"/>
  <c r="N42" i="18"/>
  <c r="Q49" i="18"/>
  <c r="R49" i="18" s="1"/>
  <c r="Q59" i="18"/>
  <c r="R59" i="18" s="1"/>
  <c r="R52" i="18" l="1"/>
  <c r="R56" i="17"/>
  <c r="P60" i="11"/>
  <c r="P31" i="11"/>
  <c r="Q29" i="18"/>
  <c r="P9" i="18"/>
  <c r="C29" i="7"/>
  <c r="C15" i="13" s="1"/>
  <c r="P9" i="7"/>
  <c r="O9" i="7"/>
  <c r="N9" i="7"/>
  <c r="T9" i="7"/>
  <c r="I9" i="7"/>
  <c r="J9" i="7"/>
  <c r="L9" i="7"/>
  <c r="K9" i="7"/>
  <c r="S9" i="7"/>
  <c r="Q9" i="7"/>
  <c r="R9" i="7"/>
  <c r="M9" i="7"/>
  <c r="P61" i="18"/>
  <c r="Q48" i="18"/>
  <c r="R51" i="18"/>
  <c r="O18" i="18"/>
  <c r="Q34" i="18"/>
  <c r="P14" i="18"/>
  <c r="P42" i="11"/>
  <c r="P47" i="11" s="1"/>
  <c r="O47" i="11"/>
  <c r="R15" i="15"/>
  <c r="R36" i="17" s="1"/>
  <c r="R55" i="17" s="1"/>
  <c r="R18" i="15"/>
  <c r="R39" i="17" s="1"/>
  <c r="R17" i="15"/>
  <c r="R38" i="17" s="1"/>
  <c r="R57" i="17" s="1"/>
  <c r="R17" i="18" s="1"/>
  <c r="R11" i="15"/>
  <c r="R32" i="17" s="1"/>
  <c r="R51" i="17" s="1"/>
  <c r="R20" i="15"/>
  <c r="R41" i="17" s="1"/>
  <c r="R60" i="17" s="1"/>
  <c r="R20" i="18" s="1"/>
  <c r="R14" i="15"/>
  <c r="R35" i="17" s="1"/>
  <c r="R19" i="15"/>
  <c r="R40" i="17" s="1"/>
  <c r="R59" i="17" s="1"/>
  <c r="R19" i="18" s="1"/>
  <c r="R9" i="15"/>
  <c r="R12" i="15"/>
  <c r="R33" i="17" s="1"/>
  <c r="R52" i="17" s="1"/>
  <c r="R16" i="15"/>
  <c r="R37" i="17" s="1"/>
  <c r="R13" i="15"/>
  <c r="R34" i="17" s="1"/>
  <c r="R53" i="17" s="1"/>
  <c r="S8" i="15"/>
  <c r="R10" i="15"/>
  <c r="R31" i="17" s="1"/>
  <c r="P17" i="7"/>
  <c r="O17" i="7"/>
  <c r="N17" i="7"/>
  <c r="L17" i="7"/>
  <c r="M17" i="7"/>
  <c r="T17" i="7"/>
  <c r="S17" i="7"/>
  <c r="R17" i="7"/>
  <c r="K17" i="7"/>
  <c r="I17" i="7"/>
  <c r="Q17" i="7"/>
  <c r="J17" i="7"/>
  <c r="R11" i="17"/>
  <c r="R22" i="5"/>
  <c r="R46" i="10" s="1"/>
  <c r="P23" i="15"/>
  <c r="Q33" i="18"/>
  <c r="P13" i="18"/>
  <c r="Q36" i="18"/>
  <c r="P16" i="18"/>
  <c r="Q32" i="18"/>
  <c r="P12" i="18"/>
  <c r="N11" i="7"/>
  <c r="M11" i="7"/>
  <c r="T11" i="7"/>
  <c r="L11" i="7"/>
  <c r="R11" i="7"/>
  <c r="S11" i="7"/>
  <c r="Q11" i="7"/>
  <c r="P11" i="7"/>
  <c r="O11" i="7"/>
  <c r="J11" i="7"/>
  <c r="K11" i="7"/>
  <c r="I11" i="7"/>
  <c r="R50" i="18"/>
  <c r="Q31" i="18"/>
  <c r="P11" i="18"/>
  <c r="R58" i="17"/>
  <c r="R54" i="17"/>
  <c r="Q30" i="18"/>
  <c r="P10" i="18"/>
  <c r="R55" i="18"/>
  <c r="S55" i="18" s="1"/>
  <c r="N18" i="18"/>
  <c r="C17" i="16"/>
  <c r="O18" i="7"/>
  <c r="N18" i="7"/>
  <c r="M18" i="7"/>
  <c r="K18" i="7"/>
  <c r="L18" i="7"/>
  <c r="T18" i="7"/>
  <c r="S18" i="7"/>
  <c r="Q18" i="7"/>
  <c r="J18" i="7"/>
  <c r="R18" i="7"/>
  <c r="P18" i="7"/>
  <c r="I18" i="7"/>
  <c r="S53" i="18"/>
  <c r="S14" i="7"/>
  <c r="K14" i="7"/>
  <c r="R14" i="7"/>
  <c r="J14" i="7"/>
  <c r="Q14" i="7"/>
  <c r="I14" i="7"/>
  <c r="O14" i="7"/>
  <c r="P14" i="7"/>
  <c r="L14" i="7"/>
  <c r="N14" i="7"/>
  <c r="T14" i="7"/>
  <c r="M14" i="7"/>
  <c r="R50" i="17"/>
  <c r="Q30" i="17"/>
  <c r="Q43" i="17" s="1"/>
  <c r="Q16" i="10" s="1"/>
  <c r="R49" i="10" s="1"/>
  <c r="Q22" i="15"/>
  <c r="Q15" i="10" s="1"/>
  <c r="S17" i="5"/>
  <c r="S19" i="17" s="1"/>
  <c r="S9" i="5"/>
  <c r="S20" i="5"/>
  <c r="S22" i="17" s="1"/>
  <c r="S12" i="5"/>
  <c r="S14" i="17" s="1"/>
  <c r="S15" i="5"/>
  <c r="S17" i="17" s="1"/>
  <c r="S19" i="5"/>
  <c r="S21" i="17" s="1"/>
  <c r="S11" i="5"/>
  <c r="S13" i="17" s="1"/>
  <c r="T8" i="5"/>
  <c r="S16" i="5"/>
  <c r="S18" i="17" s="1"/>
  <c r="S10" i="5"/>
  <c r="S12" i="17" s="1"/>
  <c r="S18" i="5"/>
  <c r="S20" i="17" s="1"/>
  <c r="S13" i="5"/>
  <c r="S15" i="17" s="1"/>
  <c r="S14" i="5"/>
  <c r="S16" i="17" s="1"/>
  <c r="R56" i="18"/>
  <c r="S56" i="18" s="1"/>
  <c r="P35" i="18"/>
  <c r="O15" i="18"/>
  <c r="Q38" i="18"/>
  <c r="R38" i="18" s="1"/>
  <c r="Q39" i="18"/>
  <c r="R39" i="18" s="1"/>
  <c r="Q37" i="18"/>
  <c r="R37" i="18" s="1"/>
  <c r="R36" i="18" l="1"/>
  <c r="Q16" i="18"/>
  <c r="M29" i="7"/>
  <c r="T29" i="7"/>
  <c r="R30" i="17"/>
  <c r="R43" i="17" s="1"/>
  <c r="R16" i="10" s="1"/>
  <c r="S49" i="10" s="1"/>
  <c r="R22" i="15"/>
  <c r="R15" i="10" s="1"/>
  <c r="R29" i="7"/>
  <c r="N29" i="7"/>
  <c r="S51" i="18"/>
  <c r="Q29" i="7"/>
  <c r="O29" i="7"/>
  <c r="R32" i="18"/>
  <c r="Q12" i="18"/>
  <c r="R31" i="18"/>
  <c r="Q11" i="18"/>
  <c r="S58" i="18"/>
  <c r="Q23" i="15"/>
  <c r="R23" i="15" s="1"/>
  <c r="Q61" i="18"/>
  <c r="R48" i="18"/>
  <c r="S29" i="7"/>
  <c r="P29" i="7"/>
  <c r="K29" i="7"/>
  <c r="C16" i="13"/>
  <c r="Q49" i="17"/>
  <c r="S11" i="17"/>
  <c r="S22" i="5"/>
  <c r="S46" i="10" s="1"/>
  <c r="S49" i="18"/>
  <c r="Q35" i="18"/>
  <c r="P15" i="18"/>
  <c r="R49" i="17"/>
  <c r="S18" i="15"/>
  <c r="S39" i="17" s="1"/>
  <c r="S58" i="17" s="1"/>
  <c r="S13" i="15"/>
  <c r="S34" i="17" s="1"/>
  <c r="S53" i="17" s="1"/>
  <c r="S11" i="15"/>
  <c r="S32" i="17" s="1"/>
  <c r="S20" i="15"/>
  <c r="S41" i="17" s="1"/>
  <c r="S60" i="17" s="1"/>
  <c r="S20" i="18" s="1"/>
  <c r="S14" i="15"/>
  <c r="S35" i="17" s="1"/>
  <c r="S19" i="15"/>
  <c r="S40" i="17" s="1"/>
  <c r="S9" i="15"/>
  <c r="S15" i="15"/>
  <c r="S36" i="17" s="1"/>
  <c r="S55" i="17" s="1"/>
  <c r="S12" i="15"/>
  <c r="S33" i="17" s="1"/>
  <c r="S52" i="17" s="1"/>
  <c r="S16" i="15"/>
  <c r="S37" i="17" s="1"/>
  <c r="S56" i="17" s="1"/>
  <c r="S10" i="15"/>
  <c r="S31" i="17" s="1"/>
  <c r="S50" i="17" s="1"/>
  <c r="S17" i="15"/>
  <c r="S38" i="17" s="1"/>
  <c r="S57" i="17" s="1"/>
  <c r="S17" i="18" s="1"/>
  <c r="T8" i="15"/>
  <c r="L29" i="7"/>
  <c r="R40" i="18"/>
  <c r="S40" i="18" s="1"/>
  <c r="T20" i="5"/>
  <c r="T22" i="17" s="1"/>
  <c r="T12" i="5"/>
  <c r="T14" i="17" s="1"/>
  <c r="T15" i="5"/>
  <c r="T17" i="17" s="1"/>
  <c r="T18" i="5"/>
  <c r="T20" i="17" s="1"/>
  <c r="T10" i="5"/>
  <c r="T12" i="17" s="1"/>
  <c r="T14" i="5"/>
  <c r="T16" i="17" s="1"/>
  <c r="T16" i="5"/>
  <c r="T18" i="17" s="1"/>
  <c r="T17" i="5"/>
  <c r="T19" i="17" s="1"/>
  <c r="T9" i="5"/>
  <c r="T19" i="5"/>
  <c r="T21" i="17" s="1"/>
  <c r="T11" i="5"/>
  <c r="T13" i="17" s="1"/>
  <c r="T13" i="5"/>
  <c r="T15" i="17" s="1"/>
  <c r="U8" i="5"/>
  <c r="S50" i="18"/>
  <c r="S59" i="17"/>
  <c r="S19" i="18" s="1"/>
  <c r="S59" i="18"/>
  <c r="T59" i="18" s="1"/>
  <c r="J29" i="7"/>
  <c r="P42" i="18"/>
  <c r="S52" i="18"/>
  <c r="T52" i="18" s="1"/>
  <c r="S39" i="18"/>
  <c r="R33" i="18"/>
  <c r="Q13" i="18"/>
  <c r="S51" i="17"/>
  <c r="T53" i="18"/>
  <c r="T56" i="18"/>
  <c r="S54" i="17"/>
  <c r="R30" i="18"/>
  <c r="Q10" i="18"/>
  <c r="S57" i="18"/>
  <c r="T57" i="18" s="1"/>
  <c r="Q14" i="18"/>
  <c r="R34" i="18"/>
  <c r="S54" i="18"/>
  <c r="I29" i="7"/>
  <c r="Q42" i="18"/>
  <c r="Q9" i="18"/>
  <c r="R29" i="18"/>
  <c r="R23" i="5"/>
  <c r="S23" i="5" s="1"/>
  <c r="C47" i="10" l="1"/>
  <c r="C24" i="17"/>
  <c r="P18" i="18"/>
  <c r="R14" i="18"/>
  <c r="S34" i="18"/>
  <c r="T23" i="5"/>
  <c r="S29" i="18"/>
  <c r="R9" i="18"/>
  <c r="S33" i="18"/>
  <c r="R13" i="18"/>
  <c r="T50" i="18"/>
  <c r="T54" i="17"/>
  <c r="T13" i="15"/>
  <c r="T34" i="17" s="1"/>
  <c r="T16" i="15"/>
  <c r="T37" i="17" s="1"/>
  <c r="T56" i="17" s="1"/>
  <c r="T20" i="15"/>
  <c r="T41" i="17" s="1"/>
  <c r="T18" i="15"/>
  <c r="T39" i="17" s="1"/>
  <c r="T14" i="15"/>
  <c r="T35" i="17" s="1"/>
  <c r="T19" i="15"/>
  <c r="T40" i="17" s="1"/>
  <c r="T59" i="17" s="1"/>
  <c r="T19" i="18" s="1"/>
  <c r="T9" i="15"/>
  <c r="T15" i="15"/>
  <c r="T36" i="17" s="1"/>
  <c r="T12" i="15"/>
  <c r="T33" i="17" s="1"/>
  <c r="T52" i="17" s="1"/>
  <c r="T10" i="15"/>
  <c r="T31" i="17" s="1"/>
  <c r="T50" i="17" s="1"/>
  <c r="U8" i="15"/>
  <c r="T11" i="15"/>
  <c r="T32" i="17" s="1"/>
  <c r="T17" i="15"/>
  <c r="T38" i="17" s="1"/>
  <c r="R35" i="18"/>
  <c r="R42" i="18" s="1"/>
  <c r="Q15" i="18"/>
  <c r="S31" i="18"/>
  <c r="R11" i="18"/>
  <c r="I47" i="10"/>
  <c r="I24" i="17"/>
  <c r="T49" i="18"/>
  <c r="U49" i="18" s="1"/>
  <c r="J47" i="10"/>
  <c r="J24" i="17"/>
  <c r="K47" i="10"/>
  <c r="K24" i="17"/>
  <c r="T11" i="17"/>
  <c r="T22" i="5"/>
  <c r="T46" i="10" s="1"/>
  <c r="T60" i="17"/>
  <c r="T20" i="18" s="1"/>
  <c r="S30" i="18"/>
  <c r="R10" i="18"/>
  <c r="T39" i="18"/>
  <c r="U15" i="5"/>
  <c r="U17" i="17" s="1"/>
  <c r="U18" i="5"/>
  <c r="U20" i="17" s="1"/>
  <c r="U10" i="5"/>
  <c r="U12" i="17" s="1"/>
  <c r="U13" i="5"/>
  <c r="U15" i="17" s="1"/>
  <c r="V8" i="5"/>
  <c r="U17" i="5"/>
  <c r="U19" i="17" s="1"/>
  <c r="U9" i="5"/>
  <c r="U19" i="5"/>
  <c r="U21" i="17" s="1"/>
  <c r="U11" i="5"/>
  <c r="U13" i="17" s="1"/>
  <c r="U20" i="5"/>
  <c r="U22" i="17" s="1"/>
  <c r="U12" i="5"/>
  <c r="U14" i="17" s="1"/>
  <c r="U14" i="5"/>
  <c r="U16" i="17" s="1"/>
  <c r="U16" i="5"/>
  <c r="U18" i="17" s="1"/>
  <c r="Q18" i="18"/>
  <c r="U52" i="18"/>
  <c r="T53" i="17"/>
  <c r="T58" i="17"/>
  <c r="M47" i="10"/>
  <c r="M24" i="17"/>
  <c r="T51" i="18"/>
  <c r="U51" i="18" s="1"/>
  <c r="S37" i="18"/>
  <c r="T37" i="18" s="1"/>
  <c r="S49" i="17"/>
  <c r="R61" i="18"/>
  <c r="S48" i="18"/>
  <c r="S38" i="18"/>
  <c r="T38" i="18" s="1"/>
  <c r="N47" i="10"/>
  <c r="N24" i="17"/>
  <c r="T55" i="17"/>
  <c r="T54" i="18"/>
  <c r="U56" i="18"/>
  <c r="D47" i="10"/>
  <c r="D24" i="17"/>
  <c r="H47" i="10"/>
  <c r="H24" i="17"/>
  <c r="G47" i="10"/>
  <c r="G24" i="17"/>
  <c r="C17" i="13"/>
  <c r="C13" i="19"/>
  <c r="C14" i="19" s="1"/>
  <c r="S32" i="18"/>
  <c r="R12" i="18"/>
  <c r="L47" i="10"/>
  <c r="L24" i="17"/>
  <c r="T51" i="17"/>
  <c r="U53" i="18"/>
  <c r="T57" i="17"/>
  <c r="T17" i="18" s="1"/>
  <c r="T40" i="18"/>
  <c r="S30" i="17"/>
  <c r="S43" i="17" s="1"/>
  <c r="S16" i="10" s="1"/>
  <c r="T49" i="10" s="1"/>
  <c r="S22" i="15"/>
  <c r="S15" i="10" s="1"/>
  <c r="T55" i="18"/>
  <c r="U55" i="18" s="1"/>
  <c r="T58" i="18"/>
  <c r="U58" i="18" s="1"/>
  <c r="S36" i="18"/>
  <c r="R16" i="18"/>
  <c r="F47" i="10"/>
  <c r="F24" i="17"/>
  <c r="E47" i="10"/>
  <c r="E24" i="17"/>
  <c r="R18" i="18" l="1"/>
  <c r="D62" i="17"/>
  <c r="D22" i="18" s="1"/>
  <c r="D48" i="10"/>
  <c r="E17" i="10" s="1"/>
  <c r="E40" i="10" s="1"/>
  <c r="S61" i="18"/>
  <c r="T48" i="18"/>
  <c r="U23" i="5"/>
  <c r="S11" i="18"/>
  <c r="T31" i="18"/>
  <c r="T34" i="18"/>
  <c r="S14" i="18"/>
  <c r="J62" i="17"/>
  <c r="J22" i="18" s="1"/>
  <c r="J48" i="10"/>
  <c r="K17" i="10" s="1"/>
  <c r="K40" i="10" s="1"/>
  <c r="T30" i="17"/>
  <c r="T43" i="17" s="1"/>
  <c r="T16" i="10" s="1"/>
  <c r="U49" i="10" s="1"/>
  <c r="T22" i="15"/>
  <c r="T15" i="10" s="1"/>
  <c r="U50" i="18"/>
  <c r="G62" i="17"/>
  <c r="G22" i="18" s="1"/>
  <c r="G48" i="10"/>
  <c r="H17" i="10" s="1"/>
  <c r="H40" i="10" s="1"/>
  <c r="V52" i="18"/>
  <c r="R15" i="18"/>
  <c r="S35" i="18"/>
  <c r="K62" i="17"/>
  <c r="K22" i="18" s="1"/>
  <c r="K48" i="10"/>
  <c r="L17" i="10" s="1"/>
  <c r="L40" i="10" s="1"/>
  <c r="V55" i="18"/>
  <c r="F62" i="17"/>
  <c r="F22" i="18" s="1"/>
  <c r="F48" i="10"/>
  <c r="G17" i="10" s="1"/>
  <c r="G40" i="10" s="1"/>
  <c r="T30" i="18"/>
  <c r="S10" i="18"/>
  <c r="V49" i="18"/>
  <c r="T33" i="18"/>
  <c r="S13" i="18"/>
  <c r="E62" i="17"/>
  <c r="E22" i="18" s="1"/>
  <c r="E48" i="10"/>
  <c r="F17" i="10" s="1"/>
  <c r="F40" i="10" s="1"/>
  <c r="F69" i="10"/>
  <c r="H62" i="17"/>
  <c r="H22" i="18" s="1"/>
  <c r="H48" i="10"/>
  <c r="I17" i="10" s="1"/>
  <c r="I40" i="10" s="1"/>
  <c r="T32" i="18"/>
  <c r="S12" i="18"/>
  <c r="M62" i="17"/>
  <c r="M22" i="18" s="1"/>
  <c r="M48" i="10"/>
  <c r="N17" i="10" s="1"/>
  <c r="N40" i="10" s="1"/>
  <c r="S23" i="15"/>
  <c r="T23" i="15" s="1"/>
  <c r="C62" i="17"/>
  <c r="C22" i="18" s="1"/>
  <c r="C48" i="10"/>
  <c r="D17" i="10" s="1"/>
  <c r="D40" i="10" s="1"/>
  <c r="L62" i="17"/>
  <c r="L22" i="18" s="1"/>
  <c r="L48" i="10"/>
  <c r="M17" i="10" s="1"/>
  <c r="M40" i="10" s="1"/>
  <c r="U54" i="18"/>
  <c r="V54" i="18" s="1"/>
  <c r="U11" i="17"/>
  <c r="U22" i="5"/>
  <c r="U46" i="10" s="1"/>
  <c r="H69" i="10"/>
  <c r="N62" i="17"/>
  <c r="N22" i="18" s="1"/>
  <c r="C10" i="14" s="1"/>
  <c r="C18" i="16"/>
  <c r="N48" i="10"/>
  <c r="O17" i="10" s="1"/>
  <c r="O40" i="10" s="1"/>
  <c r="U56" i="17"/>
  <c r="V18" i="5"/>
  <c r="V20" i="17" s="1"/>
  <c r="V10" i="5"/>
  <c r="V12" i="17" s="1"/>
  <c r="V13" i="5"/>
  <c r="V15" i="17" s="1"/>
  <c r="W8" i="5"/>
  <c r="V16" i="5"/>
  <c r="V18" i="17" s="1"/>
  <c r="V20" i="5"/>
  <c r="V22" i="17" s="1"/>
  <c r="V12" i="5"/>
  <c r="V14" i="17" s="1"/>
  <c r="V17" i="5"/>
  <c r="V19" i="17" s="1"/>
  <c r="V9" i="5"/>
  <c r="V11" i="5"/>
  <c r="V13" i="17" s="1"/>
  <c r="V19" i="5"/>
  <c r="V21" i="17" s="1"/>
  <c r="V14" i="5"/>
  <c r="V16" i="17" s="1"/>
  <c r="V15" i="5"/>
  <c r="V17" i="17" s="1"/>
  <c r="U57" i="18"/>
  <c r="V57" i="18" s="1"/>
  <c r="T36" i="18"/>
  <c r="S16" i="18"/>
  <c r="U59" i="18"/>
  <c r="C19" i="13"/>
  <c r="G51" i="10"/>
  <c r="G69" i="10" s="1"/>
  <c r="N51" i="10"/>
  <c r="N69" i="10" s="1"/>
  <c r="F51" i="10"/>
  <c r="M51" i="10"/>
  <c r="M69" i="10" s="1"/>
  <c r="E51" i="10"/>
  <c r="E69" i="10" s="1"/>
  <c r="H51" i="10"/>
  <c r="L51" i="10"/>
  <c r="L69" i="10" s="1"/>
  <c r="D51" i="10"/>
  <c r="D69" i="10" s="1"/>
  <c r="C51" i="10"/>
  <c r="C69" i="10" s="1"/>
  <c r="C71" i="10" s="1"/>
  <c r="K51" i="10"/>
  <c r="J51" i="10"/>
  <c r="J69" i="10" s="1"/>
  <c r="I51" i="10"/>
  <c r="I69" i="10" s="1"/>
  <c r="U38" i="18"/>
  <c r="U52" i="17"/>
  <c r="I62" i="17"/>
  <c r="I22" i="18" s="1"/>
  <c r="I48" i="10"/>
  <c r="J17" i="10" s="1"/>
  <c r="J40" i="10" s="1"/>
  <c r="U16" i="15"/>
  <c r="U37" i="17" s="1"/>
  <c r="U19" i="15"/>
  <c r="U40" i="17" s="1"/>
  <c r="U59" i="17" s="1"/>
  <c r="U19" i="18" s="1"/>
  <c r="U20" i="15"/>
  <c r="U41" i="17" s="1"/>
  <c r="U60" i="17" s="1"/>
  <c r="U20" i="18" s="1"/>
  <c r="U9" i="15"/>
  <c r="U15" i="15"/>
  <c r="U36" i="17" s="1"/>
  <c r="U55" i="17" s="1"/>
  <c r="U12" i="15"/>
  <c r="U33" i="17" s="1"/>
  <c r="U10" i="15"/>
  <c r="U31" i="17" s="1"/>
  <c r="U50" i="17" s="1"/>
  <c r="V8" i="15"/>
  <c r="U17" i="15"/>
  <c r="U38" i="17" s="1"/>
  <c r="U57" i="17" s="1"/>
  <c r="U17" i="18" s="1"/>
  <c r="U18" i="15"/>
  <c r="U39" i="17" s="1"/>
  <c r="U58" i="17" s="1"/>
  <c r="U14" i="15"/>
  <c r="U35" i="17" s="1"/>
  <c r="U54" i="17" s="1"/>
  <c r="U13" i="15"/>
  <c r="U34" i="17" s="1"/>
  <c r="U53" i="17" s="1"/>
  <c r="U11" i="15"/>
  <c r="U32" i="17" s="1"/>
  <c r="U51" i="17" s="1"/>
  <c r="S42" i="18"/>
  <c r="S9" i="18"/>
  <c r="T29" i="18"/>
  <c r="E53" i="11" l="1"/>
  <c r="E57" i="11" s="1"/>
  <c r="D10" i="10"/>
  <c r="D71" i="10" s="1"/>
  <c r="V59" i="18"/>
  <c r="V11" i="17"/>
  <c r="V22" i="5"/>
  <c r="V46" i="10" s="1"/>
  <c r="V51" i="18"/>
  <c r="U33" i="18"/>
  <c r="T13" i="18"/>
  <c r="S15" i="18"/>
  <c r="T35" i="18"/>
  <c r="U31" i="18"/>
  <c r="T11" i="18"/>
  <c r="U29" i="18"/>
  <c r="U30" i="17"/>
  <c r="U43" i="17" s="1"/>
  <c r="U16" i="10" s="1"/>
  <c r="V49" i="10" s="1"/>
  <c r="U22" i="15"/>
  <c r="U15" i="10" s="1"/>
  <c r="V57" i="17"/>
  <c r="V17" i="18" s="1"/>
  <c r="T61" i="18"/>
  <c r="U48" i="18"/>
  <c r="U36" i="18"/>
  <c r="T16" i="18"/>
  <c r="U40" i="18"/>
  <c r="K69" i="10"/>
  <c r="U39" i="18"/>
  <c r="U23" i="15"/>
  <c r="W55" i="18"/>
  <c r="V58" i="18"/>
  <c r="U30" i="18"/>
  <c r="T10" i="18"/>
  <c r="V56" i="18"/>
  <c r="W56" i="18" s="1"/>
  <c r="V23" i="5"/>
  <c r="W13" i="5"/>
  <c r="W15" i="17" s="1"/>
  <c r="X8" i="5"/>
  <c r="W16" i="5"/>
  <c r="W18" i="17" s="1"/>
  <c r="W19" i="5"/>
  <c r="W21" i="17" s="1"/>
  <c r="W11" i="5"/>
  <c r="W13" i="17" s="1"/>
  <c r="W15" i="5"/>
  <c r="W17" i="17" s="1"/>
  <c r="W18" i="5"/>
  <c r="W20" i="17" s="1"/>
  <c r="W10" i="5"/>
  <c r="W12" i="17" s="1"/>
  <c r="W20" i="5"/>
  <c r="W22" i="17" s="1"/>
  <c r="W12" i="5"/>
  <c r="W14" i="17" s="1"/>
  <c r="W14" i="5"/>
  <c r="W16" i="17" s="1"/>
  <c r="W17" i="5"/>
  <c r="W19" i="17" s="1"/>
  <c r="W9" i="5"/>
  <c r="U37" i="18"/>
  <c r="V37" i="18" s="1"/>
  <c r="V53" i="18"/>
  <c r="W53" i="18" s="1"/>
  <c r="V59" i="17"/>
  <c r="V19" i="18" s="1"/>
  <c r="V53" i="17"/>
  <c r="C23" i="18"/>
  <c r="T49" i="17"/>
  <c r="T9" i="18" s="1"/>
  <c r="V19" i="15"/>
  <c r="V40" i="17" s="1"/>
  <c r="V14" i="15"/>
  <c r="V35" i="17" s="1"/>
  <c r="V54" i="17" s="1"/>
  <c r="V15" i="15"/>
  <c r="V36" i="17" s="1"/>
  <c r="V55" i="17" s="1"/>
  <c r="V12" i="15"/>
  <c r="V33" i="17" s="1"/>
  <c r="V52" i="17" s="1"/>
  <c r="V10" i="15"/>
  <c r="V31" i="17" s="1"/>
  <c r="V16" i="15"/>
  <c r="V37" i="17" s="1"/>
  <c r="V56" i="17" s="1"/>
  <c r="W8" i="15"/>
  <c r="V17" i="15"/>
  <c r="V38" i="17" s="1"/>
  <c r="V13" i="15"/>
  <c r="V34" i="17" s="1"/>
  <c r="V11" i="15"/>
  <c r="V32" i="17" s="1"/>
  <c r="V51" i="17" s="1"/>
  <c r="V20" i="15"/>
  <c r="V41" i="17" s="1"/>
  <c r="V60" i="17" s="1"/>
  <c r="V20" i="18" s="1"/>
  <c r="V9" i="15"/>
  <c r="V18" i="15"/>
  <c r="V39" i="17" s="1"/>
  <c r="V58" i="17" s="1"/>
  <c r="S18" i="18"/>
  <c r="D24" i="12"/>
  <c r="C22" i="13"/>
  <c r="V50" i="17"/>
  <c r="U32" i="18"/>
  <c r="T12" i="18"/>
  <c r="V50" i="18"/>
  <c r="U34" i="18"/>
  <c r="T14" i="18"/>
  <c r="W49" i="18" l="1"/>
  <c r="U49" i="17"/>
  <c r="W23" i="5"/>
  <c r="W52" i="18"/>
  <c r="V40" i="18"/>
  <c r="W54" i="18"/>
  <c r="X54" i="18" s="1"/>
  <c r="U11" i="18"/>
  <c r="V31" i="18"/>
  <c r="V30" i="17"/>
  <c r="V43" i="17" s="1"/>
  <c r="V16" i="10" s="1"/>
  <c r="W49" i="10" s="1"/>
  <c r="V22" i="15"/>
  <c r="V15" i="10" s="1"/>
  <c r="V23" i="15"/>
  <c r="U35" i="18"/>
  <c r="T15" i="18"/>
  <c r="V49" i="17"/>
  <c r="W59" i="18"/>
  <c r="W59" i="17"/>
  <c r="W19" i="18" s="1"/>
  <c r="W58" i="18"/>
  <c r="V38" i="18"/>
  <c r="V34" i="18"/>
  <c r="U14" i="18"/>
  <c r="W54" i="17"/>
  <c r="W56" i="17"/>
  <c r="V39" i="18"/>
  <c r="W39" i="18" s="1"/>
  <c r="U61" i="18"/>
  <c r="V48" i="18"/>
  <c r="V29" i="18"/>
  <c r="U9" i="18"/>
  <c r="V33" i="18"/>
  <c r="U13" i="18"/>
  <c r="F53" i="11"/>
  <c r="F57" i="11" s="1"/>
  <c r="E10" i="10"/>
  <c r="E71" i="10" s="1"/>
  <c r="U12" i="18"/>
  <c r="V32" i="18"/>
  <c r="W58" i="17"/>
  <c r="W37" i="18"/>
  <c r="W11" i="17"/>
  <c r="W22" i="5"/>
  <c r="W46" i="10" s="1"/>
  <c r="V30" i="18"/>
  <c r="U10" i="18"/>
  <c r="V36" i="18"/>
  <c r="U16" i="18"/>
  <c r="C26" i="13"/>
  <c r="C23" i="13"/>
  <c r="W50" i="18"/>
  <c r="X50" i="18" s="1"/>
  <c r="W14" i="15"/>
  <c r="W35" i="17" s="1"/>
  <c r="W17" i="15"/>
  <c r="W38" i="17" s="1"/>
  <c r="W57" i="17" s="1"/>
  <c r="W17" i="18" s="1"/>
  <c r="W19" i="15"/>
  <c r="W40" i="17" s="1"/>
  <c r="W10" i="15"/>
  <c r="W31" i="17" s="1"/>
  <c r="W50" i="17" s="1"/>
  <c r="W16" i="15"/>
  <c r="W37" i="17" s="1"/>
  <c r="X8" i="15"/>
  <c r="W13" i="15"/>
  <c r="W34" i="17" s="1"/>
  <c r="W53" i="17" s="1"/>
  <c r="W11" i="15"/>
  <c r="W32" i="17" s="1"/>
  <c r="W51" i="17" s="1"/>
  <c r="W18" i="15"/>
  <c r="W39" i="17" s="1"/>
  <c r="W15" i="15"/>
  <c r="W36" i="17" s="1"/>
  <c r="W55" i="17" s="1"/>
  <c r="W12" i="15"/>
  <c r="W33" i="17" s="1"/>
  <c r="W20" i="15"/>
  <c r="W41" i="17" s="1"/>
  <c r="W60" i="17" s="1"/>
  <c r="W20" i="18" s="1"/>
  <c r="W9" i="15"/>
  <c r="W52" i="17"/>
  <c r="X16" i="5"/>
  <c r="X18" i="17" s="1"/>
  <c r="X19" i="5"/>
  <c r="X21" i="17" s="1"/>
  <c r="X11" i="5"/>
  <c r="X13" i="17" s="1"/>
  <c r="X14" i="5"/>
  <c r="X16" i="17" s="1"/>
  <c r="X18" i="5"/>
  <c r="X20" i="17" s="1"/>
  <c r="X10" i="5"/>
  <c r="X12" i="17" s="1"/>
  <c r="X12" i="5"/>
  <c r="X14" i="17" s="1"/>
  <c r="X13" i="5"/>
  <c r="X15" i="17" s="1"/>
  <c r="X20" i="5"/>
  <c r="X22" i="17" s="1"/>
  <c r="X17" i="5"/>
  <c r="X19" i="17" s="1"/>
  <c r="X15" i="5"/>
  <c r="X17" i="17" s="1"/>
  <c r="X9" i="5"/>
  <c r="Y8" i="5"/>
  <c r="W57" i="18"/>
  <c r="X57" i="18" s="1"/>
  <c r="T42" i="18"/>
  <c r="W51" i="18"/>
  <c r="X51" i="18" s="1"/>
  <c r="X58" i="18" l="1"/>
  <c r="V35" i="18"/>
  <c r="U15" i="18"/>
  <c r="W40" i="18"/>
  <c r="C30" i="13"/>
  <c r="C27" i="13"/>
  <c r="W33" i="18"/>
  <c r="V13" i="18"/>
  <c r="X52" i="18"/>
  <c r="X17" i="15"/>
  <c r="X38" i="17" s="1"/>
  <c r="X57" i="17" s="1"/>
  <c r="X17" i="18" s="1"/>
  <c r="X20" i="15"/>
  <c r="X41" i="17" s="1"/>
  <c r="X60" i="17" s="1"/>
  <c r="X20" i="18" s="1"/>
  <c r="X10" i="15"/>
  <c r="X31" i="17" s="1"/>
  <c r="X50" i="17" s="1"/>
  <c r="X16" i="15"/>
  <c r="X37" i="17" s="1"/>
  <c r="X56" i="17" s="1"/>
  <c r="Y8" i="15"/>
  <c r="X13" i="15"/>
  <c r="X34" i="17" s="1"/>
  <c r="X53" i="17" s="1"/>
  <c r="X11" i="15"/>
  <c r="X32" i="17" s="1"/>
  <c r="X18" i="15"/>
  <c r="X39" i="17" s="1"/>
  <c r="X58" i="17" s="1"/>
  <c r="X9" i="15"/>
  <c r="X19" i="15"/>
  <c r="X40" i="17" s="1"/>
  <c r="X59" i="17" s="1"/>
  <c r="X19" i="18" s="1"/>
  <c r="X15" i="15"/>
  <c r="X36" i="17" s="1"/>
  <c r="X55" i="17" s="1"/>
  <c r="X12" i="15"/>
  <c r="X33" i="17" s="1"/>
  <c r="X14" i="15"/>
  <c r="X35" i="17" s="1"/>
  <c r="X55" i="18"/>
  <c r="T18" i="18"/>
  <c r="X52" i="17"/>
  <c r="W30" i="17"/>
  <c r="W43" i="17" s="1"/>
  <c r="W16" i="10" s="1"/>
  <c r="X49" i="10" s="1"/>
  <c r="W22" i="15"/>
  <c r="W15" i="10" s="1"/>
  <c r="X56" i="18"/>
  <c r="V16" i="18"/>
  <c r="W36" i="18"/>
  <c r="V42" i="18"/>
  <c r="V9" i="18"/>
  <c r="W29" i="18"/>
  <c r="W34" i="18"/>
  <c r="V14" i="18"/>
  <c r="X59" i="18"/>
  <c r="Y19" i="5"/>
  <c r="Y21" i="17" s="1"/>
  <c r="Y11" i="5"/>
  <c r="Y13" i="17" s="1"/>
  <c r="Y14" i="5"/>
  <c r="Y16" i="17" s="1"/>
  <c r="Y17" i="5"/>
  <c r="Y19" i="17" s="1"/>
  <c r="Y9" i="5"/>
  <c r="Y13" i="5"/>
  <c r="Y15" i="17" s="1"/>
  <c r="Z8" i="5"/>
  <c r="Y18" i="5"/>
  <c r="Y20" i="17" s="1"/>
  <c r="Y10" i="5"/>
  <c r="Y12" i="17" s="1"/>
  <c r="Y20" i="5"/>
  <c r="Y22" i="17" s="1"/>
  <c r="Y12" i="5"/>
  <c r="Y14" i="17" s="1"/>
  <c r="Y15" i="5"/>
  <c r="Y17" i="17" s="1"/>
  <c r="Y16" i="5"/>
  <c r="Y18" i="17" s="1"/>
  <c r="V12" i="18"/>
  <c r="W32" i="18"/>
  <c r="U42" i="18"/>
  <c r="X11" i="17"/>
  <c r="X22" i="5"/>
  <c r="X46" i="10" s="1"/>
  <c r="X54" i="17"/>
  <c r="V61" i="18"/>
  <c r="W48" i="18"/>
  <c r="X53" i="18"/>
  <c r="V11" i="18"/>
  <c r="W31" i="18"/>
  <c r="X49" i="18"/>
  <c r="Y57" i="18"/>
  <c r="V10" i="18"/>
  <c r="W30" i="18"/>
  <c r="X51" i="17"/>
  <c r="G53" i="11"/>
  <c r="G57" i="11" s="1"/>
  <c r="F10" i="10"/>
  <c r="F71" i="10" s="1"/>
  <c r="W38" i="18"/>
  <c r="X38" i="18" s="1"/>
  <c r="U18" i="18" l="1"/>
  <c r="W10" i="18"/>
  <c r="X30" i="18"/>
  <c r="Y11" i="17"/>
  <c r="Y22" i="5"/>
  <c r="Y46" i="10" s="1"/>
  <c r="X34" i="18"/>
  <c r="W14" i="18"/>
  <c r="Y56" i="18"/>
  <c r="Z56" i="18" s="1"/>
  <c r="W13" i="18"/>
  <c r="X33" i="18"/>
  <c r="W35" i="18"/>
  <c r="V15" i="18"/>
  <c r="H53" i="11"/>
  <c r="H57" i="11" s="1"/>
  <c r="G10" i="10"/>
  <c r="G71" i="10" s="1"/>
  <c r="Y49" i="18"/>
  <c r="Z49" i="18" s="1"/>
  <c r="Y58" i="18"/>
  <c r="Y59" i="17"/>
  <c r="Y19" i="18" s="1"/>
  <c r="V18" i="18"/>
  <c r="X30" i="17"/>
  <c r="X43" i="17" s="1"/>
  <c r="X16" i="10" s="1"/>
  <c r="Y49" i="10" s="1"/>
  <c r="X22" i="15"/>
  <c r="X15" i="10" s="1"/>
  <c r="X39" i="18"/>
  <c r="Y39" i="18" s="1"/>
  <c r="Y51" i="18"/>
  <c r="W49" i="17"/>
  <c r="W16" i="18"/>
  <c r="X36" i="18"/>
  <c r="Y53" i="18"/>
  <c r="Z14" i="5"/>
  <c r="Z16" i="17" s="1"/>
  <c r="Z17" i="5"/>
  <c r="Z19" i="17" s="1"/>
  <c r="Z9" i="5"/>
  <c r="Z20" i="5"/>
  <c r="Z22" i="17" s="1"/>
  <c r="Z12" i="5"/>
  <c r="Z14" i="17" s="1"/>
  <c r="Z16" i="5"/>
  <c r="Z18" i="17" s="1"/>
  <c r="Z19" i="5"/>
  <c r="Z21" i="17" s="1"/>
  <c r="Z11" i="5"/>
  <c r="Z13" i="17" s="1"/>
  <c r="Z13" i="5"/>
  <c r="Z15" i="17" s="1"/>
  <c r="Z15" i="5"/>
  <c r="Z17" i="17" s="1"/>
  <c r="AA8" i="5"/>
  <c r="Z18" i="5"/>
  <c r="Z20" i="17" s="1"/>
  <c r="Z10" i="5"/>
  <c r="Z12" i="17" s="1"/>
  <c r="X37" i="18"/>
  <c r="X40" i="18"/>
  <c r="Y50" i="18"/>
  <c r="Y38" i="18"/>
  <c r="Z57" i="18"/>
  <c r="C34" i="13"/>
  <c r="C35" i="13"/>
  <c r="D33" i="13"/>
  <c r="C31" i="13"/>
  <c r="X32" i="18"/>
  <c r="W12" i="18"/>
  <c r="W61" i="18"/>
  <c r="X48" i="18"/>
  <c r="Y53" i="17"/>
  <c r="Y59" i="18"/>
  <c r="Z59" i="18" s="1"/>
  <c r="Y55" i="18"/>
  <c r="Z55" i="18" s="1"/>
  <c r="Y52" i="18"/>
  <c r="W42" i="18"/>
  <c r="X29" i="18"/>
  <c r="W9" i="18"/>
  <c r="X31" i="18"/>
  <c r="W11" i="18"/>
  <c r="X23" i="5"/>
  <c r="Y20" i="15"/>
  <c r="Y41" i="17" s="1"/>
  <c r="Y60" i="17" s="1"/>
  <c r="Y20" i="18" s="1"/>
  <c r="Y15" i="15"/>
  <c r="Y36" i="17" s="1"/>
  <c r="Y55" i="17" s="1"/>
  <c r="Y16" i="15"/>
  <c r="Y37" i="17" s="1"/>
  <c r="Y56" i="17" s="1"/>
  <c r="Z8" i="15"/>
  <c r="Y13" i="15"/>
  <c r="Y34" i="17" s="1"/>
  <c r="Y11" i="15"/>
  <c r="Y32" i="17" s="1"/>
  <c r="Y51" i="17" s="1"/>
  <c r="Y18" i="15"/>
  <c r="Y39" i="17" s="1"/>
  <c r="Y58" i="17" s="1"/>
  <c r="Y17" i="15"/>
  <c r="Y38" i="17" s="1"/>
  <c r="Y57" i="17" s="1"/>
  <c r="Y17" i="18" s="1"/>
  <c r="Y9" i="15"/>
  <c r="Y14" i="15"/>
  <c r="Y35" i="17" s="1"/>
  <c r="Y54" i="17" s="1"/>
  <c r="Y12" i="15"/>
  <c r="Y33" i="17" s="1"/>
  <c r="Y52" i="17" s="1"/>
  <c r="Y10" i="15"/>
  <c r="Y31" i="17" s="1"/>
  <c r="Y50" i="17" s="1"/>
  <c r="Y19" i="15"/>
  <c r="Y40" i="17" s="1"/>
  <c r="W23" i="15"/>
  <c r="Y54" i="18"/>
  <c r="Z54" i="18" s="1"/>
  <c r="Z52" i="18" l="1"/>
  <c r="Y40" i="18"/>
  <c r="Y36" i="18"/>
  <c r="X16" i="18"/>
  <c r="Z15" i="15"/>
  <c r="Z36" i="17" s="1"/>
  <c r="Z55" i="17" s="1"/>
  <c r="Z18" i="15"/>
  <c r="Z39" i="17" s="1"/>
  <c r="Z13" i="15"/>
  <c r="Z34" i="17" s="1"/>
  <c r="Z11" i="15"/>
  <c r="Z32" i="17" s="1"/>
  <c r="Z51" i="17" s="1"/>
  <c r="Z17" i="15"/>
  <c r="Z38" i="17" s="1"/>
  <c r="Z57" i="17" s="1"/>
  <c r="Z17" i="18" s="1"/>
  <c r="Z9" i="15"/>
  <c r="Z14" i="15"/>
  <c r="Z35" i="17" s="1"/>
  <c r="Z12" i="15"/>
  <c r="Z33" i="17" s="1"/>
  <c r="Z20" i="15"/>
  <c r="Z41" i="17" s="1"/>
  <c r="Z60" i="17" s="1"/>
  <c r="Z20" i="18" s="1"/>
  <c r="Z19" i="15"/>
  <c r="Z40" i="17" s="1"/>
  <c r="Z16" i="15"/>
  <c r="Z37" i="17" s="1"/>
  <c r="Z56" i="17" s="1"/>
  <c r="AA8" i="15"/>
  <c r="Z10" i="15"/>
  <c r="Z31" i="17" s="1"/>
  <c r="Y29" i="18"/>
  <c r="X9" i="18"/>
  <c r="Z39" i="18"/>
  <c r="X12" i="18"/>
  <c r="Y32" i="18"/>
  <c r="Z50" i="18"/>
  <c r="AA50" i="18" s="1"/>
  <c r="Z53" i="18"/>
  <c r="X49" i="17"/>
  <c r="X13" i="18"/>
  <c r="Y33" i="18"/>
  <c r="Y49" i="17"/>
  <c r="Z38" i="18"/>
  <c r="Y30" i="17"/>
  <c r="Y43" i="17" s="1"/>
  <c r="Y16" i="10" s="1"/>
  <c r="Z49" i="10" s="1"/>
  <c r="Y22" i="15"/>
  <c r="Y15" i="10" s="1"/>
  <c r="Y30" i="18"/>
  <c r="X10" i="18"/>
  <c r="Z53" i="17"/>
  <c r="Z52" i="17"/>
  <c r="X23" i="15"/>
  <c r="Y23" i="15" s="1"/>
  <c r="C33" i="16"/>
  <c r="C34" i="16" s="1"/>
  <c r="C32" i="14"/>
  <c r="Z58" i="17"/>
  <c r="Y34" i="18"/>
  <c r="X14" i="18"/>
  <c r="W18" i="18"/>
  <c r="Z54" i="17"/>
  <c r="X35" i="18"/>
  <c r="W15" i="18"/>
  <c r="Z59" i="17"/>
  <c r="Z19" i="18" s="1"/>
  <c r="Y23" i="5"/>
  <c r="Z23" i="5" s="1"/>
  <c r="Y37" i="18"/>
  <c r="Z37" i="18" s="1"/>
  <c r="I53" i="11"/>
  <c r="I57" i="11" s="1"/>
  <c r="H10" i="10"/>
  <c r="H71" i="10" s="1"/>
  <c r="C27" i="16"/>
  <c r="C17" i="14"/>
  <c r="C18" i="14" s="1"/>
  <c r="C31" i="14"/>
  <c r="C33" i="14" s="1"/>
  <c r="C35" i="14" s="1"/>
  <c r="C37" i="14" s="1"/>
  <c r="D36" i="14" s="1"/>
  <c r="C36" i="13"/>
  <c r="Z50" i="17"/>
  <c r="Y31" i="18"/>
  <c r="X11" i="18"/>
  <c r="X61" i="18"/>
  <c r="Y48" i="18"/>
  <c r="AA17" i="5"/>
  <c r="AA19" i="17" s="1"/>
  <c r="AA9" i="5"/>
  <c r="AA20" i="5"/>
  <c r="AA22" i="17" s="1"/>
  <c r="AA12" i="5"/>
  <c r="AA14" i="17" s="1"/>
  <c r="AA15" i="5"/>
  <c r="AA17" i="17" s="1"/>
  <c r="AA19" i="5"/>
  <c r="AA21" i="17" s="1"/>
  <c r="AA11" i="5"/>
  <c r="AA13" i="17" s="1"/>
  <c r="AA13" i="5"/>
  <c r="AA15" i="17" s="1"/>
  <c r="AA14" i="5"/>
  <c r="AA16" i="17" s="1"/>
  <c r="AB8" i="5"/>
  <c r="AA16" i="5"/>
  <c r="AA18" i="17" s="1"/>
  <c r="AA18" i="5"/>
  <c r="AA20" i="17" s="1"/>
  <c r="AA10" i="5"/>
  <c r="AA12" i="17" s="1"/>
  <c r="Z11" i="17"/>
  <c r="Z22" i="5"/>
  <c r="Z46" i="10" s="1"/>
  <c r="Z51" i="18"/>
  <c r="Z58" i="18"/>
  <c r="AA58" i="18" s="1"/>
  <c r="J53" i="11" l="1"/>
  <c r="J57" i="11" s="1"/>
  <c r="I10" i="10"/>
  <c r="I71" i="10" s="1"/>
  <c r="Y35" i="18"/>
  <c r="X15" i="18"/>
  <c r="AA53" i="18"/>
  <c r="AA57" i="18"/>
  <c r="AA55" i="17"/>
  <c r="Z31" i="18"/>
  <c r="Y11" i="18"/>
  <c r="AA54" i="18"/>
  <c r="Y12" i="18"/>
  <c r="Z32" i="18"/>
  <c r="Z29" i="18"/>
  <c r="Y9" i="18"/>
  <c r="AA56" i="18"/>
  <c r="AA55" i="18"/>
  <c r="AA38" i="18"/>
  <c r="X42" i="18"/>
  <c r="Z30" i="17"/>
  <c r="Z43" i="17" s="1"/>
  <c r="Z22" i="15"/>
  <c r="Z15" i="10" s="1"/>
  <c r="AB20" i="5"/>
  <c r="AB22" i="17" s="1"/>
  <c r="AB12" i="5"/>
  <c r="AB14" i="17" s="1"/>
  <c r="AB15" i="5"/>
  <c r="AB17" i="17" s="1"/>
  <c r="AB18" i="5"/>
  <c r="AB20" i="17" s="1"/>
  <c r="AB10" i="5"/>
  <c r="AB12" i="17" s="1"/>
  <c r="AB14" i="5"/>
  <c r="AB16" i="17" s="1"/>
  <c r="AB19" i="5"/>
  <c r="AB21" i="17" s="1"/>
  <c r="AB11" i="5"/>
  <c r="AB13" i="17" s="1"/>
  <c r="AB13" i="5"/>
  <c r="AB15" i="17" s="1"/>
  <c r="AC8" i="5"/>
  <c r="AB16" i="5"/>
  <c r="AB18" i="17" s="1"/>
  <c r="AB17" i="5"/>
  <c r="AB19" i="17" s="1"/>
  <c r="AB9" i="5"/>
  <c r="AA11" i="17"/>
  <c r="AA22" i="5"/>
  <c r="AA57" i="17"/>
  <c r="AA17" i="18" s="1"/>
  <c r="AA49" i="18"/>
  <c r="Z34" i="18"/>
  <c r="Y14" i="18"/>
  <c r="Y13" i="18"/>
  <c r="Z33" i="18"/>
  <c r="Z36" i="18"/>
  <c r="Y16" i="18"/>
  <c r="AA18" i="15"/>
  <c r="AA39" i="17" s="1"/>
  <c r="AA13" i="15"/>
  <c r="AA34" i="17" s="1"/>
  <c r="AA11" i="15"/>
  <c r="AA32" i="17" s="1"/>
  <c r="AA17" i="15"/>
  <c r="AA38" i="17" s="1"/>
  <c r="AA9" i="15"/>
  <c r="AA14" i="15"/>
  <c r="AA35" i="17" s="1"/>
  <c r="AA54" i="17" s="1"/>
  <c r="AA12" i="15"/>
  <c r="AA33" i="17" s="1"/>
  <c r="AA52" i="17" s="1"/>
  <c r="AA20" i="15"/>
  <c r="AA41" i="17" s="1"/>
  <c r="AA60" i="17" s="1"/>
  <c r="AA20" i="18" s="1"/>
  <c r="AA19" i="15"/>
  <c r="AA40" i="17" s="1"/>
  <c r="AA59" i="17" s="1"/>
  <c r="AA19" i="18" s="1"/>
  <c r="AA15" i="15"/>
  <c r="AA36" i="17" s="1"/>
  <c r="AA10" i="15"/>
  <c r="AA31" i="17" s="1"/>
  <c r="AA50" i="17" s="1"/>
  <c r="AA16" i="15"/>
  <c r="AA37" i="17" s="1"/>
  <c r="AA56" i="17" s="1"/>
  <c r="AB8" i="15"/>
  <c r="AA51" i="18"/>
  <c r="AB51" i="18" s="1"/>
  <c r="Y61" i="18"/>
  <c r="Z48" i="18"/>
  <c r="C28" i="16"/>
  <c r="C35" i="16" s="1"/>
  <c r="Z40" i="18"/>
  <c r="AA58" i="17"/>
  <c r="AA53" i="17"/>
  <c r="AA51" i="17"/>
  <c r="AA59" i="18"/>
  <c r="AB59" i="18" s="1"/>
  <c r="Y10" i="18"/>
  <c r="Z30" i="18"/>
  <c r="AA52" i="18"/>
  <c r="AB52" i="18" s="1"/>
  <c r="Z10" i="18" l="1"/>
  <c r="AA30" i="18"/>
  <c r="Z61" i="18"/>
  <c r="D31" i="16" s="1"/>
  <c r="AA48" i="18"/>
  <c r="AB56" i="18"/>
  <c r="AB50" i="18"/>
  <c r="AB53" i="18"/>
  <c r="AA36" i="18"/>
  <c r="Z16" i="18"/>
  <c r="AA46" i="10"/>
  <c r="AA23" i="5"/>
  <c r="AA39" i="18"/>
  <c r="D32" i="16"/>
  <c r="Z16" i="10"/>
  <c r="AA49" i="10" s="1"/>
  <c r="AA29" i="18"/>
  <c r="Z9" i="18"/>
  <c r="Z35" i="18"/>
  <c r="Y15" i="18"/>
  <c r="AA37" i="18"/>
  <c r="AB13" i="15"/>
  <c r="AB34" i="17" s="1"/>
  <c r="AB53" i="17" s="1"/>
  <c r="AB16" i="15"/>
  <c r="AB37" i="17" s="1"/>
  <c r="AB20" i="15"/>
  <c r="AB41" i="17" s="1"/>
  <c r="AB17" i="15"/>
  <c r="AB38" i="17" s="1"/>
  <c r="AB57" i="17" s="1"/>
  <c r="AB17" i="18" s="1"/>
  <c r="AB9" i="15"/>
  <c r="AB18" i="15"/>
  <c r="AB39" i="17" s="1"/>
  <c r="AB14" i="15"/>
  <c r="AB35" i="17" s="1"/>
  <c r="AB54" i="17" s="1"/>
  <c r="AB12" i="15"/>
  <c r="AB33" i="17" s="1"/>
  <c r="AB52" i="17" s="1"/>
  <c r="AB19" i="15"/>
  <c r="AB40" i="17" s="1"/>
  <c r="AB59" i="17" s="1"/>
  <c r="AB19" i="18" s="1"/>
  <c r="AB15" i="15"/>
  <c r="AB36" i="17" s="1"/>
  <c r="AB55" i="17" s="1"/>
  <c r="AB10" i="15"/>
  <c r="AB31" i="17" s="1"/>
  <c r="AC8" i="15"/>
  <c r="AB11" i="15"/>
  <c r="AB32" i="17" s="1"/>
  <c r="AB51" i="17" s="1"/>
  <c r="AA30" i="17"/>
  <c r="AA43" i="17" s="1"/>
  <c r="AA16" i="10" s="1"/>
  <c r="AB49" i="10" s="1"/>
  <c r="AA22" i="15"/>
  <c r="AA33" i="18"/>
  <c r="Z13" i="18"/>
  <c r="AB11" i="17"/>
  <c r="AB22" i="5"/>
  <c r="AB46" i="10" s="1"/>
  <c r="AB50" i="17"/>
  <c r="X18" i="18"/>
  <c r="Y42" i="18"/>
  <c r="AA31" i="18"/>
  <c r="Z11" i="18"/>
  <c r="K53" i="11"/>
  <c r="K57" i="11" s="1"/>
  <c r="J10" i="10"/>
  <c r="J71" i="10" s="1"/>
  <c r="AB58" i="17"/>
  <c r="AB38" i="18"/>
  <c r="AA32" i="18"/>
  <c r="Z12" i="18"/>
  <c r="AA40" i="18"/>
  <c r="AB55" i="18"/>
  <c r="AC55" i="18" s="1"/>
  <c r="AB56" i="17"/>
  <c r="AC59" i="18"/>
  <c r="AA34" i="18"/>
  <c r="Z14" i="18"/>
  <c r="AC15" i="5"/>
  <c r="AC17" i="17" s="1"/>
  <c r="AC18" i="5"/>
  <c r="AC20" i="17" s="1"/>
  <c r="AC10" i="5"/>
  <c r="AC12" i="17" s="1"/>
  <c r="AC13" i="5"/>
  <c r="AC15" i="17" s="1"/>
  <c r="AD8" i="5"/>
  <c r="AC17" i="5"/>
  <c r="AC19" i="17" s="1"/>
  <c r="AC9" i="5"/>
  <c r="AC20" i="5"/>
  <c r="AC22" i="17" s="1"/>
  <c r="AC12" i="5"/>
  <c r="AC14" i="17" s="1"/>
  <c r="AC14" i="5"/>
  <c r="AC16" i="17" s="1"/>
  <c r="AC16" i="5"/>
  <c r="AC18" i="17" s="1"/>
  <c r="AC19" i="5"/>
  <c r="AC21" i="17" s="1"/>
  <c r="AC11" i="5"/>
  <c r="AC13" i="17" s="1"/>
  <c r="Z23" i="15"/>
  <c r="AB58" i="18"/>
  <c r="Z49" i="17"/>
  <c r="AB49" i="18"/>
  <c r="AB60" i="17"/>
  <c r="AB20" i="18" s="1"/>
  <c r="AB54" i="18"/>
  <c r="AC54" i="18" s="1"/>
  <c r="AB57" i="18"/>
  <c r="AD55" i="18" l="1"/>
  <c r="L53" i="11"/>
  <c r="L57" i="11" s="1"/>
  <c r="K10" i="10"/>
  <c r="K71" i="10" s="1"/>
  <c r="AC54" i="17"/>
  <c r="AC57" i="18"/>
  <c r="AC38" i="18"/>
  <c r="AB22" i="15"/>
  <c r="AB15" i="10" s="1"/>
  <c r="AB30" i="17"/>
  <c r="AB43" i="17" s="1"/>
  <c r="AB16" i="10" s="1"/>
  <c r="AC49" i="10" s="1"/>
  <c r="AB39" i="18"/>
  <c r="AC53" i="18"/>
  <c r="AC16" i="15"/>
  <c r="AC37" i="17" s="1"/>
  <c r="AC56" i="17" s="1"/>
  <c r="AC19" i="15"/>
  <c r="AC40" i="17" s="1"/>
  <c r="AC59" i="17" s="1"/>
  <c r="AC19" i="18" s="1"/>
  <c r="AC13" i="15"/>
  <c r="AC34" i="17" s="1"/>
  <c r="AC53" i="17" s="1"/>
  <c r="AC9" i="15"/>
  <c r="AC18" i="15"/>
  <c r="AC39" i="17" s="1"/>
  <c r="AC14" i="15"/>
  <c r="AC35" i="17" s="1"/>
  <c r="AC12" i="15"/>
  <c r="AC33" i="17" s="1"/>
  <c r="AC52" i="17" s="1"/>
  <c r="AC20" i="15"/>
  <c r="AC41" i="17" s="1"/>
  <c r="AC15" i="15"/>
  <c r="AC36" i="17" s="1"/>
  <c r="AC10" i="15"/>
  <c r="AC31" i="17" s="1"/>
  <c r="AC50" i="17" s="1"/>
  <c r="AD8" i="15"/>
  <c r="AC17" i="15"/>
  <c r="AC38" i="17" s="1"/>
  <c r="AC57" i="17" s="1"/>
  <c r="AC17" i="18" s="1"/>
  <c r="AC11" i="15"/>
  <c r="AC32" i="17" s="1"/>
  <c r="AA35" i="18"/>
  <c r="Z15" i="18"/>
  <c r="AC51" i="18"/>
  <c r="AC50" i="18"/>
  <c r="AD50" i="18" s="1"/>
  <c r="AD18" i="5"/>
  <c r="AD20" i="17" s="1"/>
  <c r="AD10" i="5"/>
  <c r="AD12" i="17" s="1"/>
  <c r="AD13" i="5"/>
  <c r="AD15" i="17" s="1"/>
  <c r="AE8" i="5"/>
  <c r="AD16" i="5"/>
  <c r="AD18" i="17" s="1"/>
  <c r="AD20" i="5"/>
  <c r="AD22" i="17" s="1"/>
  <c r="AD12" i="5"/>
  <c r="AD14" i="17" s="1"/>
  <c r="AD14" i="5"/>
  <c r="AD16" i="17" s="1"/>
  <c r="AD9" i="5"/>
  <c r="AD15" i="5"/>
  <c r="AD17" i="17" s="1"/>
  <c r="AD17" i="5"/>
  <c r="AD19" i="17" s="1"/>
  <c r="AD19" i="5"/>
  <c r="AD21" i="17" s="1"/>
  <c r="AD11" i="5"/>
  <c r="AD13" i="17" s="1"/>
  <c r="AC56" i="18"/>
  <c r="AD56" i="18" s="1"/>
  <c r="AA42" i="18"/>
  <c r="AB29" i="18"/>
  <c r="Z42" i="18"/>
  <c r="AB23" i="5"/>
  <c r="AC23" i="5" s="1"/>
  <c r="AA61" i="18"/>
  <c r="AB48" i="18"/>
  <c r="AC51" i="17"/>
  <c r="AB31" i="18"/>
  <c r="AA11" i="18"/>
  <c r="AB37" i="18"/>
  <c r="AC37" i="18" s="1"/>
  <c r="AC58" i="18"/>
  <c r="AD58" i="18" s="1"/>
  <c r="AC60" i="17"/>
  <c r="AC20" i="18" s="1"/>
  <c r="Y18" i="18"/>
  <c r="AA23" i="15"/>
  <c r="AB23" i="15" s="1"/>
  <c r="AA15" i="10"/>
  <c r="AC52" i="18"/>
  <c r="AD52" i="18" s="1"/>
  <c r="AA10" i="18"/>
  <c r="AB30" i="18"/>
  <c r="AB49" i="17"/>
  <c r="AC49" i="18"/>
  <c r="AD49" i="18" s="1"/>
  <c r="AC58" i="17"/>
  <c r="AB40" i="18"/>
  <c r="AC40" i="18" s="1"/>
  <c r="AC55" i="17"/>
  <c r="AA13" i="18"/>
  <c r="AB33" i="18"/>
  <c r="D11" i="7"/>
  <c r="D18" i="7"/>
  <c r="D14" i="7"/>
  <c r="D9" i="7"/>
  <c r="D17" i="7"/>
  <c r="AC11" i="17"/>
  <c r="AC22" i="5"/>
  <c r="AC46" i="10" s="1"/>
  <c r="AB34" i="18"/>
  <c r="AA14" i="18"/>
  <c r="AB32" i="18"/>
  <c r="AA12" i="18"/>
  <c r="AA49" i="17"/>
  <c r="AA9" i="18" s="1"/>
  <c r="AB36" i="18"/>
  <c r="AA16" i="18"/>
  <c r="AD11" i="7" l="1"/>
  <c r="V11" i="7"/>
  <c r="AC11" i="7"/>
  <c r="U11" i="7"/>
  <c r="AB11" i="7"/>
  <c r="AF11" i="7"/>
  <c r="AE11" i="7"/>
  <c r="Z11" i="7"/>
  <c r="X11" i="7"/>
  <c r="AA11" i="7"/>
  <c r="Y11" i="7"/>
  <c r="W11" i="7"/>
  <c r="AE13" i="5"/>
  <c r="AE15" i="17" s="1"/>
  <c r="AF8" i="5"/>
  <c r="AE16" i="5"/>
  <c r="AE18" i="17" s="1"/>
  <c r="AE19" i="5"/>
  <c r="AE21" i="17" s="1"/>
  <c r="AE11" i="5"/>
  <c r="AE13" i="17" s="1"/>
  <c r="AE15" i="5"/>
  <c r="AE17" i="17" s="1"/>
  <c r="AE14" i="5"/>
  <c r="AE16" i="17" s="1"/>
  <c r="AE17" i="5"/>
  <c r="AE19" i="17" s="1"/>
  <c r="AE9" i="5"/>
  <c r="AE18" i="5"/>
  <c r="AE20" i="17" s="1"/>
  <c r="AE10" i="5"/>
  <c r="AE12" i="17" s="1"/>
  <c r="AE20" i="5"/>
  <c r="AE22" i="17" s="1"/>
  <c r="AE12" i="5"/>
  <c r="AE14" i="17" s="1"/>
  <c r="AE18" i="7"/>
  <c r="W18" i="7"/>
  <c r="AD18" i="7"/>
  <c r="V18" i="7"/>
  <c r="AC18" i="7"/>
  <c r="U18" i="7"/>
  <c r="Y18" i="7"/>
  <c r="X18" i="7"/>
  <c r="Z18" i="7"/>
  <c r="AA18" i="7"/>
  <c r="AF18" i="7"/>
  <c r="AB18" i="7"/>
  <c r="AC22" i="15"/>
  <c r="AC15" i="10" s="1"/>
  <c r="AC30" i="17"/>
  <c r="AC43" i="17" s="1"/>
  <c r="AC16" i="10" s="1"/>
  <c r="AD49" i="10" s="1"/>
  <c r="AB13" i="18"/>
  <c r="AC33" i="18"/>
  <c r="Z18" i="18"/>
  <c r="D17" i="16"/>
  <c r="AD55" i="17"/>
  <c r="AD50" i="17"/>
  <c r="AD19" i="15"/>
  <c r="AD40" i="17" s="1"/>
  <c r="AD59" i="17" s="1"/>
  <c r="AD19" i="18" s="1"/>
  <c r="AD14" i="15"/>
  <c r="AD35" i="17" s="1"/>
  <c r="AD18" i="15"/>
  <c r="AD39" i="17" s="1"/>
  <c r="AD12" i="15"/>
  <c r="AD33" i="17" s="1"/>
  <c r="AD20" i="15"/>
  <c r="AD41" i="17" s="1"/>
  <c r="AD15" i="15"/>
  <c r="AD36" i="17" s="1"/>
  <c r="AD10" i="15"/>
  <c r="AD31" i="17" s="1"/>
  <c r="AE8" i="15"/>
  <c r="AD16" i="15"/>
  <c r="AD37" i="17" s="1"/>
  <c r="AD11" i="15"/>
  <c r="AD32" i="17" s="1"/>
  <c r="AD13" i="15"/>
  <c r="AD34" i="17" s="1"/>
  <c r="AD53" i="17" s="1"/>
  <c r="AD9" i="15"/>
  <c r="AD17" i="15"/>
  <c r="AD38" i="17" s="1"/>
  <c r="AD57" i="17" s="1"/>
  <c r="AD17" i="18" s="1"/>
  <c r="AD59" i="18"/>
  <c r="AE59" i="18" s="1"/>
  <c r="M53" i="11"/>
  <c r="M57" i="11" s="1"/>
  <c r="L10" i="10"/>
  <c r="L71" i="10" s="1"/>
  <c r="AD11" i="17"/>
  <c r="AD22" i="5"/>
  <c r="AD46" i="10" s="1"/>
  <c r="AD58" i="17"/>
  <c r="AE50" i="18"/>
  <c r="AD57" i="18"/>
  <c r="AE57" i="18" s="1"/>
  <c r="AC32" i="18"/>
  <c r="AB12" i="18"/>
  <c r="AE49" i="18"/>
  <c r="AC34" i="18"/>
  <c r="AB14" i="18"/>
  <c r="AE58" i="18"/>
  <c r="AD37" i="18"/>
  <c r="AA18" i="18"/>
  <c r="AD54" i="17"/>
  <c r="AF9" i="7"/>
  <c r="AF29" i="7" s="1"/>
  <c r="X9" i="7"/>
  <c r="X29" i="7" s="1"/>
  <c r="AE9" i="7"/>
  <c r="W9" i="7"/>
  <c r="AD9" i="7"/>
  <c r="V9" i="7"/>
  <c r="V29" i="7" s="1"/>
  <c r="D29" i="7"/>
  <c r="D15" i="13" s="1"/>
  <c r="U9" i="7"/>
  <c r="AB9" i="7"/>
  <c r="AA9" i="7"/>
  <c r="Z9" i="7"/>
  <c r="AC9" i="7"/>
  <c r="AC29" i="7" s="1"/>
  <c r="Y9" i="7"/>
  <c r="AC23" i="15"/>
  <c r="AB11" i="18"/>
  <c r="AC31" i="18"/>
  <c r="AD52" i="17"/>
  <c r="AD51" i="18"/>
  <c r="AE51" i="18" s="1"/>
  <c r="AD53" i="18"/>
  <c r="AE53" i="18" s="1"/>
  <c r="AC30" i="18"/>
  <c r="AB10" i="18"/>
  <c r="AC49" i="17"/>
  <c r="AE52" i="18"/>
  <c r="AB42" i="18"/>
  <c r="AC29" i="18"/>
  <c r="AB9" i="18"/>
  <c r="AC36" i="18"/>
  <c r="AB16" i="18"/>
  <c r="AF17" i="7"/>
  <c r="X17" i="7"/>
  <c r="AE17" i="7"/>
  <c r="W17" i="7"/>
  <c r="AD17" i="7"/>
  <c r="V17" i="7"/>
  <c r="Z17" i="7"/>
  <c r="AA17" i="7"/>
  <c r="AC17" i="7"/>
  <c r="Y17" i="7"/>
  <c r="AB17" i="7"/>
  <c r="U17" i="7"/>
  <c r="AA14" i="7"/>
  <c r="Z14" i="7"/>
  <c r="Y14" i="7"/>
  <c r="AC14" i="7"/>
  <c r="AD14" i="7"/>
  <c r="AB14" i="7"/>
  <c r="X14" i="7"/>
  <c r="W14" i="7"/>
  <c r="U14" i="7"/>
  <c r="AF14" i="7"/>
  <c r="AE14" i="7"/>
  <c r="V14" i="7"/>
  <c r="AE56" i="18"/>
  <c r="AD60" i="17"/>
  <c r="AD20" i="18" s="1"/>
  <c r="AC39" i="18"/>
  <c r="AD39" i="18" s="1"/>
  <c r="AB61" i="18"/>
  <c r="AC48" i="18"/>
  <c r="AD51" i="17"/>
  <c r="AD56" i="17"/>
  <c r="AB35" i="18"/>
  <c r="AA15" i="18"/>
  <c r="AD54" i="18"/>
  <c r="AE54" i="18" s="1"/>
  <c r="AA29" i="7" l="1"/>
  <c r="R47" i="10"/>
  <c r="R24" i="17"/>
  <c r="AD33" i="18"/>
  <c r="AC13" i="18"/>
  <c r="AD23" i="5"/>
  <c r="AE50" i="17"/>
  <c r="AC16" i="18"/>
  <c r="AD36" i="18"/>
  <c r="AC61" i="18"/>
  <c r="AD48" i="18"/>
  <c r="Z47" i="10"/>
  <c r="Z24" i="17"/>
  <c r="AD34" i="18"/>
  <c r="AC14" i="18"/>
  <c r="AF16" i="5"/>
  <c r="AF18" i="17" s="1"/>
  <c r="AF19" i="5"/>
  <c r="AF21" i="17" s="1"/>
  <c r="AF11" i="5"/>
  <c r="AF13" i="17" s="1"/>
  <c r="AF14" i="5"/>
  <c r="AF16" i="17" s="1"/>
  <c r="AF18" i="5"/>
  <c r="AF20" i="17" s="1"/>
  <c r="AF10" i="5"/>
  <c r="AF12" i="17" s="1"/>
  <c r="AF13" i="5"/>
  <c r="AF15" i="17" s="1"/>
  <c r="AF17" i="5"/>
  <c r="AF19" i="17" s="1"/>
  <c r="AF15" i="5"/>
  <c r="AF17" i="17" s="1"/>
  <c r="AF9" i="5"/>
  <c r="AG8" i="5"/>
  <c r="AF20" i="5"/>
  <c r="AF22" i="17" s="1"/>
  <c r="AF12" i="5"/>
  <c r="AF14" i="17" s="1"/>
  <c r="AD29" i="18"/>
  <c r="AC9" i="18"/>
  <c r="AB18" i="18"/>
  <c r="AC11" i="18"/>
  <c r="AD31" i="18"/>
  <c r="AB29" i="7"/>
  <c r="AE39" i="18"/>
  <c r="AF52" i="18"/>
  <c r="U29" i="7"/>
  <c r="AE11" i="17"/>
  <c r="AE22" i="5"/>
  <c r="AE46" i="10" s="1"/>
  <c r="AE53" i="17"/>
  <c r="D16" i="13"/>
  <c r="N53" i="11"/>
  <c r="N57" i="11" s="1"/>
  <c r="M10" i="10"/>
  <c r="M71" i="10" s="1"/>
  <c r="AE14" i="15"/>
  <c r="AE35" i="17" s="1"/>
  <c r="AE54" i="17" s="1"/>
  <c r="AE17" i="15"/>
  <c r="AE38" i="17" s="1"/>
  <c r="AE57" i="17" s="1"/>
  <c r="AE17" i="18" s="1"/>
  <c r="AE20" i="15"/>
  <c r="AE41" i="17" s="1"/>
  <c r="AE15" i="15"/>
  <c r="AE36" i="17" s="1"/>
  <c r="AE10" i="15"/>
  <c r="AE31" i="17" s="1"/>
  <c r="AE19" i="15"/>
  <c r="AE40" i="17" s="1"/>
  <c r="AF8" i="15"/>
  <c r="AE16" i="15"/>
  <c r="AE37" i="17" s="1"/>
  <c r="AE56" i="17" s="1"/>
  <c r="AE11" i="15"/>
  <c r="AE32" i="17" s="1"/>
  <c r="AE51" i="17" s="1"/>
  <c r="AE18" i="15"/>
  <c r="AE39" i="17" s="1"/>
  <c r="AE58" i="17" s="1"/>
  <c r="AE12" i="15"/>
  <c r="AE33" i="17" s="1"/>
  <c r="AE52" i="17" s="1"/>
  <c r="AE13" i="15"/>
  <c r="AE34" i="17" s="1"/>
  <c r="AE9" i="15"/>
  <c r="AD38" i="18"/>
  <c r="P47" i="10"/>
  <c r="P24" i="17"/>
  <c r="AD32" i="18"/>
  <c r="AC12" i="18"/>
  <c r="AF56" i="18"/>
  <c r="AD40" i="18"/>
  <c r="AC35" i="18"/>
  <c r="AC42" i="18" s="1"/>
  <c r="AB15" i="18"/>
  <c r="AD30" i="18"/>
  <c r="AC10" i="18"/>
  <c r="Y29" i="7"/>
  <c r="AD29" i="7"/>
  <c r="AE55" i="18"/>
  <c r="AE55" i="17"/>
  <c r="AF53" i="18"/>
  <c r="W47" i="10"/>
  <c r="W24" i="17"/>
  <c r="W29" i="7"/>
  <c r="AF57" i="18"/>
  <c r="AF51" i="18"/>
  <c r="Z29" i="7"/>
  <c r="AE29" i="7"/>
  <c r="AD30" i="17"/>
  <c r="AD43" i="17" s="1"/>
  <c r="AD16" i="10" s="1"/>
  <c r="AE49" i="10" s="1"/>
  <c r="AD22" i="15"/>
  <c r="AD15" i="10" s="1"/>
  <c r="AE60" i="17"/>
  <c r="AE20" i="18" s="1"/>
  <c r="AE59" i="17"/>
  <c r="AE19" i="18" s="1"/>
  <c r="AC18" i="18" l="1"/>
  <c r="AD12" i="18"/>
  <c r="AE32" i="18"/>
  <c r="V47" i="10"/>
  <c r="V24" i="17"/>
  <c r="AD10" i="18"/>
  <c r="AE30" i="18"/>
  <c r="AF54" i="17"/>
  <c r="T47" i="10"/>
  <c r="T24" i="17"/>
  <c r="S47" i="10"/>
  <c r="S24" i="17"/>
  <c r="AF54" i="18"/>
  <c r="AF50" i="17"/>
  <c r="AF58" i="17"/>
  <c r="AE34" i="18"/>
  <c r="AD14" i="18"/>
  <c r="P62" i="17"/>
  <c r="P22" i="18" s="1"/>
  <c r="P48" i="10"/>
  <c r="Q17" i="10" s="1"/>
  <c r="Q40" i="10" s="1"/>
  <c r="Z62" i="17"/>
  <c r="Z22" i="18" s="1"/>
  <c r="D10" i="14" s="1"/>
  <c r="D18" i="16"/>
  <c r="Z48" i="10"/>
  <c r="AA17" i="10" s="1"/>
  <c r="AA40" i="10" s="1"/>
  <c r="AE23" i="5"/>
  <c r="AE33" i="18"/>
  <c r="AD13" i="18"/>
  <c r="AD11" i="18"/>
  <c r="AE31" i="18"/>
  <c r="O53" i="11"/>
  <c r="O57" i="11" s="1"/>
  <c r="N10" i="10"/>
  <c r="N71" i="10" s="1"/>
  <c r="AD35" i="18"/>
  <c r="AC15" i="18"/>
  <c r="AF17" i="15"/>
  <c r="AF38" i="17" s="1"/>
  <c r="AF57" i="17" s="1"/>
  <c r="AF17" i="18" s="1"/>
  <c r="AF20" i="15"/>
  <c r="AF41" i="17" s="1"/>
  <c r="AF60" i="17" s="1"/>
  <c r="AF20" i="18" s="1"/>
  <c r="AF15" i="15"/>
  <c r="AF36" i="17" s="1"/>
  <c r="AF55" i="17" s="1"/>
  <c r="AF14" i="15"/>
  <c r="AF35" i="17" s="1"/>
  <c r="AF10" i="15"/>
  <c r="AF31" i="17" s="1"/>
  <c r="AF19" i="15"/>
  <c r="AF40" i="17" s="1"/>
  <c r="AG8" i="15"/>
  <c r="AF16" i="15"/>
  <c r="AF37" i="17" s="1"/>
  <c r="AF11" i="15"/>
  <c r="AF32" i="17" s="1"/>
  <c r="AF51" i="17" s="1"/>
  <c r="AF13" i="15"/>
  <c r="AF34" i="17" s="1"/>
  <c r="AF9" i="15"/>
  <c r="AF18" i="15"/>
  <c r="AF39" i="17" s="1"/>
  <c r="AF12" i="15"/>
  <c r="AF33" i="17" s="1"/>
  <c r="AF52" i="17" s="1"/>
  <c r="AD49" i="17"/>
  <c r="AF11" i="17"/>
  <c r="AF22" i="5"/>
  <c r="AF46" i="10" s="1"/>
  <c r="AD61" i="18"/>
  <c r="AE48" i="18"/>
  <c r="AF50" i="18"/>
  <c r="AG50" i="18" s="1"/>
  <c r="AE37" i="18"/>
  <c r="AF59" i="18"/>
  <c r="AE40" i="18"/>
  <c r="AF49" i="18"/>
  <c r="AG49" i="18" s="1"/>
  <c r="AF56" i="17"/>
  <c r="R62" i="17"/>
  <c r="R22" i="18" s="1"/>
  <c r="R48" i="10"/>
  <c r="S17" i="10" s="1"/>
  <c r="S40" i="10" s="1"/>
  <c r="AG19" i="5"/>
  <c r="AG21" i="17" s="1"/>
  <c r="AG11" i="5"/>
  <c r="AG13" i="17" s="1"/>
  <c r="AG14" i="5"/>
  <c r="AG16" i="17" s="1"/>
  <c r="AG17" i="5"/>
  <c r="AG19" i="17" s="1"/>
  <c r="AG9" i="5"/>
  <c r="AG13" i="5"/>
  <c r="AG15" i="17" s="1"/>
  <c r="AH8" i="5"/>
  <c r="AG15" i="5"/>
  <c r="AG17" i="17" s="1"/>
  <c r="AG16" i="5"/>
  <c r="AG18" i="17" s="1"/>
  <c r="AG10" i="5"/>
  <c r="AG12" i="17" s="1"/>
  <c r="AG18" i="5"/>
  <c r="AG20" i="17" s="1"/>
  <c r="AG20" i="5"/>
  <c r="AG22" i="17" s="1"/>
  <c r="AG12" i="5"/>
  <c r="AG14" i="17" s="1"/>
  <c r="AF59" i="17"/>
  <c r="AF19" i="18" s="1"/>
  <c r="AE38" i="18"/>
  <c r="AF38" i="18" s="1"/>
  <c r="Q47" i="10"/>
  <c r="Q24" i="17"/>
  <c r="AG56" i="18"/>
  <c r="AE30" i="17"/>
  <c r="AE43" i="17" s="1"/>
  <c r="AE16" i="10" s="1"/>
  <c r="AF49" i="10" s="1"/>
  <c r="AE22" i="15"/>
  <c r="AE15" i="10" s="1"/>
  <c r="D17" i="13"/>
  <c r="D13" i="19"/>
  <c r="D14" i="19" s="1"/>
  <c r="O47" i="10"/>
  <c r="O24" i="17"/>
  <c r="AE36" i="18"/>
  <c r="AD16" i="18"/>
  <c r="AF58" i="18"/>
  <c r="AG58" i="18" s="1"/>
  <c r="AF55" i="18"/>
  <c r="Y47" i="10"/>
  <c r="Y24" i="17"/>
  <c r="W62" i="17"/>
  <c r="W22" i="18" s="1"/>
  <c r="W48" i="10"/>
  <c r="X17" i="10" s="1"/>
  <c r="X40" i="10" s="1"/>
  <c r="X47" i="10"/>
  <c r="X24" i="17"/>
  <c r="AD23" i="15"/>
  <c r="AE23" i="15" s="1"/>
  <c r="AG52" i="18"/>
  <c r="AD42" i="18"/>
  <c r="AE29" i="18"/>
  <c r="AD9" i="18"/>
  <c r="AF53" i="17"/>
  <c r="U47" i="10"/>
  <c r="U24" i="17"/>
  <c r="AF30" i="17" l="1"/>
  <c r="AF43" i="17" s="1"/>
  <c r="AF16" i="10" s="1"/>
  <c r="AG49" i="10" s="1"/>
  <c r="AF22" i="15"/>
  <c r="AF15" i="10" s="1"/>
  <c r="V62" i="17"/>
  <c r="V22" i="18" s="1"/>
  <c r="V48" i="10"/>
  <c r="W17" i="10" s="1"/>
  <c r="W40" i="10" s="1"/>
  <c r="AG55" i="18"/>
  <c r="AH55" i="18" s="1"/>
  <c r="AF23" i="5"/>
  <c r="AE14" i="18"/>
  <c r="AF34" i="18"/>
  <c r="AE61" i="18"/>
  <c r="AF48" i="18"/>
  <c r="AH14" i="5"/>
  <c r="AH16" i="17" s="1"/>
  <c r="AH17" i="5"/>
  <c r="AH19" i="17" s="1"/>
  <c r="AH9" i="5"/>
  <c r="AH20" i="5"/>
  <c r="AH22" i="17" s="1"/>
  <c r="AH12" i="5"/>
  <c r="AH14" i="17" s="1"/>
  <c r="AH16" i="5"/>
  <c r="AH18" i="17" s="1"/>
  <c r="AH15" i="5"/>
  <c r="AH17" i="17" s="1"/>
  <c r="AI8" i="5"/>
  <c r="AH18" i="5"/>
  <c r="AH20" i="17" s="1"/>
  <c r="AH10" i="5"/>
  <c r="AH12" i="17" s="1"/>
  <c r="AH19" i="5"/>
  <c r="AH21" i="17" s="1"/>
  <c r="AH11" i="5"/>
  <c r="AH13" i="17" s="1"/>
  <c r="AH13" i="5"/>
  <c r="AH15" i="17" s="1"/>
  <c r="T62" i="17"/>
  <c r="T22" i="18" s="1"/>
  <c r="T48" i="10"/>
  <c r="U17" i="10" s="1"/>
  <c r="U40" i="10" s="1"/>
  <c r="AE12" i="18"/>
  <c r="AF32" i="18"/>
  <c r="AD18" i="18"/>
  <c r="AF23" i="15"/>
  <c r="AF31" i="18"/>
  <c r="AE11" i="18"/>
  <c r="U62" i="17"/>
  <c r="U22" i="18" s="1"/>
  <c r="U48" i="10"/>
  <c r="V17" i="10" s="1"/>
  <c r="V40" i="10" s="1"/>
  <c r="X62" i="17"/>
  <c r="X22" i="18" s="1"/>
  <c r="X48" i="10"/>
  <c r="Y17" i="10" s="1"/>
  <c r="Y40" i="10" s="1"/>
  <c r="AH58" i="18"/>
  <c r="D19" i="13"/>
  <c r="W51" i="10"/>
  <c r="W69" i="10" s="1"/>
  <c r="O51" i="10"/>
  <c r="O69" i="10" s="1"/>
  <c r="V51" i="10"/>
  <c r="V69" i="10" s="1"/>
  <c r="U51" i="10"/>
  <c r="U69" i="10" s="1"/>
  <c r="X51" i="10"/>
  <c r="X69" i="10" s="1"/>
  <c r="P51" i="10"/>
  <c r="P69" i="10" s="1"/>
  <c r="Q51" i="10"/>
  <c r="Q69" i="10" s="1"/>
  <c r="R51" i="10"/>
  <c r="R69" i="10" s="1"/>
  <c r="Z51" i="10"/>
  <c r="Z69" i="10" s="1"/>
  <c r="Y51" i="10"/>
  <c r="Y69" i="10" s="1"/>
  <c r="T51" i="10"/>
  <c r="T69" i="10" s="1"/>
  <c r="S51" i="10"/>
  <c r="AG11" i="17"/>
  <c r="AG22" i="5"/>
  <c r="AG46" i="10" s="1"/>
  <c r="AF49" i="17"/>
  <c r="AG20" i="15"/>
  <c r="AG41" i="17" s="1"/>
  <c r="AG15" i="15"/>
  <c r="AG36" i="17" s="1"/>
  <c r="AG19" i="15"/>
  <c r="AG40" i="17" s="1"/>
  <c r="AG59" i="17" s="1"/>
  <c r="AG19" i="18" s="1"/>
  <c r="AH8" i="15"/>
  <c r="AG16" i="15"/>
  <c r="AG37" i="17" s="1"/>
  <c r="AG56" i="17" s="1"/>
  <c r="AG11" i="15"/>
  <c r="AG32" i="17" s="1"/>
  <c r="AG51" i="17" s="1"/>
  <c r="AG13" i="15"/>
  <c r="AG34" i="17" s="1"/>
  <c r="AG53" i="17" s="1"/>
  <c r="AG9" i="15"/>
  <c r="AG18" i="15"/>
  <c r="AG39" i="17" s="1"/>
  <c r="AG17" i="15"/>
  <c r="AG38" i="17" s="1"/>
  <c r="AG12" i="15"/>
  <c r="AG33" i="17" s="1"/>
  <c r="AG52" i="17" s="1"/>
  <c r="AG14" i="15"/>
  <c r="AG35" i="17" s="1"/>
  <c r="AG10" i="15"/>
  <c r="AG31" i="17" s="1"/>
  <c r="AG50" i="17" s="1"/>
  <c r="AD15" i="18"/>
  <c r="AE35" i="18"/>
  <c r="AG53" i="18"/>
  <c r="AH53" i="18" s="1"/>
  <c r="Q62" i="17"/>
  <c r="Q22" i="18" s="1"/>
  <c r="Q48" i="10"/>
  <c r="R17" i="10" s="1"/>
  <c r="R40" i="10" s="1"/>
  <c r="AG55" i="17"/>
  <c r="AG60" i="17"/>
  <c r="AG20" i="18" s="1"/>
  <c r="AG57" i="17"/>
  <c r="AG17" i="18" s="1"/>
  <c r="AF40" i="18"/>
  <c r="AG40" i="18" s="1"/>
  <c r="AE49" i="17"/>
  <c r="AF33" i="18"/>
  <c r="AE13" i="18"/>
  <c r="AF39" i="18"/>
  <c r="AG39" i="18" s="1"/>
  <c r="AG51" i="18"/>
  <c r="AG58" i="17"/>
  <c r="AG57" i="18"/>
  <c r="AH57" i="18" s="1"/>
  <c r="AG54" i="18"/>
  <c r="AH54" i="18" s="1"/>
  <c r="AF30" i="18"/>
  <c r="AE10" i="18"/>
  <c r="O62" i="17"/>
  <c r="O22" i="18" s="1"/>
  <c r="O48" i="10"/>
  <c r="P17" i="10" s="1"/>
  <c r="P40" i="10" s="1"/>
  <c r="AF36" i="18"/>
  <c r="AE16" i="18"/>
  <c r="AG54" i="17"/>
  <c r="AG59" i="18"/>
  <c r="AH59" i="18" s="1"/>
  <c r="C19" i="16"/>
  <c r="C20" i="16" s="1"/>
  <c r="C21" i="16" s="1"/>
  <c r="P53" i="11"/>
  <c r="P57" i="11" s="1"/>
  <c r="O10" i="10"/>
  <c r="AF29" i="18"/>
  <c r="AE9" i="18"/>
  <c r="Y62" i="17"/>
  <c r="Y22" i="18" s="1"/>
  <c r="Y48" i="10"/>
  <c r="Z17" i="10" s="1"/>
  <c r="Z40" i="10" s="1"/>
  <c r="AF37" i="18"/>
  <c r="AG37" i="18" s="1"/>
  <c r="S62" i="17"/>
  <c r="S22" i="18" s="1"/>
  <c r="S48" i="10"/>
  <c r="T17" i="10" s="1"/>
  <c r="T40" i="10" s="1"/>
  <c r="AG29" i="18" l="1"/>
  <c r="AF9" i="18"/>
  <c r="AG36" i="18"/>
  <c r="AF16" i="18"/>
  <c r="AH56" i="18"/>
  <c r="AG33" i="18"/>
  <c r="AF13" i="18"/>
  <c r="AG38" i="18"/>
  <c r="AG31" i="18"/>
  <c r="AF11" i="18"/>
  <c r="AG30" i="18"/>
  <c r="AF10" i="18"/>
  <c r="AG30" i="17"/>
  <c r="AG43" i="17" s="1"/>
  <c r="AG16" i="10" s="1"/>
  <c r="AH49" i="10" s="1"/>
  <c r="AG22" i="15"/>
  <c r="AG15" i="10" s="1"/>
  <c r="AG23" i="15"/>
  <c r="AH51" i="17"/>
  <c r="AG34" i="18"/>
  <c r="AF14" i="18"/>
  <c r="AE15" i="18"/>
  <c r="AF35" i="18"/>
  <c r="AH49" i="18"/>
  <c r="AH11" i="17"/>
  <c r="AH22" i="5"/>
  <c r="AH46" i="10" s="1"/>
  <c r="AG23" i="5"/>
  <c r="AH23" i="5" s="1"/>
  <c r="S69" i="10"/>
  <c r="AG49" i="17"/>
  <c r="AF12" i="18"/>
  <c r="AG32" i="18"/>
  <c r="AH37" i="18"/>
  <c r="AE42" i="18"/>
  <c r="AH51" i="18"/>
  <c r="AH15" i="15"/>
  <c r="AH36" i="17" s="1"/>
  <c r="AH55" i="17" s="1"/>
  <c r="AH18" i="15"/>
  <c r="AH39" i="17" s="1"/>
  <c r="AH58" i="17" s="1"/>
  <c r="AH20" i="15"/>
  <c r="AH41" i="17" s="1"/>
  <c r="AH60" i="17" s="1"/>
  <c r="AH20" i="18" s="1"/>
  <c r="AH16" i="15"/>
  <c r="AH37" i="17" s="1"/>
  <c r="AH11" i="15"/>
  <c r="AH32" i="17" s="1"/>
  <c r="AH13" i="15"/>
  <c r="AH34" i="17" s="1"/>
  <c r="AH53" i="17" s="1"/>
  <c r="AH9" i="15"/>
  <c r="AH17" i="15"/>
  <c r="AH38" i="17" s="1"/>
  <c r="AH12" i="15"/>
  <c r="AH33" i="17" s="1"/>
  <c r="AH52" i="17" s="1"/>
  <c r="AH19" i="15"/>
  <c r="AH40" i="17" s="1"/>
  <c r="AH59" i="17" s="1"/>
  <c r="AH19" i="18" s="1"/>
  <c r="AI8" i="15"/>
  <c r="AH10" i="15"/>
  <c r="AH31" i="17" s="1"/>
  <c r="AH14" i="15"/>
  <c r="AH35" i="17" s="1"/>
  <c r="AH54" i="17" s="1"/>
  <c r="E24" i="12"/>
  <c r="D22" i="13"/>
  <c r="AI17" i="5"/>
  <c r="AI19" i="17" s="1"/>
  <c r="AI9" i="5"/>
  <c r="AI20" i="5"/>
  <c r="AI22" i="17" s="1"/>
  <c r="AI12" i="5"/>
  <c r="AI14" i="17" s="1"/>
  <c r="AI15" i="5"/>
  <c r="AI17" i="17" s="1"/>
  <c r="AI19" i="5"/>
  <c r="AI21" i="17" s="1"/>
  <c r="AI11" i="5"/>
  <c r="AI13" i="17" s="1"/>
  <c r="AJ8" i="5"/>
  <c r="AI16" i="5"/>
  <c r="AI18" i="17" s="1"/>
  <c r="AI10" i="5"/>
  <c r="AI12" i="17" s="1"/>
  <c r="AI18" i="5"/>
  <c r="AI20" i="17" s="1"/>
  <c r="AI13" i="5"/>
  <c r="AI15" i="17" s="1"/>
  <c r="AI14" i="5"/>
  <c r="AI16" i="17" s="1"/>
  <c r="AF61" i="18"/>
  <c r="AG48" i="18"/>
  <c r="AI55" i="18"/>
  <c r="AH50" i="18"/>
  <c r="AI50" i="18" s="1"/>
  <c r="AH50" i="17"/>
  <c r="AH57" i="17"/>
  <c r="AH17" i="18" s="1"/>
  <c r="O71" i="10"/>
  <c r="P10" i="10" s="1"/>
  <c r="P71" i="10" s="1"/>
  <c r="Q10" i="10" s="1"/>
  <c r="Q71" i="10" s="1"/>
  <c r="R10" i="10" s="1"/>
  <c r="R71" i="10" s="1"/>
  <c r="S10" i="10" s="1"/>
  <c r="S71" i="10" s="1"/>
  <c r="T10" i="10" s="1"/>
  <c r="T71" i="10" s="1"/>
  <c r="U10" i="10" s="1"/>
  <c r="U71" i="10" s="1"/>
  <c r="V10" i="10" s="1"/>
  <c r="V71" i="10" s="1"/>
  <c r="W10" i="10" s="1"/>
  <c r="W71" i="10" s="1"/>
  <c r="X10" i="10" s="1"/>
  <c r="X71" i="10" s="1"/>
  <c r="Y10" i="10" s="1"/>
  <c r="Y71" i="10" s="1"/>
  <c r="Z10" i="10" s="1"/>
  <c r="Z71" i="10" s="1"/>
  <c r="O23" i="18"/>
  <c r="AH56" i="17"/>
  <c r="AH52" i="18"/>
  <c r="AH34" i="18" l="1"/>
  <c r="AG14" i="18"/>
  <c r="AI59" i="18"/>
  <c r="AI18" i="15"/>
  <c r="AI39" i="17" s="1"/>
  <c r="AI13" i="15"/>
  <c r="AI34" i="17" s="1"/>
  <c r="AI16" i="15"/>
  <c r="AI37" i="17" s="1"/>
  <c r="AI11" i="15"/>
  <c r="AI32" i="17" s="1"/>
  <c r="AI9" i="15"/>
  <c r="AI17" i="15"/>
  <c r="AI38" i="17" s="1"/>
  <c r="AI57" i="17" s="1"/>
  <c r="AI17" i="18" s="1"/>
  <c r="AI12" i="15"/>
  <c r="AI33" i="17" s="1"/>
  <c r="AI52" i="17" s="1"/>
  <c r="AI14" i="15"/>
  <c r="AI35" i="17" s="1"/>
  <c r="AI54" i="17" s="1"/>
  <c r="AI10" i="15"/>
  <c r="AI31" i="17" s="1"/>
  <c r="AI20" i="15"/>
  <c r="AI41" i="17" s="1"/>
  <c r="AI60" i="17" s="1"/>
  <c r="AI20" i="18" s="1"/>
  <c r="AI15" i="15"/>
  <c r="AI36" i="17" s="1"/>
  <c r="AI55" i="17" s="1"/>
  <c r="AI19" i="15"/>
  <c r="AI40" i="17" s="1"/>
  <c r="AJ8" i="15"/>
  <c r="AI57" i="18"/>
  <c r="AJ57" i="18" s="1"/>
  <c r="AH33" i="18"/>
  <c r="AG13" i="18"/>
  <c r="AG12" i="18"/>
  <c r="AH32" i="18"/>
  <c r="AI49" i="18"/>
  <c r="AJ49" i="18" s="1"/>
  <c r="AI56" i="18"/>
  <c r="AI58" i="17"/>
  <c r="AJ55" i="18"/>
  <c r="AI50" i="17"/>
  <c r="AI11" i="17"/>
  <c r="AI22" i="5"/>
  <c r="AI46" i="10" s="1"/>
  <c r="AG35" i="18"/>
  <c r="AF15" i="18"/>
  <c r="AI56" i="17"/>
  <c r="AI51" i="18"/>
  <c r="AH36" i="18"/>
  <c r="AG16" i="18"/>
  <c r="AH39" i="18"/>
  <c r="AI58" i="18"/>
  <c r="AJ20" i="5"/>
  <c r="AJ22" i="17" s="1"/>
  <c r="AJ12" i="5"/>
  <c r="AJ14" i="17" s="1"/>
  <c r="AJ15" i="5"/>
  <c r="AJ17" i="17" s="1"/>
  <c r="AJ18" i="5"/>
  <c r="AJ20" i="17" s="1"/>
  <c r="AJ10" i="5"/>
  <c r="AJ12" i="17" s="1"/>
  <c r="AJ14" i="5"/>
  <c r="AJ16" i="17" s="1"/>
  <c r="AJ16" i="5"/>
  <c r="AJ18" i="17" s="1"/>
  <c r="AJ17" i="5"/>
  <c r="AJ19" i="17" s="1"/>
  <c r="AJ9" i="5"/>
  <c r="AJ19" i="5"/>
  <c r="AJ21" i="17" s="1"/>
  <c r="AJ11" i="5"/>
  <c r="AJ13" i="17" s="1"/>
  <c r="AJ13" i="5"/>
  <c r="AJ15" i="17" s="1"/>
  <c r="AK8" i="5"/>
  <c r="D26" i="13"/>
  <c r="D23" i="13"/>
  <c r="AH30" i="17"/>
  <c r="AH43" i="17" s="1"/>
  <c r="AH16" i="10" s="1"/>
  <c r="AI49" i="10" s="1"/>
  <c r="AH22" i="15"/>
  <c r="AH15" i="10" s="1"/>
  <c r="AE18" i="18"/>
  <c r="AH40" i="18"/>
  <c r="AI40" i="18" s="1"/>
  <c r="AH31" i="18"/>
  <c r="AG11" i="18"/>
  <c r="D19" i="16"/>
  <c r="D20" i="16" s="1"/>
  <c r="D21" i="16" s="1"/>
  <c r="AA10" i="10"/>
  <c r="AG61" i="18"/>
  <c r="AH48" i="18"/>
  <c r="AI51" i="17"/>
  <c r="AI23" i="5"/>
  <c r="AI54" i="18"/>
  <c r="AH38" i="18"/>
  <c r="AI38" i="18" s="1"/>
  <c r="AF42" i="18"/>
  <c r="AI53" i="17"/>
  <c r="AI52" i="18"/>
  <c r="AJ52" i="18" s="1"/>
  <c r="AI59" i="17"/>
  <c r="AI19" i="18" s="1"/>
  <c r="AH30" i="18"/>
  <c r="AG10" i="18"/>
  <c r="AI53" i="18"/>
  <c r="AJ53" i="18" s="1"/>
  <c r="AG42" i="18"/>
  <c r="AH29" i="18"/>
  <c r="AG9" i="18"/>
  <c r="AI36" i="18" l="1"/>
  <c r="AH16" i="18"/>
  <c r="AH13" i="18"/>
  <c r="AI33" i="18"/>
  <c r="AJ59" i="18"/>
  <c r="AJ51" i="18"/>
  <c r="AJ13" i="15"/>
  <c r="AJ34" i="17" s="1"/>
  <c r="AJ53" i="17" s="1"/>
  <c r="AJ16" i="15"/>
  <c r="AJ37" i="17" s="1"/>
  <c r="AJ20" i="15"/>
  <c r="AJ41" i="17" s="1"/>
  <c r="AJ60" i="17" s="1"/>
  <c r="AJ20" i="18" s="1"/>
  <c r="AJ9" i="15"/>
  <c r="AJ17" i="15"/>
  <c r="AJ38" i="17" s="1"/>
  <c r="AJ12" i="15"/>
  <c r="AJ33" i="17" s="1"/>
  <c r="AJ52" i="17" s="1"/>
  <c r="AJ18" i="15"/>
  <c r="AJ39" i="17" s="1"/>
  <c r="AJ58" i="17" s="1"/>
  <c r="AJ14" i="15"/>
  <c r="AJ35" i="17" s="1"/>
  <c r="AJ10" i="15"/>
  <c r="AJ31" i="17" s="1"/>
  <c r="AJ50" i="17" s="1"/>
  <c r="AJ19" i="15"/>
  <c r="AJ40" i="17" s="1"/>
  <c r="AJ59" i="17" s="1"/>
  <c r="AJ19" i="18" s="1"/>
  <c r="AK8" i="15"/>
  <c r="AJ11" i="15"/>
  <c r="AJ32" i="17" s="1"/>
  <c r="AJ51" i="17" s="1"/>
  <c r="AJ15" i="15"/>
  <c r="AJ36" i="17" s="1"/>
  <c r="AJ55" i="17" s="1"/>
  <c r="AI30" i="17"/>
  <c r="AI43" i="17" s="1"/>
  <c r="AI16" i="10" s="1"/>
  <c r="AJ49" i="10" s="1"/>
  <c r="AI22" i="15"/>
  <c r="AI15" i="10" s="1"/>
  <c r="AI34" i="18"/>
  <c r="AH14" i="18"/>
  <c r="AJ40" i="18"/>
  <c r="AG18" i="18"/>
  <c r="AF18" i="18"/>
  <c r="AJ11" i="17"/>
  <c r="AJ22" i="5"/>
  <c r="AJ46" i="10" s="1"/>
  <c r="AJ38" i="18"/>
  <c r="AH49" i="17"/>
  <c r="AH9" i="18" s="1"/>
  <c r="AI29" i="18"/>
  <c r="AJ57" i="17"/>
  <c r="AJ17" i="18" s="1"/>
  <c r="AJ56" i="18"/>
  <c r="AK56" i="18" s="1"/>
  <c r="AJ58" i="18"/>
  <c r="AJ54" i="18"/>
  <c r="AJ50" i="18"/>
  <c r="AJ56" i="17"/>
  <c r="AI39" i="18"/>
  <c r="AJ39" i="18" s="1"/>
  <c r="AH10" i="18"/>
  <c r="AI30" i="18"/>
  <c r="AJ23" i="5"/>
  <c r="AJ54" i="17"/>
  <c r="AH35" i="18"/>
  <c r="AH42" i="18" s="1"/>
  <c r="AG15" i="18"/>
  <c r="AI32" i="18"/>
  <c r="AH12" i="18"/>
  <c r="AK52" i="18"/>
  <c r="AH61" i="18"/>
  <c r="AI48" i="18"/>
  <c r="D30" i="13"/>
  <c r="D27" i="13"/>
  <c r="AI37" i="18"/>
  <c r="AJ37" i="18" s="1"/>
  <c r="AI31" i="18"/>
  <c r="AH11" i="18"/>
  <c r="AK15" i="5"/>
  <c r="AK17" i="17" s="1"/>
  <c r="AK18" i="5"/>
  <c r="AK20" i="17" s="1"/>
  <c r="AK10" i="5"/>
  <c r="AK12" i="17" s="1"/>
  <c r="AK13" i="5"/>
  <c r="AK15" i="17" s="1"/>
  <c r="AL8" i="5"/>
  <c r="AK17" i="5"/>
  <c r="AK19" i="17" s="1"/>
  <c r="AK9" i="5"/>
  <c r="AK19" i="5"/>
  <c r="AK21" i="17" s="1"/>
  <c r="AK11" i="5"/>
  <c r="AK13" i="17" s="1"/>
  <c r="AK20" i="5"/>
  <c r="AK22" i="17" s="1"/>
  <c r="AK12" i="5"/>
  <c r="AK14" i="17" s="1"/>
  <c r="AK14" i="5"/>
  <c r="AK16" i="17" s="1"/>
  <c r="AK16" i="5"/>
  <c r="AK18" i="17" s="1"/>
  <c r="AH23" i="15"/>
  <c r="AI23" i="15" s="1"/>
  <c r="AH18" i="18" l="1"/>
  <c r="AK11" i="17"/>
  <c r="AK22" i="5"/>
  <c r="AK46" i="10" s="1"/>
  <c r="AJ32" i="18"/>
  <c r="AI12" i="18"/>
  <c r="AJ31" i="18"/>
  <c r="AI11" i="18"/>
  <c r="AJ34" i="18"/>
  <c r="AI14" i="18"/>
  <c r="AK51" i="18"/>
  <c r="AL51" i="18" s="1"/>
  <c r="AK50" i="18"/>
  <c r="AJ36" i="18"/>
  <c r="AI16" i="18"/>
  <c r="AK53" i="18"/>
  <c r="AL18" i="5"/>
  <c r="AL20" i="17" s="1"/>
  <c r="AL10" i="5"/>
  <c r="AL12" i="17" s="1"/>
  <c r="AL13" i="5"/>
  <c r="AL15" i="17" s="1"/>
  <c r="AM8" i="5"/>
  <c r="AL16" i="5"/>
  <c r="AL18" i="17" s="1"/>
  <c r="AL20" i="5"/>
  <c r="AL22" i="17" s="1"/>
  <c r="AL12" i="5"/>
  <c r="AL14" i="17" s="1"/>
  <c r="AL17" i="5"/>
  <c r="AL19" i="17" s="1"/>
  <c r="AL9" i="5"/>
  <c r="AL11" i="5"/>
  <c r="AL13" i="17" s="1"/>
  <c r="AL19" i="5"/>
  <c r="AL21" i="17" s="1"/>
  <c r="AL14" i="5"/>
  <c r="AL16" i="17" s="1"/>
  <c r="AL15" i="5"/>
  <c r="AL17" i="17" s="1"/>
  <c r="AI35" i="18"/>
  <c r="AH15" i="18"/>
  <c r="AK54" i="18"/>
  <c r="AJ29" i="18"/>
  <c r="AI9" i="18"/>
  <c r="AK57" i="18"/>
  <c r="AL57" i="18" s="1"/>
  <c r="AK49" i="18"/>
  <c r="AL49" i="18" s="1"/>
  <c r="AK54" i="17"/>
  <c r="D34" i="13"/>
  <c r="D35" i="13"/>
  <c r="E33" i="13"/>
  <c r="D31" i="13"/>
  <c r="AK58" i="18"/>
  <c r="AL58" i="18" s="1"/>
  <c r="AK55" i="18"/>
  <c r="AL55" i="18" s="1"/>
  <c r="AI61" i="18"/>
  <c r="AJ48" i="18"/>
  <c r="AJ30" i="17"/>
  <c r="AJ43" i="17" s="1"/>
  <c r="AJ16" i="10" s="1"/>
  <c r="AK49" i="10" s="1"/>
  <c r="AJ22" i="15"/>
  <c r="AJ15" i="10" s="1"/>
  <c r="AI49" i="17"/>
  <c r="AK38" i="18"/>
  <c r="AK60" i="17"/>
  <c r="AK20" i="18" s="1"/>
  <c r="AK58" i="17"/>
  <c r="AI10" i="18"/>
  <c r="AJ30" i="18"/>
  <c r="AL56" i="18"/>
  <c r="AK16" i="15"/>
  <c r="AK37" i="17" s="1"/>
  <c r="AK56" i="17" s="1"/>
  <c r="AK19" i="15"/>
  <c r="AK40" i="17" s="1"/>
  <c r="AK59" i="17" s="1"/>
  <c r="AK19" i="18" s="1"/>
  <c r="AK9" i="15"/>
  <c r="AK17" i="15"/>
  <c r="AK38" i="17" s="1"/>
  <c r="AK57" i="17" s="1"/>
  <c r="AK17" i="18" s="1"/>
  <c r="AK12" i="15"/>
  <c r="AK33" i="17" s="1"/>
  <c r="AK13" i="15"/>
  <c r="AK34" i="17" s="1"/>
  <c r="AK53" i="17" s="1"/>
  <c r="AK18" i="15"/>
  <c r="AK39" i="17" s="1"/>
  <c r="AK14" i="15"/>
  <c r="AK35" i="17" s="1"/>
  <c r="AK10" i="15"/>
  <c r="AK31" i="17" s="1"/>
  <c r="AK50" i="17" s="1"/>
  <c r="AL8" i="15"/>
  <c r="AK15" i="15"/>
  <c r="AK36" i="17" s="1"/>
  <c r="AK55" i="17" s="1"/>
  <c r="AK11" i="15"/>
  <c r="AK32" i="17" s="1"/>
  <c r="AK51" i="17" s="1"/>
  <c r="AK20" i="15"/>
  <c r="AK41" i="17" s="1"/>
  <c r="AK59" i="18"/>
  <c r="AK52" i="17"/>
  <c r="AJ49" i="17"/>
  <c r="AK40" i="18"/>
  <c r="AI13" i="18"/>
  <c r="AJ33" i="18"/>
  <c r="AJ35" i="18" l="1"/>
  <c r="AI15" i="18"/>
  <c r="AL53" i="18"/>
  <c r="AL50" i="18"/>
  <c r="AM50" i="18" s="1"/>
  <c r="AK39" i="18"/>
  <c r="AK37" i="18"/>
  <c r="AK32" i="18"/>
  <c r="AJ12" i="18"/>
  <c r="AM13" i="5"/>
  <c r="AM15" i="17" s="1"/>
  <c r="AN8" i="5"/>
  <c r="AM16" i="5"/>
  <c r="AM18" i="17" s="1"/>
  <c r="AM19" i="5"/>
  <c r="AM21" i="17" s="1"/>
  <c r="AM11" i="5"/>
  <c r="AM13" i="17" s="1"/>
  <c r="AM15" i="5"/>
  <c r="AM17" i="17" s="1"/>
  <c r="AM18" i="5"/>
  <c r="AM20" i="17" s="1"/>
  <c r="AM10" i="5"/>
  <c r="AM12" i="17" s="1"/>
  <c r="AM20" i="5"/>
  <c r="AM22" i="17" s="1"/>
  <c r="AM12" i="5"/>
  <c r="AM14" i="17" s="1"/>
  <c r="AM14" i="5"/>
  <c r="AM16" i="17" s="1"/>
  <c r="AM17" i="5"/>
  <c r="AM19" i="17" s="1"/>
  <c r="AM9" i="5"/>
  <c r="AL52" i="18"/>
  <c r="AM52" i="18" s="1"/>
  <c r="AK49" i="17"/>
  <c r="AL19" i="15"/>
  <c r="AL40" i="17" s="1"/>
  <c r="AL14" i="15"/>
  <c r="AL35" i="17" s="1"/>
  <c r="AL54" i="17" s="1"/>
  <c r="AL17" i="15"/>
  <c r="AL38" i="17" s="1"/>
  <c r="AL12" i="15"/>
  <c r="AL33" i="17" s="1"/>
  <c r="AL13" i="15"/>
  <c r="AL34" i="17" s="1"/>
  <c r="AL53" i="17" s="1"/>
  <c r="AL18" i="15"/>
  <c r="AL39" i="17" s="1"/>
  <c r="AL58" i="17" s="1"/>
  <c r="AL10" i="15"/>
  <c r="AL31" i="17" s="1"/>
  <c r="AM8" i="15"/>
  <c r="AL15" i="15"/>
  <c r="AL36" i="17" s="1"/>
  <c r="AL55" i="17" s="1"/>
  <c r="AL20" i="15"/>
  <c r="AL41" i="17" s="1"/>
  <c r="AL60" i="17" s="1"/>
  <c r="AL20" i="18" s="1"/>
  <c r="AL11" i="15"/>
  <c r="AL32" i="17" s="1"/>
  <c r="AL51" i="17" s="1"/>
  <c r="AL16" i="15"/>
  <c r="AL37" i="17" s="1"/>
  <c r="AL56" i="17" s="1"/>
  <c r="AL9" i="15"/>
  <c r="AM58" i="18"/>
  <c r="AL59" i="17"/>
  <c r="AL19" i="18" s="1"/>
  <c r="AJ42" i="18"/>
  <c r="AK29" i="18"/>
  <c r="AJ9" i="18"/>
  <c r="AL11" i="17"/>
  <c r="AL22" i="5"/>
  <c r="AL46" i="10" s="1"/>
  <c r="AK34" i="18"/>
  <c r="AJ14" i="18"/>
  <c r="AM56" i="18"/>
  <c r="AL59" i="18"/>
  <c r="AM59" i="18" s="1"/>
  <c r="AK30" i="18"/>
  <c r="AJ10" i="18"/>
  <c r="AK23" i="5"/>
  <c r="AL23" i="5" s="1"/>
  <c r="D33" i="16"/>
  <c r="D34" i="16" s="1"/>
  <c r="D32" i="14"/>
  <c r="AL54" i="18"/>
  <c r="AM54" i="18" s="1"/>
  <c r="AL57" i="17"/>
  <c r="AL17" i="18" s="1"/>
  <c r="AK36" i="18"/>
  <c r="AJ16" i="18"/>
  <c r="AJ13" i="18"/>
  <c r="AK33" i="18"/>
  <c r="AK22" i="15"/>
  <c r="AK15" i="10" s="1"/>
  <c r="AK30" i="17"/>
  <c r="AK43" i="17" s="1"/>
  <c r="AK16" i="10" s="1"/>
  <c r="AL49" i="10" s="1"/>
  <c r="AI42" i="18"/>
  <c r="AL50" i="17"/>
  <c r="D31" i="14"/>
  <c r="D33" i="14" s="1"/>
  <c r="D17" i="14"/>
  <c r="D18" i="14" s="1"/>
  <c r="D36" i="13"/>
  <c r="D27" i="16"/>
  <c r="AJ61" i="18"/>
  <c r="AK48" i="18"/>
  <c r="AL52" i="17"/>
  <c r="AJ23" i="15"/>
  <c r="AK23" i="15" s="1"/>
  <c r="AK31" i="18"/>
  <c r="AJ11" i="18"/>
  <c r="AL33" i="18" l="1"/>
  <c r="AK13" i="18"/>
  <c r="AL30" i="17"/>
  <c r="AL43" i="17" s="1"/>
  <c r="AL22" i="15"/>
  <c r="AL15" i="10" s="1"/>
  <c r="AN16" i="5"/>
  <c r="AN18" i="17" s="1"/>
  <c r="AN19" i="5"/>
  <c r="AN21" i="17" s="1"/>
  <c r="AN11" i="5"/>
  <c r="AN13" i="17" s="1"/>
  <c r="AN14" i="5"/>
  <c r="AN16" i="17" s="1"/>
  <c r="AN18" i="5"/>
  <c r="AN20" i="17" s="1"/>
  <c r="AN10" i="5"/>
  <c r="AN12" i="17" s="1"/>
  <c r="AN12" i="5"/>
  <c r="AN14" i="17" s="1"/>
  <c r="AN20" i="5"/>
  <c r="AN22" i="17" s="1"/>
  <c r="AN13" i="5"/>
  <c r="AN15" i="17" s="1"/>
  <c r="AN17" i="5"/>
  <c r="AN19" i="17" s="1"/>
  <c r="AN15" i="5"/>
  <c r="AN17" i="17" s="1"/>
  <c r="AN9" i="5"/>
  <c r="AO8" i="5"/>
  <c r="AM49" i="18"/>
  <c r="AM51" i="18"/>
  <c r="AN51" i="18" s="1"/>
  <c r="AK11" i="18"/>
  <c r="AL31" i="18"/>
  <c r="D35" i="14"/>
  <c r="D37" i="14" s="1"/>
  <c r="E36" i="14" s="1"/>
  <c r="AL30" i="18"/>
  <c r="AK10" i="18"/>
  <c r="AN52" i="18"/>
  <c r="AM55" i="18"/>
  <c r="AN55" i="18" s="1"/>
  <c r="AL23" i="15"/>
  <c r="AN59" i="18"/>
  <c r="AN50" i="18"/>
  <c r="AM58" i="17"/>
  <c r="AL32" i="18"/>
  <c r="AK12" i="18"/>
  <c r="AM53" i="18"/>
  <c r="AL36" i="18"/>
  <c r="AK16" i="18"/>
  <c r="AL29" i="18"/>
  <c r="AK9" i="18"/>
  <c r="AI18" i="18"/>
  <c r="AK61" i="18"/>
  <c r="AL48" i="18"/>
  <c r="AM55" i="17"/>
  <c r="AL37" i="18"/>
  <c r="AJ18" i="18"/>
  <c r="AL38" i="18"/>
  <c r="AL34" i="18"/>
  <c r="AK14" i="18"/>
  <c r="AL40" i="18"/>
  <c r="AM14" i="15"/>
  <c r="AM35" i="17" s="1"/>
  <c r="AM54" i="17" s="1"/>
  <c r="AM17" i="15"/>
  <c r="AM38" i="17" s="1"/>
  <c r="AM13" i="15"/>
  <c r="AM34" i="17" s="1"/>
  <c r="AM53" i="17" s="1"/>
  <c r="AM18" i="15"/>
  <c r="AM39" i="17" s="1"/>
  <c r="AM10" i="15"/>
  <c r="AM31" i="17" s="1"/>
  <c r="AM50" i="17" s="1"/>
  <c r="AN8" i="15"/>
  <c r="AM15" i="15"/>
  <c r="AM36" i="17" s="1"/>
  <c r="AM20" i="15"/>
  <c r="AM41" i="17" s="1"/>
  <c r="AM60" i="17" s="1"/>
  <c r="AM20" i="18" s="1"/>
  <c r="AM19" i="15"/>
  <c r="AM40" i="17" s="1"/>
  <c r="AM11" i="15"/>
  <c r="AM32" i="17" s="1"/>
  <c r="AM12" i="15"/>
  <c r="AM33" i="17" s="1"/>
  <c r="AM52" i="17" s="1"/>
  <c r="AM16" i="15"/>
  <c r="AM37" i="17" s="1"/>
  <c r="AM56" i="17" s="1"/>
  <c r="AM9" i="15"/>
  <c r="AM11" i="17"/>
  <c r="AM22" i="5"/>
  <c r="AM51" i="17"/>
  <c r="AL39" i="18"/>
  <c r="AM39" i="18" s="1"/>
  <c r="D28" i="16"/>
  <c r="D35" i="16" s="1"/>
  <c r="AM57" i="18"/>
  <c r="AN57" i="18" s="1"/>
  <c r="AM57" i="17"/>
  <c r="AM17" i="18" s="1"/>
  <c r="AM59" i="17"/>
  <c r="AM19" i="18" s="1"/>
  <c r="AK35" i="18"/>
  <c r="AJ15" i="18"/>
  <c r="AM32" i="18" l="1"/>
  <c r="AL12" i="18"/>
  <c r="AN49" i="18"/>
  <c r="E32" i="16"/>
  <c r="AL16" i="10"/>
  <c r="AM49" i="10" s="1"/>
  <c r="AN50" i="17"/>
  <c r="AO19" i="5"/>
  <c r="AO21" i="17" s="1"/>
  <c r="AO11" i="5"/>
  <c r="AO13" i="17" s="1"/>
  <c r="AO14" i="5"/>
  <c r="AO16" i="17" s="1"/>
  <c r="AO17" i="5"/>
  <c r="AO19" i="17" s="1"/>
  <c r="AO9" i="5"/>
  <c r="AO13" i="5"/>
  <c r="AO15" i="17" s="1"/>
  <c r="AP8" i="5"/>
  <c r="AO18" i="5"/>
  <c r="AO20" i="17" s="1"/>
  <c r="AO10" i="5"/>
  <c r="AO12" i="17" s="1"/>
  <c r="AO20" i="5"/>
  <c r="AO22" i="17" s="1"/>
  <c r="AO12" i="5"/>
  <c r="AO14" i="17" s="1"/>
  <c r="AO15" i="5"/>
  <c r="AO17" i="17" s="1"/>
  <c r="AO16" i="5"/>
  <c r="AO18" i="17" s="1"/>
  <c r="AL49" i="17"/>
  <c r="AL35" i="18"/>
  <c r="AK15" i="18"/>
  <c r="AM37" i="18"/>
  <c r="AL9" i="18"/>
  <c r="AM29" i="18"/>
  <c r="AO50" i="18"/>
  <c r="AN11" i="17"/>
  <c r="AN22" i="5"/>
  <c r="AN46" i="10" s="1"/>
  <c r="AK42" i="18"/>
  <c r="AM30" i="18"/>
  <c r="AL10" i="18"/>
  <c r="AN55" i="17"/>
  <c r="AN51" i="17"/>
  <c r="AM46" i="10"/>
  <c r="AM23" i="5"/>
  <c r="AN23" i="5" s="1"/>
  <c r="AN59" i="17"/>
  <c r="AN19" i="18" s="1"/>
  <c r="AN58" i="18"/>
  <c r="AO58" i="18" s="1"/>
  <c r="AN17" i="15"/>
  <c r="AN38" i="17" s="1"/>
  <c r="AN57" i="17" s="1"/>
  <c r="AN17" i="18" s="1"/>
  <c r="AN20" i="15"/>
  <c r="AN41" i="17" s="1"/>
  <c r="AN60" i="17" s="1"/>
  <c r="AN20" i="18" s="1"/>
  <c r="AN18" i="15"/>
  <c r="AN39" i="17" s="1"/>
  <c r="AN58" i="17" s="1"/>
  <c r="AN10" i="15"/>
  <c r="AN31" i="17" s="1"/>
  <c r="AO8" i="15"/>
  <c r="AN15" i="15"/>
  <c r="AN36" i="17" s="1"/>
  <c r="AN14" i="15"/>
  <c r="AN35" i="17" s="1"/>
  <c r="AN54" i="17" s="1"/>
  <c r="AN19" i="15"/>
  <c r="AN40" i="17" s="1"/>
  <c r="AN11" i="15"/>
  <c r="AN32" i="17" s="1"/>
  <c r="AN16" i="15"/>
  <c r="AN37" i="17" s="1"/>
  <c r="AN56" i="17" s="1"/>
  <c r="AN9" i="15"/>
  <c r="AN13" i="15"/>
  <c r="AN34" i="17" s="1"/>
  <c r="AN53" i="17" s="1"/>
  <c r="AN12" i="15"/>
  <c r="AN33" i="17" s="1"/>
  <c r="AM34" i="18"/>
  <c r="AL14" i="18"/>
  <c r="AM36" i="18"/>
  <c r="AL16" i="18"/>
  <c r="E11" i="7"/>
  <c r="E18" i="7"/>
  <c r="E17" i="7"/>
  <c r="E9" i="7"/>
  <c r="E14" i="7"/>
  <c r="AL11" i="18"/>
  <c r="AM31" i="18"/>
  <c r="AN54" i="18"/>
  <c r="AO54" i="18" s="1"/>
  <c r="AN56" i="18"/>
  <c r="AO56" i="18" s="1"/>
  <c r="AN53" i="18"/>
  <c r="AO53" i="18" s="1"/>
  <c r="AM40" i="18"/>
  <c r="AL61" i="18"/>
  <c r="E31" i="16" s="1"/>
  <c r="AM48" i="18"/>
  <c r="AO59" i="18"/>
  <c r="AM49" i="17"/>
  <c r="AO57" i="18"/>
  <c r="AM30" i="17"/>
  <c r="AM43" i="17" s="1"/>
  <c r="AM16" i="10" s="1"/>
  <c r="AN49" i="10" s="1"/>
  <c r="AM22" i="15"/>
  <c r="AM38" i="18"/>
  <c r="AO51" i="18"/>
  <c r="AN52" i="17"/>
  <c r="AM33" i="18"/>
  <c r="AL13" i="18"/>
  <c r="AO59" i="17" l="1"/>
  <c r="AO19" i="18" s="1"/>
  <c r="AP53" i="18"/>
  <c r="AN9" i="7"/>
  <c r="AM9" i="7"/>
  <c r="AL9" i="7"/>
  <c r="E29" i="7"/>
  <c r="E15" i="13" s="1"/>
  <c r="AH9" i="7"/>
  <c r="AI9" i="7"/>
  <c r="AR9" i="7"/>
  <c r="AQ9" i="7"/>
  <c r="AP9" i="7"/>
  <c r="AK9" i="7"/>
  <c r="AG9" i="7"/>
  <c r="AJ9" i="7"/>
  <c r="AO9" i="7"/>
  <c r="AN49" i="17"/>
  <c r="AM35" i="18"/>
  <c r="AL15" i="18"/>
  <c r="AO52" i="18"/>
  <c r="AP52" i="18" s="1"/>
  <c r="AP14" i="5"/>
  <c r="AP16" i="17" s="1"/>
  <c r="AP17" i="5"/>
  <c r="AP19" i="17" s="1"/>
  <c r="AP9" i="5"/>
  <c r="AP20" i="5"/>
  <c r="AP22" i="17" s="1"/>
  <c r="AP12" i="5"/>
  <c r="AP14" i="17" s="1"/>
  <c r="AP16" i="5"/>
  <c r="AP18" i="17" s="1"/>
  <c r="AP19" i="5"/>
  <c r="AP21" i="17" s="1"/>
  <c r="AP11" i="5"/>
  <c r="AP13" i="17" s="1"/>
  <c r="AP13" i="5"/>
  <c r="AP15" i="17" s="1"/>
  <c r="AP15" i="5"/>
  <c r="AP17" i="17" s="1"/>
  <c r="AQ8" i="5"/>
  <c r="AP18" i="5"/>
  <c r="AP20" i="17" s="1"/>
  <c r="AP10" i="5"/>
  <c r="AP12" i="17" s="1"/>
  <c r="AN33" i="18"/>
  <c r="AM13" i="18"/>
  <c r="AM9" i="18"/>
  <c r="AN29" i="18"/>
  <c r="AO53" i="17"/>
  <c r="AO20" i="15"/>
  <c r="AO41" i="17" s="1"/>
  <c r="AO15" i="15"/>
  <c r="AO36" i="17" s="1"/>
  <c r="AO55" i="17" s="1"/>
  <c r="AP8" i="15"/>
  <c r="AO14" i="15"/>
  <c r="AO35" i="17" s="1"/>
  <c r="AO19" i="15"/>
  <c r="AO40" i="17" s="1"/>
  <c r="AO11" i="15"/>
  <c r="AO32" i="17" s="1"/>
  <c r="AO16" i="15"/>
  <c r="AO37" i="17" s="1"/>
  <c r="AO9" i="15"/>
  <c r="AO12" i="15"/>
  <c r="AO33" i="17" s="1"/>
  <c r="AO52" i="17" s="1"/>
  <c r="AO18" i="15"/>
  <c r="AO39" i="17" s="1"/>
  <c r="AO58" i="17" s="1"/>
  <c r="AO17" i="15"/>
  <c r="AO38" i="17" s="1"/>
  <c r="AO10" i="15"/>
  <c r="AO31" i="17" s="1"/>
  <c r="AO50" i="17" s="1"/>
  <c r="AO13" i="15"/>
  <c r="AO34" i="17" s="1"/>
  <c r="AN17" i="7"/>
  <c r="AM17" i="7"/>
  <c r="AL17" i="7"/>
  <c r="AK17" i="7"/>
  <c r="AO17" i="7"/>
  <c r="AJ17" i="7"/>
  <c r="AI17" i="7"/>
  <c r="AH17" i="7"/>
  <c r="AQ17" i="7"/>
  <c r="AR17" i="7"/>
  <c r="AP17" i="7"/>
  <c r="AG17" i="7"/>
  <c r="AP54" i="18"/>
  <c r="AM18" i="7"/>
  <c r="AL18" i="7"/>
  <c r="AK18" i="7"/>
  <c r="AJ18" i="7"/>
  <c r="AI18" i="7"/>
  <c r="AN18" i="7"/>
  <c r="AR18" i="7"/>
  <c r="AQ18" i="7"/>
  <c r="AP18" i="7"/>
  <c r="AH18" i="7"/>
  <c r="AO18" i="7"/>
  <c r="AG18" i="7"/>
  <c r="AN30" i="17"/>
  <c r="AN43" i="17" s="1"/>
  <c r="AN16" i="10" s="1"/>
  <c r="AO49" i="10" s="1"/>
  <c r="AN22" i="15"/>
  <c r="AN15" i="10" s="1"/>
  <c r="AP51" i="18"/>
  <c r="AM61" i="18"/>
  <c r="AN48" i="18"/>
  <c r="AO56" i="17"/>
  <c r="AO11" i="17"/>
  <c r="AO22" i="5"/>
  <c r="AO46" i="10" s="1"/>
  <c r="AP56" i="18"/>
  <c r="AP59" i="18"/>
  <c r="AM23" i="15"/>
  <c r="AN23" i="15" s="1"/>
  <c r="AM15" i="10"/>
  <c r="AN40" i="18"/>
  <c r="AO40" i="18" s="1"/>
  <c r="AN31" i="18"/>
  <c r="AM11" i="18"/>
  <c r="AN36" i="18"/>
  <c r="AM16" i="18"/>
  <c r="AP58" i="18"/>
  <c r="AN30" i="18"/>
  <c r="AM10" i="18"/>
  <c r="AL42" i="18"/>
  <c r="AO57" i="17"/>
  <c r="AO17" i="18" s="1"/>
  <c r="AO49" i="18"/>
  <c r="AK18" i="18"/>
  <c r="AN37" i="18"/>
  <c r="AO37" i="18" s="1"/>
  <c r="AO54" i="17"/>
  <c r="AL11" i="7"/>
  <c r="AK11" i="7"/>
  <c r="AR11" i="7"/>
  <c r="AJ11" i="7"/>
  <c r="AQ11" i="7"/>
  <c r="AG11" i="7"/>
  <c r="AI11" i="7"/>
  <c r="AH11" i="7"/>
  <c r="AP11" i="7"/>
  <c r="AN11" i="7"/>
  <c r="AO11" i="7"/>
  <c r="AM11" i="7"/>
  <c r="AN38" i="18"/>
  <c r="AP57" i="18"/>
  <c r="AO55" i="18"/>
  <c r="AP55" i="18" s="1"/>
  <c r="AQ14" i="7"/>
  <c r="AI14" i="7"/>
  <c r="AP14" i="7"/>
  <c r="AH14" i="7"/>
  <c r="AO14" i="7"/>
  <c r="AG14" i="7"/>
  <c r="AN14" i="7"/>
  <c r="AR14" i="7"/>
  <c r="AM14" i="7"/>
  <c r="AK14" i="7"/>
  <c r="AL14" i="7"/>
  <c r="AJ14" i="7"/>
  <c r="AM14" i="18"/>
  <c r="AN34" i="18"/>
  <c r="AN39" i="18"/>
  <c r="AO39" i="18" s="1"/>
  <c r="AO60" i="17"/>
  <c r="AO20" i="18" s="1"/>
  <c r="AO51" i="17"/>
  <c r="AN32" i="18"/>
  <c r="AM12" i="18"/>
  <c r="AO30" i="18" l="1"/>
  <c r="AN10" i="18"/>
  <c r="AL18" i="18"/>
  <c r="E17" i="16"/>
  <c r="AG29" i="7"/>
  <c r="AL29" i="7"/>
  <c r="AN61" i="18"/>
  <c r="AO48" i="18"/>
  <c r="AP15" i="15"/>
  <c r="AP36" i="17" s="1"/>
  <c r="AP18" i="15"/>
  <c r="AP39" i="17" s="1"/>
  <c r="AP58" i="17" s="1"/>
  <c r="AP14" i="15"/>
  <c r="AP35" i="17" s="1"/>
  <c r="AP19" i="15"/>
  <c r="AP40" i="17" s="1"/>
  <c r="AP59" i="17" s="1"/>
  <c r="AP19" i="18" s="1"/>
  <c r="AP11" i="15"/>
  <c r="AP32" i="17" s="1"/>
  <c r="AP20" i="15"/>
  <c r="AP41" i="17" s="1"/>
  <c r="AP60" i="17" s="1"/>
  <c r="AP20" i="18" s="1"/>
  <c r="AP16" i="15"/>
  <c r="AP37" i="17" s="1"/>
  <c r="AP9" i="15"/>
  <c r="AP12" i="15"/>
  <c r="AP33" i="17" s="1"/>
  <c r="AP13" i="15"/>
  <c r="AP34" i="17" s="1"/>
  <c r="AP53" i="17" s="1"/>
  <c r="AQ8" i="15"/>
  <c r="AP17" i="15"/>
  <c r="AP38" i="17" s="1"/>
  <c r="AP10" i="15"/>
  <c r="AP31" i="17" s="1"/>
  <c r="AP50" i="17" s="1"/>
  <c r="AO33" i="18"/>
  <c r="AN13" i="18"/>
  <c r="AP56" i="17"/>
  <c r="AK29" i="7"/>
  <c r="AM29" i="7"/>
  <c r="AP52" i="17"/>
  <c r="AP29" i="7"/>
  <c r="AN29" i="7"/>
  <c r="AM15" i="18"/>
  <c r="AN35" i="18"/>
  <c r="AQ29" i="7"/>
  <c r="AQ53" i="18"/>
  <c r="AP11" i="17"/>
  <c r="AP22" i="5"/>
  <c r="AP46" i="10" s="1"/>
  <c r="AR29" i="7"/>
  <c r="AN9" i="18"/>
  <c r="AO29" i="18"/>
  <c r="AP55" i="17"/>
  <c r="AP57" i="17"/>
  <c r="AP17" i="18" s="1"/>
  <c r="AI29" i="7"/>
  <c r="AO34" i="18"/>
  <c r="AN14" i="18"/>
  <c r="AO38" i="18"/>
  <c r="AP38" i="18" s="1"/>
  <c r="AQ58" i="18"/>
  <c r="AQ59" i="18"/>
  <c r="AO30" i="17"/>
  <c r="AO43" i="17" s="1"/>
  <c r="AO16" i="10" s="1"/>
  <c r="AP49" i="10" s="1"/>
  <c r="AO22" i="15"/>
  <c r="AO15" i="10" s="1"/>
  <c r="AP54" i="17"/>
  <c r="AO29" i="7"/>
  <c r="AH29" i="7"/>
  <c r="AQ17" i="5"/>
  <c r="AQ19" i="17" s="1"/>
  <c r="AQ9" i="5"/>
  <c r="AQ20" i="5"/>
  <c r="AQ22" i="17" s="1"/>
  <c r="AQ12" i="5"/>
  <c r="AQ14" i="17" s="1"/>
  <c r="AQ15" i="5"/>
  <c r="AQ17" i="17" s="1"/>
  <c r="AQ19" i="5"/>
  <c r="AQ21" i="17" s="1"/>
  <c r="AQ11" i="5"/>
  <c r="AQ13" i="17" s="1"/>
  <c r="AQ13" i="5"/>
  <c r="AQ15" i="17" s="1"/>
  <c r="AR8" i="5"/>
  <c r="AQ14" i="5"/>
  <c r="AQ16" i="17" s="1"/>
  <c r="AQ16" i="5"/>
  <c r="AQ18" i="17" s="1"/>
  <c r="AQ18" i="5"/>
  <c r="AQ20" i="17" s="1"/>
  <c r="AQ10" i="5"/>
  <c r="AQ12" i="17" s="1"/>
  <c r="AP49" i="18"/>
  <c r="AN16" i="18"/>
  <c r="AO36" i="18"/>
  <c r="AN12" i="18"/>
  <c r="AO32" i="18"/>
  <c r="AO31" i="18"/>
  <c r="AN11" i="18"/>
  <c r="AM42" i="18"/>
  <c r="AP51" i="17"/>
  <c r="AP50" i="18"/>
  <c r="AQ50" i="18" s="1"/>
  <c r="AJ29" i="7"/>
  <c r="E16" i="13"/>
  <c r="AO23" i="5"/>
  <c r="AQ55" i="18" l="1"/>
  <c r="AB24" i="17"/>
  <c r="AB47" i="10"/>
  <c r="AK24" i="17"/>
  <c r="AK47" i="10"/>
  <c r="AP39" i="18"/>
  <c r="AQ39" i="18" s="1"/>
  <c r="E13" i="19"/>
  <c r="E14" i="19" s="1"/>
  <c r="E17" i="13"/>
  <c r="AD24" i="17"/>
  <c r="AD47" i="10"/>
  <c r="AH24" i="17"/>
  <c r="AH47" i="10"/>
  <c r="AP33" i="18"/>
  <c r="AO13" i="18"/>
  <c r="AP36" i="18"/>
  <c r="AO16" i="18"/>
  <c r="AR59" i="18"/>
  <c r="AJ24" i="17"/>
  <c r="AJ47" i="10"/>
  <c r="AP29" i="18"/>
  <c r="AM18" i="18"/>
  <c r="AQ49" i="18"/>
  <c r="AR49" i="18" s="1"/>
  <c r="AI24" i="17"/>
  <c r="AI47" i="10"/>
  <c r="AQ38" i="18"/>
  <c r="AO35" i="18"/>
  <c r="AN15" i="18"/>
  <c r="AQ18" i="15"/>
  <c r="AQ39" i="17" s="1"/>
  <c r="AQ13" i="15"/>
  <c r="AQ34" i="17" s="1"/>
  <c r="AQ53" i="17" s="1"/>
  <c r="AQ19" i="15"/>
  <c r="AQ40" i="17" s="1"/>
  <c r="AQ59" i="17" s="1"/>
  <c r="AQ19" i="18" s="1"/>
  <c r="AQ11" i="15"/>
  <c r="AQ32" i="17" s="1"/>
  <c r="AQ51" i="17" s="1"/>
  <c r="AQ15" i="15"/>
  <c r="AQ36" i="17" s="1"/>
  <c r="AQ20" i="15"/>
  <c r="AQ41" i="17" s="1"/>
  <c r="AQ16" i="15"/>
  <c r="AQ37" i="17" s="1"/>
  <c r="AQ56" i="17" s="1"/>
  <c r="AQ9" i="15"/>
  <c r="AQ12" i="15"/>
  <c r="AQ33" i="17" s="1"/>
  <c r="AQ17" i="15"/>
  <c r="AQ38" i="17" s="1"/>
  <c r="AQ57" i="17" s="1"/>
  <c r="AQ17" i="18" s="1"/>
  <c r="AQ10" i="15"/>
  <c r="AQ31" i="17" s="1"/>
  <c r="AQ14" i="15"/>
  <c r="AQ35" i="17" s="1"/>
  <c r="AR8" i="15"/>
  <c r="AF24" i="17"/>
  <c r="AF47" i="10"/>
  <c r="AO23" i="15"/>
  <c r="AP23" i="15" s="1"/>
  <c r="AR20" i="5"/>
  <c r="AR22" i="17" s="1"/>
  <c r="AR12" i="5"/>
  <c r="AR14" i="17" s="1"/>
  <c r="AR15" i="5"/>
  <c r="AR17" i="17" s="1"/>
  <c r="AR18" i="5"/>
  <c r="AR20" i="17" s="1"/>
  <c r="AR10" i="5"/>
  <c r="AR12" i="17" s="1"/>
  <c r="AR14" i="5"/>
  <c r="AR16" i="17" s="1"/>
  <c r="AR19" i="5"/>
  <c r="AR21" i="17" s="1"/>
  <c r="AR11" i="5"/>
  <c r="AR13" i="17" s="1"/>
  <c r="AR13" i="5"/>
  <c r="AR15" i="17" s="1"/>
  <c r="AS8" i="5"/>
  <c r="AR16" i="5"/>
  <c r="AR18" i="17" s="1"/>
  <c r="AR17" i="5"/>
  <c r="AR19" i="17" s="1"/>
  <c r="AR9" i="5"/>
  <c r="AA47" i="10"/>
  <c r="AA24" i="17"/>
  <c r="AQ55" i="17"/>
  <c r="AN42" i="18"/>
  <c r="AG47" i="10"/>
  <c r="AG24" i="17"/>
  <c r="AP23" i="5"/>
  <c r="AQ23" i="5" s="1"/>
  <c r="AQ58" i="17"/>
  <c r="AQ52" i="17"/>
  <c r="AP34" i="18"/>
  <c r="AO14" i="18"/>
  <c r="AQ56" i="18"/>
  <c r="AE24" i="17"/>
  <c r="AE47" i="10"/>
  <c r="AQ52" i="18"/>
  <c r="AR52" i="18" s="1"/>
  <c r="AP30" i="18"/>
  <c r="AO10" i="18"/>
  <c r="AO49" i="17"/>
  <c r="AO9" i="18" s="1"/>
  <c r="AQ50" i="17"/>
  <c r="AO11" i="18"/>
  <c r="AP31" i="18"/>
  <c r="AQ60" i="17"/>
  <c r="AQ20" i="18" s="1"/>
  <c r="AQ54" i="18"/>
  <c r="AR54" i="18" s="1"/>
  <c r="AL24" i="17"/>
  <c r="AL47" i="10"/>
  <c r="AP30" i="17"/>
  <c r="AP43" i="17" s="1"/>
  <c r="AP16" i="10" s="1"/>
  <c r="AQ49" i="10" s="1"/>
  <c r="AP22" i="15"/>
  <c r="AP15" i="10" s="1"/>
  <c r="AO61" i="18"/>
  <c r="AP48" i="18"/>
  <c r="AP37" i="18"/>
  <c r="AQ37" i="18" s="1"/>
  <c r="AO12" i="18"/>
  <c r="AP32" i="18"/>
  <c r="AQ54" i="17"/>
  <c r="AQ11" i="17"/>
  <c r="AQ22" i="5"/>
  <c r="AQ46" i="10" s="1"/>
  <c r="AC24" i="17"/>
  <c r="AC47" i="10"/>
  <c r="AQ51" i="18"/>
  <c r="AR51" i="18" s="1"/>
  <c r="AP40" i="18"/>
  <c r="AQ40" i="18" s="1"/>
  <c r="AQ57" i="18"/>
  <c r="AR57" i="18" s="1"/>
  <c r="AP10" i="18" l="1"/>
  <c r="AQ30" i="18"/>
  <c r="AQ49" i="17"/>
  <c r="AR51" i="17"/>
  <c r="AQ23" i="15"/>
  <c r="AQ30" i="17"/>
  <c r="AQ43" i="17" s="1"/>
  <c r="AQ16" i="10" s="1"/>
  <c r="AR49" i="10" s="1"/>
  <c r="AQ22" i="15"/>
  <c r="AQ15" i="10" s="1"/>
  <c r="AR53" i="18"/>
  <c r="AP35" i="18"/>
  <c r="AO15" i="18"/>
  <c r="AH62" i="17"/>
  <c r="AH22" i="18" s="1"/>
  <c r="AH48" i="10"/>
  <c r="AI17" i="10" s="1"/>
  <c r="AI40" i="10" s="1"/>
  <c r="AR39" i="18"/>
  <c r="AR40" i="18"/>
  <c r="AQ34" i="18"/>
  <c r="AP14" i="18"/>
  <c r="AA62" i="17"/>
  <c r="AA22" i="18" s="1"/>
  <c r="AA48" i="10"/>
  <c r="AB17" i="10" s="1"/>
  <c r="AB40" i="10" s="1"/>
  <c r="AQ32" i="18"/>
  <c r="AP12" i="18"/>
  <c r="AL62" i="17"/>
  <c r="AL22" i="18" s="1"/>
  <c r="E10" i="14" s="1"/>
  <c r="E18" i="16"/>
  <c r="AL48" i="10"/>
  <c r="AM17" i="10" s="1"/>
  <c r="AM40" i="10" s="1"/>
  <c r="AF62" i="17"/>
  <c r="AF22" i="18" s="1"/>
  <c r="AF48" i="10"/>
  <c r="AG17" i="10" s="1"/>
  <c r="AG40" i="10" s="1"/>
  <c r="AP42" i="18"/>
  <c r="AQ29" i="18"/>
  <c r="AP49" i="17"/>
  <c r="AP9" i="18" s="1"/>
  <c r="AR11" i="17"/>
  <c r="AR22" i="5"/>
  <c r="AR46" i="10" s="1"/>
  <c r="AR13" i="15"/>
  <c r="AR34" i="17" s="1"/>
  <c r="AR53" i="17" s="1"/>
  <c r="AR16" i="15"/>
  <c r="AR37" i="17" s="1"/>
  <c r="AR20" i="15"/>
  <c r="AR41" i="17" s="1"/>
  <c r="AR15" i="15"/>
  <c r="AR36" i="17" s="1"/>
  <c r="AR9" i="15"/>
  <c r="AR12" i="15"/>
  <c r="AR33" i="17" s="1"/>
  <c r="AR52" i="17" s="1"/>
  <c r="AR17" i="15"/>
  <c r="AR38" i="17" s="1"/>
  <c r="AR57" i="17" s="1"/>
  <c r="AR17" i="18" s="1"/>
  <c r="AR10" i="15"/>
  <c r="AR31" i="17" s="1"/>
  <c r="AR50" i="17" s="1"/>
  <c r="AS8" i="15"/>
  <c r="AR19" i="15"/>
  <c r="AR40" i="17" s="1"/>
  <c r="AR59" i="17" s="1"/>
  <c r="AR19" i="18" s="1"/>
  <c r="AR11" i="15"/>
  <c r="AR32" i="17" s="1"/>
  <c r="AR18" i="15"/>
  <c r="AR39" i="17" s="1"/>
  <c r="AR58" i="17" s="1"/>
  <c r="AR14" i="15"/>
  <c r="AR35" i="17" s="1"/>
  <c r="AR54" i="17" s="1"/>
  <c r="AO42" i="18"/>
  <c r="AK62" i="17"/>
  <c r="AK22" i="18" s="1"/>
  <c r="AK48" i="10"/>
  <c r="AL17" i="10" s="1"/>
  <c r="AL40" i="10" s="1"/>
  <c r="AR23" i="5"/>
  <c r="AI62" i="17"/>
  <c r="AI22" i="18" s="1"/>
  <c r="AI48" i="10"/>
  <c r="AJ17" i="10" s="1"/>
  <c r="AJ40" i="10" s="1"/>
  <c r="AR58" i="18"/>
  <c r="AS58" i="18" s="1"/>
  <c r="AP16" i="18"/>
  <c r="AQ36" i="18"/>
  <c r="AC62" i="17"/>
  <c r="AC22" i="18" s="1"/>
  <c r="AC48" i="10"/>
  <c r="AD17" i="10" s="1"/>
  <c r="AD40" i="10" s="1"/>
  <c r="AP61" i="18"/>
  <c r="AQ48" i="18"/>
  <c r="AE69" i="10"/>
  <c r="AG62" i="17"/>
  <c r="AG22" i="18" s="1"/>
  <c r="AG48" i="10"/>
  <c r="AH17" i="10" s="1"/>
  <c r="AH40" i="10" s="1"/>
  <c r="AR56" i="17"/>
  <c r="AR55" i="17"/>
  <c r="AR50" i="18"/>
  <c r="AD62" i="17"/>
  <c r="AD22" i="18" s="1"/>
  <c r="AD48" i="10"/>
  <c r="AE17" i="10" s="1"/>
  <c r="AE40" i="10" s="1"/>
  <c r="AB62" i="17"/>
  <c r="AB22" i="18" s="1"/>
  <c r="AB48" i="10"/>
  <c r="AC17" i="10" s="1"/>
  <c r="AC40" i="10" s="1"/>
  <c r="AR55" i="18"/>
  <c r="AQ31" i="18"/>
  <c r="AP11" i="18"/>
  <c r="AE62" i="17"/>
  <c r="AE22" i="18" s="1"/>
  <c r="AE48" i="10"/>
  <c r="AF17" i="10" s="1"/>
  <c r="AF40" i="10" s="1"/>
  <c r="AS15" i="5"/>
  <c r="AS17" i="17" s="1"/>
  <c r="AS18" i="5"/>
  <c r="AS20" i="17" s="1"/>
  <c r="AS10" i="5"/>
  <c r="AS12" i="17" s="1"/>
  <c r="AS13" i="5"/>
  <c r="AS15" i="17" s="1"/>
  <c r="AT8" i="5"/>
  <c r="AS17" i="5"/>
  <c r="AS19" i="17" s="1"/>
  <c r="AS9" i="5"/>
  <c r="AS20" i="5"/>
  <c r="AS22" i="17" s="1"/>
  <c r="AS12" i="5"/>
  <c r="AS14" i="17" s="1"/>
  <c r="AS14" i="5"/>
  <c r="AS16" i="17" s="1"/>
  <c r="AS16" i="5"/>
  <c r="AS18" i="17" s="1"/>
  <c r="AS19" i="5"/>
  <c r="AS21" i="17" s="1"/>
  <c r="AS11" i="5"/>
  <c r="AS13" i="17" s="1"/>
  <c r="AR56" i="18"/>
  <c r="AN18" i="18"/>
  <c r="AR60" i="17"/>
  <c r="AR20" i="18" s="1"/>
  <c r="AJ62" i="17"/>
  <c r="AJ22" i="18" s="1"/>
  <c r="AJ48" i="10"/>
  <c r="AK17" i="10" s="1"/>
  <c r="AK40" i="10" s="1"/>
  <c r="AQ33" i="18"/>
  <c r="AP13" i="18"/>
  <c r="E19" i="13"/>
  <c r="AE51" i="10"/>
  <c r="AL51" i="10"/>
  <c r="AL69" i="10" s="1"/>
  <c r="AD51" i="10"/>
  <c r="AD69" i="10" s="1"/>
  <c r="AK51" i="10"/>
  <c r="AK69" i="10" s="1"/>
  <c r="AC51" i="10"/>
  <c r="AC69" i="10" s="1"/>
  <c r="AF51" i="10"/>
  <c r="AF69" i="10" s="1"/>
  <c r="AG51" i="10"/>
  <c r="AG69" i="10" s="1"/>
  <c r="AB51" i="10"/>
  <c r="AB69" i="10" s="1"/>
  <c r="AH51" i="10"/>
  <c r="AH69" i="10" s="1"/>
  <c r="AA51" i="10"/>
  <c r="AA69" i="10" s="1"/>
  <c r="AA71" i="10" s="1"/>
  <c r="AB10" i="10" s="1"/>
  <c r="AB71" i="10" s="1"/>
  <c r="AC10" i="10" s="1"/>
  <c r="AC71" i="10" s="1"/>
  <c r="AD10" i="10" s="1"/>
  <c r="AJ51" i="10"/>
  <c r="AJ69" i="10" s="1"/>
  <c r="AI51" i="10"/>
  <c r="AI69" i="10" s="1"/>
  <c r="AD71" i="10" l="1"/>
  <c r="AE10" i="10" s="1"/>
  <c r="AE71" i="10" s="1"/>
  <c r="AF10" i="10" s="1"/>
  <c r="AF71" i="10" s="1"/>
  <c r="AG10" i="10" s="1"/>
  <c r="AG71" i="10" s="1"/>
  <c r="AH10" i="10" s="1"/>
  <c r="AH71" i="10" s="1"/>
  <c r="AI10" i="10" s="1"/>
  <c r="AI71" i="10" s="1"/>
  <c r="AJ10" i="10" s="1"/>
  <c r="AJ71" i="10" s="1"/>
  <c r="AK10" i="10" s="1"/>
  <c r="AK71" i="10" s="1"/>
  <c r="AL10" i="10" s="1"/>
  <c r="AL71" i="10" s="1"/>
  <c r="AQ13" i="18"/>
  <c r="AR33" i="18"/>
  <c r="AS11" i="17"/>
  <c r="AS22" i="5"/>
  <c r="AS46" i="10" s="1"/>
  <c r="AR36" i="18"/>
  <c r="AQ16" i="18"/>
  <c r="AR29" i="18"/>
  <c r="AQ9" i="18"/>
  <c r="AR34" i="18"/>
  <c r="AQ14" i="18"/>
  <c r="AR23" i="15"/>
  <c r="AS16" i="15"/>
  <c r="AS37" i="17" s="1"/>
  <c r="AS19" i="15"/>
  <c r="AS40" i="17" s="1"/>
  <c r="AS9" i="15"/>
  <c r="AS20" i="15"/>
  <c r="AS41" i="17" s="1"/>
  <c r="AS60" i="17" s="1"/>
  <c r="AS20" i="18" s="1"/>
  <c r="AS12" i="15"/>
  <c r="AS33" i="17" s="1"/>
  <c r="AS17" i="15"/>
  <c r="AS38" i="17" s="1"/>
  <c r="AS57" i="17" s="1"/>
  <c r="AS17" i="18" s="1"/>
  <c r="AS10" i="15"/>
  <c r="AS31" i="17" s="1"/>
  <c r="AS13" i="15"/>
  <c r="AS34" i="17" s="1"/>
  <c r="AT8" i="15"/>
  <c r="AS18" i="15"/>
  <c r="AS39" i="17" s="1"/>
  <c r="AS14" i="15"/>
  <c r="AS35" i="17" s="1"/>
  <c r="AS15" i="15"/>
  <c r="AS36" i="17" s="1"/>
  <c r="AS11" i="15"/>
  <c r="AS32" i="17" s="1"/>
  <c r="AP18" i="18"/>
  <c r="AP15" i="18"/>
  <c r="AQ35" i="18"/>
  <c r="AR38" i="18"/>
  <c r="AS38" i="18" s="1"/>
  <c r="AS40" i="18"/>
  <c r="AS59" i="17"/>
  <c r="AS19" i="18" s="1"/>
  <c r="AS53" i="17"/>
  <c r="AS52" i="18"/>
  <c r="AQ61" i="18"/>
  <c r="AR48" i="18"/>
  <c r="AO18" i="18"/>
  <c r="AR32" i="18"/>
  <c r="AQ12" i="18"/>
  <c r="AS54" i="18"/>
  <c r="AS57" i="18"/>
  <c r="AS55" i="18"/>
  <c r="AS51" i="18"/>
  <c r="AS39" i="18"/>
  <c r="AR37" i="18"/>
  <c r="AS37" i="18" s="1"/>
  <c r="AS56" i="17"/>
  <c r="AS54" i="17"/>
  <c r="AS58" i="17"/>
  <c r="AS50" i="18"/>
  <c r="AR30" i="17"/>
  <c r="AR43" i="17" s="1"/>
  <c r="AR16" i="10" s="1"/>
  <c r="AS49" i="10" s="1"/>
  <c r="AR22" i="15"/>
  <c r="AR15" i="10" s="1"/>
  <c r="AS53" i="18"/>
  <c r="AS51" i="17"/>
  <c r="AT18" i="5"/>
  <c r="AT20" i="17" s="1"/>
  <c r="AT10" i="5"/>
  <c r="AT12" i="17" s="1"/>
  <c r="AT13" i="5"/>
  <c r="AT15" i="17" s="1"/>
  <c r="AU8" i="5"/>
  <c r="AT16" i="5"/>
  <c r="AT18" i="17" s="1"/>
  <c r="AT20" i="5"/>
  <c r="AT22" i="17" s="1"/>
  <c r="AT12" i="5"/>
  <c r="AT14" i="17" s="1"/>
  <c r="AT14" i="5"/>
  <c r="AT16" i="17" s="1"/>
  <c r="AT9" i="5"/>
  <c r="AT15" i="5"/>
  <c r="AT17" i="17" s="1"/>
  <c r="AT17" i="5"/>
  <c r="AT19" i="17" s="1"/>
  <c r="AT19" i="5"/>
  <c r="AT21" i="17" s="1"/>
  <c r="AT11" i="5"/>
  <c r="AT13" i="17" s="1"/>
  <c r="AQ11" i="18"/>
  <c r="AR31" i="18"/>
  <c r="AS50" i="17"/>
  <c r="F24" i="12"/>
  <c r="E22" i="13"/>
  <c r="AS23" i="5"/>
  <c r="AA23" i="18"/>
  <c r="AQ10" i="18"/>
  <c r="AR30" i="18"/>
  <c r="AS52" i="17"/>
  <c r="AS55" i="17"/>
  <c r="AS49" i="18"/>
  <c r="AT49" i="18" s="1"/>
  <c r="AS56" i="18"/>
  <c r="AT56" i="18" s="1"/>
  <c r="AS59" i="18"/>
  <c r="AT59" i="18" s="1"/>
  <c r="AT57" i="18" l="1"/>
  <c r="AT23" i="5"/>
  <c r="E26" i="13"/>
  <c r="E23" i="13"/>
  <c r="AT54" i="18"/>
  <c r="AT52" i="18"/>
  <c r="AS36" i="18"/>
  <c r="AR16" i="18"/>
  <c r="AR12" i="18"/>
  <c r="AS32" i="18"/>
  <c r="AS34" i="18"/>
  <c r="AR14" i="18"/>
  <c r="AT53" i="18"/>
  <c r="AR13" i="18"/>
  <c r="AS33" i="18"/>
  <c r="AS30" i="18"/>
  <c r="AR10" i="18"/>
  <c r="AS31" i="18"/>
  <c r="AR11" i="18"/>
  <c r="AT51" i="18"/>
  <c r="AS30" i="17"/>
  <c r="AS43" i="17" s="1"/>
  <c r="AS16" i="10" s="1"/>
  <c r="AT49" i="10" s="1"/>
  <c r="AS22" i="15"/>
  <c r="AS15" i="10" s="1"/>
  <c r="AT11" i="17"/>
  <c r="AT22" i="5"/>
  <c r="AT46" i="10" s="1"/>
  <c r="AT56" i="17"/>
  <c r="AR49" i="17"/>
  <c r="AR35" i="18"/>
  <c r="AQ15" i="18"/>
  <c r="AS29" i="18"/>
  <c r="AR9" i="18"/>
  <c r="AT58" i="18"/>
  <c r="AU13" i="5"/>
  <c r="AU15" i="17" s="1"/>
  <c r="AV8" i="5"/>
  <c r="AU16" i="5"/>
  <c r="AU18" i="17" s="1"/>
  <c r="AU19" i="5"/>
  <c r="AU21" i="17" s="1"/>
  <c r="AU11" i="5"/>
  <c r="AU13" i="17" s="1"/>
  <c r="AU15" i="5"/>
  <c r="AU17" i="17" s="1"/>
  <c r="AU14" i="5"/>
  <c r="AU16" i="17" s="1"/>
  <c r="AU17" i="5"/>
  <c r="AU19" i="17" s="1"/>
  <c r="AU9" i="5"/>
  <c r="AU18" i="5"/>
  <c r="AU20" i="17" s="1"/>
  <c r="AU10" i="5"/>
  <c r="AU12" i="17" s="1"/>
  <c r="AU20" i="5"/>
  <c r="AU22" i="17" s="1"/>
  <c r="AU12" i="5"/>
  <c r="AU14" i="17" s="1"/>
  <c r="AT50" i="18"/>
  <c r="AT55" i="18"/>
  <c r="AR61" i="18"/>
  <c r="AS48" i="18"/>
  <c r="AT19" i="15"/>
  <c r="AT40" i="17" s="1"/>
  <c r="AT59" i="17" s="1"/>
  <c r="AT19" i="18" s="1"/>
  <c r="AT14" i="15"/>
  <c r="AT35" i="17" s="1"/>
  <c r="AT54" i="17" s="1"/>
  <c r="AT20" i="15"/>
  <c r="AT41" i="17" s="1"/>
  <c r="AT60" i="17" s="1"/>
  <c r="AT20" i="18" s="1"/>
  <c r="AT12" i="15"/>
  <c r="AT33" i="17" s="1"/>
  <c r="AT52" i="17" s="1"/>
  <c r="AT16" i="15"/>
  <c r="AT37" i="17" s="1"/>
  <c r="AT17" i="15"/>
  <c r="AT38" i="17" s="1"/>
  <c r="AT57" i="17" s="1"/>
  <c r="AT17" i="18" s="1"/>
  <c r="AT10" i="15"/>
  <c r="AT31" i="17" s="1"/>
  <c r="AT50" i="17" s="1"/>
  <c r="AT13" i="15"/>
  <c r="AT34" i="17" s="1"/>
  <c r="AT53" i="17" s="1"/>
  <c r="AU8" i="15"/>
  <c r="AT18" i="15"/>
  <c r="AT39" i="17" s="1"/>
  <c r="AT58" i="17" s="1"/>
  <c r="AT11" i="15"/>
  <c r="AT32" i="17" s="1"/>
  <c r="AT51" i="17" s="1"/>
  <c r="AT9" i="15"/>
  <c r="AT15" i="15"/>
  <c r="AT36" i="17" s="1"/>
  <c r="AT55" i="17" s="1"/>
  <c r="AQ42" i="18"/>
  <c r="E19" i="16"/>
  <c r="E20" i="16" s="1"/>
  <c r="E21" i="16" s="1"/>
  <c r="AM10" i="10"/>
  <c r="AT29" i="18" l="1"/>
  <c r="AS9" i="18"/>
  <c r="AS42" i="18"/>
  <c r="AU58" i="17"/>
  <c r="AV16" i="5"/>
  <c r="AV18" i="17" s="1"/>
  <c r="AV19" i="5"/>
  <c r="AV21" i="17" s="1"/>
  <c r="AV11" i="5"/>
  <c r="AV13" i="17" s="1"/>
  <c r="AV14" i="5"/>
  <c r="AV16" i="17" s="1"/>
  <c r="AV18" i="5"/>
  <c r="AV20" i="17" s="1"/>
  <c r="AV10" i="5"/>
  <c r="AV12" i="17" s="1"/>
  <c r="AV13" i="5"/>
  <c r="AV15" i="17" s="1"/>
  <c r="AV17" i="5"/>
  <c r="AV19" i="17" s="1"/>
  <c r="AV15" i="5"/>
  <c r="AV17" i="17" s="1"/>
  <c r="AV9" i="5"/>
  <c r="AW8" i="5"/>
  <c r="AV20" i="5"/>
  <c r="AV22" i="17" s="1"/>
  <c r="AV12" i="5"/>
  <c r="AV14" i="17" s="1"/>
  <c r="AT30" i="18"/>
  <c r="AS10" i="18"/>
  <c r="AS49" i="17"/>
  <c r="E30" i="13"/>
  <c r="E27" i="13"/>
  <c r="AS35" i="18"/>
  <c r="AR15" i="18"/>
  <c r="AT38" i="18"/>
  <c r="AU38" i="18" s="1"/>
  <c r="AT33" i="18"/>
  <c r="AS13" i="18"/>
  <c r="AS16" i="18"/>
  <c r="AT36" i="18"/>
  <c r="AU49" i="18"/>
  <c r="AU14" i="15"/>
  <c r="AU35" i="17" s="1"/>
  <c r="AU54" i="17" s="1"/>
  <c r="AU17" i="15"/>
  <c r="AU38" i="17" s="1"/>
  <c r="AU16" i="15"/>
  <c r="AU37" i="17" s="1"/>
  <c r="AU56" i="17" s="1"/>
  <c r="AU10" i="15"/>
  <c r="AU31" i="17" s="1"/>
  <c r="AU50" i="17" s="1"/>
  <c r="AU13" i="15"/>
  <c r="AU34" i="17" s="1"/>
  <c r="AU53" i="17" s="1"/>
  <c r="AV8" i="15"/>
  <c r="AU18" i="15"/>
  <c r="AU39" i="17" s="1"/>
  <c r="AU11" i="15"/>
  <c r="AU32" i="17" s="1"/>
  <c r="AU15" i="15"/>
  <c r="AU36" i="17" s="1"/>
  <c r="AU20" i="15"/>
  <c r="AU41" i="17" s="1"/>
  <c r="AU60" i="17" s="1"/>
  <c r="AU20" i="18" s="1"/>
  <c r="AU12" i="15"/>
  <c r="AU33" i="17" s="1"/>
  <c r="AU52" i="17" s="1"/>
  <c r="AU19" i="15"/>
  <c r="AU40" i="17" s="1"/>
  <c r="AU59" i="17" s="1"/>
  <c r="AU19" i="18" s="1"/>
  <c r="AU9" i="15"/>
  <c r="AU57" i="17"/>
  <c r="AU17" i="18" s="1"/>
  <c r="AU51" i="18"/>
  <c r="AT34" i="18"/>
  <c r="AS14" i="18"/>
  <c r="AS23" i="15"/>
  <c r="AT23" i="15" s="1"/>
  <c r="AU55" i="18"/>
  <c r="AV55" i="18" s="1"/>
  <c r="AU59" i="18"/>
  <c r="AV59" i="18" s="1"/>
  <c r="AT40" i="18"/>
  <c r="AU40" i="18" s="1"/>
  <c r="AU52" i="18"/>
  <c r="AS61" i="18"/>
  <c r="AT48" i="18"/>
  <c r="AU11" i="17"/>
  <c r="AU22" i="5"/>
  <c r="AU46" i="10" s="1"/>
  <c r="AQ18" i="18"/>
  <c r="AS12" i="18"/>
  <c r="AT32" i="18"/>
  <c r="AU50" i="18"/>
  <c r="AV50" i="18" s="1"/>
  <c r="AU55" i="17"/>
  <c r="AU58" i="18"/>
  <c r="AV58" i="18" s="1"/>
  <c r="AT39" i="18"/>
  <c r="AU39" i="18" s="1"/>
  <c r="AU54" i="18"/>
  <c r="AV54" i="18" s="1"/>
  <c r="AU56" i="18"/>
  <c r="AT30" i="17"/>
  <c r="AT43" i="17" s="1"/>
  <c r="AT16" i="10" s="1"/>
  <c r="AU49" i="10" s="1"/>
  <c r="AT22" i="15"/>
  <c r="AT15" i="10" s="1"/>
  <c r="AU51" i="17"/>
  <c r="AR42" i="18"/>
  <c r="AU53" i="18"/>
  <c r="AV53" i="18" s="1"/>
  <c r="AT37" i="18"/>
  <c r="AU57" i="18"/>
  <c r="AT49" i="17"/>
  <c r="AT31" i="18"/>
  <c r="AS11" i="18"/>
  <c r="AV17" i="15" l="1"/>
  <c r="AV38" i="17" s="1"/>
  <c r="AV20" i="15"/>
  <c r="AV41" i="17" s="1"/>
  <c r="AV10" i="15"/>
  <c r="AV31" i="17" s="1"/>
  <c r="AV13" i="15"/>
  <c r="AV34" i="17" s="1"/>
  <c r="AV53" i="17" s="1"/>
  <c r="AW8" i="15"/>
  <c r="AV18" i="15"/>
  <c r="AV39" i="17" s="1"/>
  <c r="AV11" i="15"/>
  <c r="AV32" i="17" s="1"/>
  <c r="AV15" i="15"/>
  <c r="AV36" i="17" s="1"/>
  <c r="AV14" i="15"/>
  <c r="AV35" i="17" s="1"/>
  <c r="AV19" i="15"/>
  <c r="AV40" i="17" s="1"/>
  <c r="AV9" i="15"/>
  <c r="AV16" i="15"/>
  <c r="AV37" i="17" s="1"/>
  <c r="AV56" i="17" s="1"/>
  <c r="AV12" i="15"/>
  <c r="AV33" i="17" s="1"/>
  <c r="E34" i="13"/>
  <c r="E35" i="13"/>
  <c r="F33" i="13"/>
  <c r="E31" i="13"/>
  <c r="AV55" i="17"/>
  <c r="AV39" i="18"/>
  <c r="AW59" i="18"/>
  <c r="AU30" i="17"/>
  <c r="AU43" i="17" s="1"/>
  <c r="AU16" i="10" s="1"/>
  <c r="AV49" i="10" s="1"/>
  <c r="AU22" i="15"/>
  <c r="AU15" i="10" s="1"/>
  <c r="AV57" i="17"/>
  <c r="AV17" i="18" s="1"/>
  <c r="AU33" i="18"/>
  <c r="AT13" i="18"/>
  <c r="AV38" i="18"/>
  <c r="AU30" i="18"/>
  <c r="AT10" i="18"/>
  <c r="AV50" i="17"/>
  <c r="AS18" i="18"/>
  <c r="AV52" i="17"/>
  <c r="AV58" i="17"/>
  <c r="AV54" i="17"/>
  <c r="AT42" i="18"/>
  <c r="AU29" i="18"/>
  <c r="AT9" i="18"/>
  <c r="AW50" i="18"/>
  <c r="AT61" i="18"/>
  <c r="AU48" i="18"/>
  <c r="AU23" i="15"/>
  <c r="AT12" i="18"/>
  <c r="AU32" i="18"/>
  <c r="AU34" i="18"/>
  <c r="AT14" i="18"/>
  <c r="AV49" i="18"/>
  <c r="AW19" i="5"/>
  <c r="AW21" i="17" s="1"/>
  <c r="AW11" i="5"/>
  <c r="AW13" i="17" s="1"/>
  <c r="AW14" i="5"/>
  <c r="AW16" i="17" s="1"/>
  <c r="AW17" i="5"/>
  <c r="AW19" i="17" s="1"/>
  <c r="AW9" i="5"/>
  <c r="AW13" i="5"/>
  <c r="AW15" i="17" s="1"/>
  <c r="AX8" i="5"/>
  <c r="AW15" i="5"/>
  <c r="AW17" i="17" s="1"/>
  <c r="AW16" i="5"/>
  <c r="AW18" i="17" s="1"/>
  <c r="AW18" i="5"/>
  <c r="AW20" i="17" s="1"/>
  <c r="AW10" i="5"/>
  <c r="AW12" i="17" s="1"/>
  <c r="AW20" i="5"/>
  <c r="AW22" i="17" s="1"/>
  <c r="AW12" i="5"/>
  <c r="AW14" i="17" s="1"/>
  <c r="AV51" i="17"/>
  <c r="AU31" i="18"/>
  <c r="AT11" i="18"/>
  <c r="AR18" i="18"/>
  <c r="AW55" i="18"/>
  <c r="AT35" i="18"/>
  <c r="AS15" i="18"/>
  <c r="AV60" i="17"/>
  <c r="AV20" i="18" s="1"/>
  <c r="AV57" i="18"/>
  <c r="AU23" i="5"/>
  <c r="AU37" i="18"/>
  <c r="AV37" i="18" s="1"/>
  <c r="AV56" i="18"/>
  <c r="AW56" i="18" s="1"/>
  <c r="AV52" i="18"/>
  <c r="AW52" i="18" s="1"/>
  <c r="AV51" i="18"/>
  <c r="AU36" i="18"/>
  <c r="AT16" i="18"/>
  <c r="AV11" i="17"/>
  <c r="AV22" i="5"/>
  <c r="AV46" i="10" s="1"/>
  <c r="AV59" i="17"/>
  <c r="AV19" i="18" s="1"/>
  <c r="AW37" i="18" l="1"/>
  <c r="AU61" i="18"/>
  <c r="AV48" i="18"/>
  <c r="AV30" i="18"/>
  <c r="AU10" i="18"/>
  <c r="E33" i="16"/>
  <c r="E34" i="16" s="1"/>
  <c r="E32" i="14"/>
  <c r="AW38" i="18"/>
  <c r="AW20" i="15"/>
  <c r="AW41" i="17" s="1"/>
  <c r="AW15" i="15"/>
  <c r="AW36" i="17" s="1"/>
  <c r="AW55" i="17" s="1"/>
  <c r="AW19" i="15"/>
  <c r="AW40" i="17" s="1"/>
  <c r="AW59" i="17" s="1"/>
  <c r="AW19" i="18" s="1"/>
  <c r="AW13" i="15"/>
  <c r="AW34" i="17" s="1"/>
  <c r="AW53" i="17" s="1"/>
  <c r="AX8" i="15"/>
  <c r="AW18" i="15"/>
  <c r="AW39" i="17" s="1"/>
  <c r="AW58" i="17" s="1"/>
  <c r="AW17" i="15"/>
  <c r="AW38" i="17" s="1"/>
  <c r="AW11" i="15"/>
  <c r="AW32" i="17" s="1"/>
  <c r="AW51" i="17" s="1"/>
  <c r="AW14" i="15"/>
  <c r="AW35" i="17" s="1"/>
  <c r="AW9" i="15"/>
  <c r="AW12" i="15"/>
  <c r="AW33" i="17" s="1"/>
  <c r="AW10" i="15"/>
  <c r="AW31" i="17" s="1"/>
  <c r="AW50" i="17" s="1"/>
  <c r="AW16" i="15"/>
  <c r="AW37" i="17" s="1"/>
  <c r="AW56" i="17" s="1"/>
  <c r="AW39" i="18"/>
  <c r="AU14" i="18"/>
  <c r="AV34" i="18"/>
  <c r="AU49" i="17"/>
  <c r="AW58" i="18"/>
  <c r="AU13" i="18"/>
  <c r="AV33" i="18"/>
  <c r="AV30" i="17"/>
  <c r="AV43" i="17" s="1"/>
  <c r="AV16" i="10" s="1"/>
  <c r="AW49" i="10" s="1"/>
  <c r="AV22" i="15"/>
  <c r="AV15" i="10" s="1"/>
  <c r="AX14" i="5"/>
  <c r="AX16" i="17" s="1"/>
  <c r="AX17" i="5"/>
  <c r="AX19" i="17" s="1"/>
  <c r="AX9" i="5"/>
  <c r="AX20" i="5"/>
  <c r="AX22" i="17" s="1"/>
  <c r="AX12" i="5"/>
  <c r="AX14" i="17" s="1"/>
  <c r="AX16" i="5"/>
  <c r="AX18" i="17" s="1"/>
  <c r="AX15" i="5"/>
  <c r="AX17" i="17" s="1"/>
  <c r="AY8" i="5"/>
  <c r="AX18" i="5"/>
  <c r="AX20" i="17" s="1"/>
  <c r="AX10" i="5"/>
  <c r="AX12" i="17" s="1"/>
  <c r="AX19" i="5"/>
  <c r="AX21" i="17" s="1"/>
  <c r="AX11" i="5"/>
  <c r="AX13" i="17" s="1"/>
  <c r="AX13" i="5"/>
  <c r="AX15" i="17" s="1"/>
  <c r="AV36" i="18"/>
  <c r="AU16" i="18"/>
  <c r="AW54" i="17"/>
  <c r="AV29" i="18"/>
  <c r="AU9" i="18"/>
  <c r="AV23" i="5"/>
  <c r="AW23" i="5" s="1"/>
  <c r="AW49" i="18"/>
  <c r="AW57" i="18"/>
  <c r="AV31" i="18"/>
  <c r="AU11" i="18"/>
  <c r="AW52" i="17"/>
  <c r="AW11" i="17"/>
  <c r="AW22" i="5"/>
  <c r="AW46" i="10" s="1"/>
  <c r="AV32" i="18"/>
  <c r="AU12" i="18"/>
  <c r="AW54" i="18"/>
  <c r="AX54" i="18" s="1"/>
  <c r="AW51" i="18"/>
  <c r="AU35" i="18"/>
  <c r="AT15" i="18"/>
  <c r="AW60" i="17"/>
  <c r="AW20" i="18" s="1"/>
  <c r="AW57" i="17"/>
  <c r="AW17" i="18" s="1"/>
  <c r="AV40" i="18"/>
  <c r="AW40" i="18" s="1"/>
  <c r="AT18" i="18"/>
  <c r="E31" i="14"/>
  <c r="E33" i="14" s="1"/>
  <c r="E17" i="14"/>
  <c r="E18" i="14" s="1"/>
  <c r="E36" i="13"/>
  <c r="E27" i="16"/>
  <c r="AW53" i="18"/>
  <c r="AX53" i="18" s="1"/>
  <c r="E35" i="14" l="1"/>
  <c r="E37" i="14" s="1"/>
  <c r="F36" i="14" s="1"/>
  <c r="AW31" i="18"/>
  <c r="AV11" i="18"/>
  <c r="AV49" i="17"/>
  <c r="AW34" i="18"/>
  <c r="AV14" i="18"/>
  <c r="AW30" i="17"/>
  <c r="AW43" i="17" s="1"/>
  <c r="AW16" i="10" s="1"/>
  <c r="AX49" i="10" s="1"/>
  <c r="AW22" i="15"/>
  <c r="AW15" i="10" s="1"/>
  <c r="E28" i="16"/>
  <c r="E35" i="16" s="1"/>
  <c r="AX56" i="18"/>
  <c r="AY56" i="18" s="1"/>
  <c r="AX49" i="18"/>
  <c r="AW36" i="18"/>
  <c r="AV16" i="18"/>
  <c r="AX59" i="18"/>
  <c r="AV61" i="18"/>
  <c r="AW48" i="18"/>
  <c r="AX39" i="18"/>
  <c r="AX40" i="18"/>
  <c r="AW32" i="18"/>
  <c r="AV12" i="18"/>
  <c r="AX51" i="17"/>
  <c r="AW33" i="18"/>
  <c r="AV13" i="18"/>
  <c r="AX50" i="18"/>
  <c r="AX11" i="17"/>
  <c r="AX22" i="5"/>
  <c r="AX46" i="10" s="1"/>
  <c r="AX15" i="15"/>
  <c r="AX36" i="17" s="1"/>
  <c r="AX18" i="15"/>
  <c r="AX39" i="17" s="1"/>
  <c r="AX58" i="17" s="1"/>
  <c r="AX17" i="15"/>
  <c r="AX38" i="17" s="1"/>
  <c r="AX57" i="17" s="1"/>
  <c r="AX17" i="18" s="1"/>
  <c r="AX11" i="15"/>
  <c r="AX32" i="17" s="1"/>
  <c r="AX14" i="15"/>
  <c r="AX35" i="17" s="1"/>
  <c r="AX54" i="17" s="1"/>
  <c r="AX9" i="15"/>
  <c r="AX19" i="15"/>
  <c r="AX40" i="17" s="1"/>
  <c r="AX12" i="15"/>
  <c r="AX33" i="17" s="1"/>
  <c r="AX52" i="17" s="1"/>
  <c r="AX16" i="15"/>
  <c r="AX37" i="17" s="1"/>
  <c r="AX56" i="17" s="1"/>
  <c r="AX13" i="15"/>
  <c r="AX34" i="17" s="1"/>
  <c r="AX53" i="17" s="1"/>
  <c r="AY8" i="15"/>
  <c r="AX10" i="15"/>
  <c r="AX31" i="17" s="1"/>
  <c r="AX20" i="15"/>
  <c r="AX41" i="17" s="1"/>
  <c r="AX60" i="17" s="1"/>
  <c r="AX20" i="18" s="1"/>
  <c r="AX37" i="18"/>
  <c r="AX59" i="17"/>
  <c r="AX19" i="18" s="1"/>
  <c r="AV35" i="18"/>
  <c r="AU15" i="18"/>
  <c r="AU42" i="18"/>
  <c r="AX50" i="17"/>
  <c r="AY17" i="5"/>
  <c r="AY19" i="17" s="1"/>
  <c r="AY9" i="5"/>
  <c r="AY20" i="5"/>
  <c r="AY22" i="17" s="1"/>
  <c r="AY12" i="5"/>
  <c r="AY14" i="17" s="1"/>
  <c r="AY15" i="5"/>
  <c r="AY17" i="17" s="1"/>
  <c r="AY19" i="5"/>
  <c r="AY21" i="17" s="1"/>
  <c r="AY11" i="5"/>
  <c r="AY13" i="17" s="1"/>
  <c r="AZ8" i="5"/>
  <c r="AY16" i="5"/>
  <c r="AY18" i="17" s="1"/>
  <c r="AY10" i="5"/>
  <c r="AY12" i="17" s="1"/>
  <c r="AY18" i="5"/>
  <c r="AY20" i="17" s="1"/>
  <c r="AY13" i="5"/>
  <c r="AY15" i="17" s="1"/>
  <c r="AY14" i="5"/>
  <c r="AY16" i="17" s="1"/>
  <c r="AX55" i="18"/>
  <c r="AY55" i="18" s="1"/>
  <c r="AW49" i="17"/>
  <c r="AV42" i="18"/>
  <c r="AW29" i="18"/>
  <c r="AV9" i="18"/>
  <c r="AX58" i="18"/>
  <c r="AY58" i="18" s="1"/>
  <c r="AX51" i="18"/>
  <c r="AV23" i="15"/>
  <c r="AW23" i="15" s="1"/>
  <c r="AX57" i="18"/>
  <c r="AY57" i="18" s="1"/>
  <c r="AX55" i="17"/>
  <c r="AW30" i="18"/>
  <c r="AV10" i="18"/>
  <c r="AX52" i="18"/>
  <c r="AX29" i="18" l="1"/>
  <c r="AW9" i="18"/>
  <c r="AW14" i="18"/>
  <c r="AX34" i="18"/>
  <c r="AY54" i="18"/>
  <c r="AZ20" i="5"/>
  <c r="AZ22" i="17" s="1"/>
  <c r="AZ12" i="5"/>
  <c r="AZ14" i="17" s="1"/>
  <c r="AZ15" i="5"/>
  <c r="AZ17" i="17" s="1"/>
  <c r="AZ18" i="5"/>
  <c r="AZ20" i="17" s="1"/>
  <c r="AZ10" i="5"/>
  <c r="AZ12" i="17" s="1"/>
  <c r="AZ14" i="5"/>
  <c r="AZ16" i="17" s="1"/>
  <c r="AZ16" i="5"/>
  <c r="AZ18" i="17" s="1"/>
  <c r="AZ17" i="5"/>
  <c r="AZ19" i="17" s="1"/>
  <c r="AZ9" i="5"/>
  <c r="AZ11" i="5"/>
  <c r="AZ13" i="17" s="1"/>
  <c r="AZ19" i="5"/>
  <c r="AZ21" i="17" s="1"/>
  <c r="AZ13" i="5"/>
  <c r="AZ15" i="17" s="1"/>
  <c r="BA8" i="5"/>
  <c r="AX30" i="17"/>
  <c r="AX43" i="17" s="1"/>
  <c r="AX22" i="15"/>
  <c r="AX15" i="10" s="1"/>
  <c r="AY50" i="18"/>
  <c r="AZ50" i="18" s="1"/>
  <c r="AY40" i="18"/>
  <c r="AX23" i="15"/>
  <c r="AX23" i="5"/>
  <c r="AX38" i="18"/>
  <c r="AX36" i="18"/>
  <c r="AW16" i="18"/>
  <c r="AY53" i="18"/>
  <c r="AZ53" i="18" s="1"/>
  <c r="AZ55" i="18"/>
  <c r="AX33" i="18"/>
  <c r="AW13" i="18"/>
  <c r="AY49" i="18"/>
  <c r="AY52" i="18"/>
  <c r="AY51" i="18"/>
  <c r="AZ51" i="18" s="1"/>
  <c r="AU18" i="18"/>
  <c r="AY18" i="15"/>
  <c r="AY39" i="17" s="1"/>
  <c r="AY58" i="17" s="1"/>
  <c r="AY13" i="15"/>
  <c r="AY34" i="17" s="1"/>
  <c r="AY53" i="17" s="1"/>
  <c r="AY11" i="15"/>
  <c r="AY32" i="17" s="1"/>
  <c r="AY51" i="17" s="1"/>
  <c r="AY14" i="15"/>
  <c r="AY35" i="17" s="1"/>
  <c r="AY54" i="17" s="1"/>
  <c r="AY9" i="15"/>
  <c r="AY19" i="15"/>
  <c r="AY40" i="17" s="1"/>
  <c r="AY59" i="17" s="1"/>
  <c r="AY19" i="18" s="1"/>
  <c r="AY15" i="15"/>
  <c r="AY36" i="17" s="1"/>
  <c r="AY55" i="17" s="1"/>
  <c r="AY12" i="15"/>
  <c r="AY33" i="17" s="1"/>
  <c r="AY52" i="17" s="1"/>
  <c r="AY16" i="15"/>
  <c r="AY37" i="17" s="1"/>
  <c r="AY56" i="17" s="1"/>
  <c r="AY20" i="15"/>
  <c r="AY41" i="17" s="1"/>
  <c r="AY60" i="17" s="1"/>
  <c r="AY20" i="18" s="1"/>
  <c r="AY10" i="15"/>
  <c r="AY31" i="17" s="1"/>
  <c r="AY17" i="15"/>
  <c r="AY38" i="17" s="1"/>
  <c r="AZ8" i="15"/>
  <c r="AW61" i="18"/>
  <c r="AX48" i="18"/>
  <c r="AZ56" i="18"/>
  <c r="AX31" i="18"/>
  <c r="AW11" i="18"/>
  <c r="AX30" i="18"/>
  <c r="AW10" i="18"/>
  <c r="AW35" i="18"/>
  <c r="AV15" i="18"/>
  <c r="AY59" i="18"/>
  <c r="AZ59" i="18" s="1"/>
  <c r="AZ58" i="18"/>
  <c r="AY50" i="17"/>
  <c r="AY11" i="17"/>
  <c r="AY22" i="5"/>
  <c r="AV18" i="18"/>
  <c r="AY57" i="17"/>
  <c r="AY17" i="18" s="1"/>
  <c r="AX49" i="17"/>
  <c r="AX32" i="18"/>
  <c r="AW12" i="18"/>
  <c r="AZ49" i="18" l="1"/>
  <c r="AY36" i="18"/>
  <c r="AX16" i="18"/>
  <c r="AY37" i="18"/>
  <c r="AZ54" i="17"/>
  <c r="AX14" i="18"/>
  <c r="AY34" i="18"/>
  <c r="AY38" i="18"/>
  <c r="AZ38" i="18" s="1"/>
  <c r="BA15" i="5"/>
  <c r="BA17" i="17" s="1"/>
  <c r="BA18" i="5"/>
  <c r="BA20" i="17" s="1"/>
  <c r="BA10" i="5"/>
  <c r="BA12" i="17" s="1"/>
  <c r="BA13" i="5"/>
  <c r="BA15" i="17" s="1"/>
  <c r="BB8" i="5"/>
  <c r="BA17" i="5"/>
  <c r="BA19" i="17" s="1"/>
  <c r="BA9" i="5"/>
  <c r="BA19" i="5"/>
  <c r="BA21" i="17" s="1"/>
  <c r="BA11" i="5"/>
  <c r="BA13" i="17" s="1"/>
  <c r="BA20" i="5"/>
  <c r="BA22" i="17" s="1"/>
  <c r="BA12" i="5"/>
  <c r="BA14" i="17" s="1"/>
  <c r="BA14" i="5"/>
  <c r="BA16" i="17" s="1"/>
  <c r="BA16" i="5"/>
  <c r="BA18" i="17" s="1"/>
  <c r="AZ50" i="17"/>
  <c r="AY39" i="18"/>
  <c r="AZ39" i="18" s="1"/>
  <c r="AY46" i="10"/>
  <c r="AY23" i="5"/>
  <c r="AZ58" i="17"/>
  <c r="BA59" i="18"/>
  <c r="AX35" i="18"/>
  <c r="AW15" i="18"/>
  <c r="AX61" i="18"/>
  <c r="F31" i="16" s="1"/>
  <c r="AY48" i="18"/>
  <c r="AY33" i="18"/>
  <c r="AX13" i="18"/>
  <c r="F18" i="7"/>
  <c r="F17" i="7"/>
  <c r="F9" i="7"/>
  <c r="F11" i="7"/>
  <c r="F14" i="7"/>
  <c r="AZ51" i="17"/>
  <c r="AZ52" i="17"/>
  <c r="AZ40" i="18"/>
  <c r="BA58" i="18"/>
  <c r="AZ13" i="15"/>
  <c r="AZ34" i="17" s="1"/>
  <c r="AZ53" i="17" s="1"/>
  <c r="AZ16" i="15"/>
  <c r="AZ37" i="17" s="1"/>
  <c r="AZ20" i="15"/>
  <c r="AZ41" i="17" s="1"/>
  <c r="AZ18" i="15"/>
  <c r="AZ39" i="17" s="1"/>
  <c r="AZ14" i="15"/>
  <c r="AZ35" i="17" s="1"/>
  <c r="AZ9" i="15"/>
  <c r="AZ19" i="15"/>
  <c r="AZ40" i="17" s="1"/>
  <c r="AZ59" i="17" s="1"/>
  <c r="AZ19" i="18" s="1"/>
  <c r="AZ15" i="15"/>
  <c r="AZ36" i="17" s="1"/>
  <c r="AZ55" i="17" s="1"/>
  <c r="AZ12" i="15"/>
  <c r="AZ33" i="17" s="1"/>
  <c r="AZ10" i="15"/>
  <c r="AZ31" i="17" s="1"/>
  <c r="BA8" i="15"/>
  <c r="AZ11" i="15"/>
  <c r="AZ32" i="17" s="1"/>
  <c r="AZ17" i="15"/>
  <c r="AZ38" i="17" s="1"/>
  <c r="AZ57" i="17" s="1"/>
  <c r="AZ17" i="18" s="1"/>
  <c r="AY30" i="17"/>
  <c r="AY43" i="17" s="1"/>
  <c r="AY16" i="10" s="1"/>
  <c r="AZ49" i="10" s="1"/>
  <c r="AY22" i="15"/>
  <c r="BA50" i="18"/>
  <c r="AZ11" i="17"/>
  <c r="AZ22" i="5"/>
  <c r="AZ46" i="10" s="1"/>
  <c r="AZ60" i="17"/>
  <c r="AZ20" i="18" s="1"/>
  <c r="AX42" i="18"/>
  <c r="AY29" i="18"/>
  <c r="AX9" i="18"/>
  <c r="AY31" i="18"/>
  <c r="AX11" i="18"/>
  <c r="BA51" i="18"/>
  <c r="AZ54" i="18"/>
  <c r="BA54" i="18" s="1"/>
  <c r="AW42" i="18"/>
  <c r="AY32" i="18"/>
  <c r="AX12" i="18"/>
  <c r="AX10" i="18"/>
  <c r="AY30" i="18"/>
  <c r="AZ52" i="18"/>
  <c r="BA52" i="18" s="1"/>
  <c r="F32" i="16"/>
  <c r="AX16" i="10"/>
  <c r="AY49" i="10" s="1"/>
  <c r="AZ56" i="17"/>
  <c r="AZ57" i="18"/>
  <c r="BA57" i="18" s="1"/>
  <c r="BC18" i="7" l="1"/>
  <c r="AU18" i="7"/>
  <c r="BB18" i="7"/>
  <c r="AT18" i="7"/>
  <c r="BA18" i="7"/>
  <c r="AS18" i="7"/>
  <c r="AX18" i="7"/>
  <c r="AW18" i="7"/>
  <c r="AY18" i="7"/>
  <c r="AZ18" i="7"/>
  <c r="AV18" i="7"/>
  <c r="BD18" i="7"/>
  <c r="BB11" i="7"/>
  <c r="AT11" i="7"/>
  <c r="BA11" i="7"/>
  <c r="AS11" i="7"/>
  <c r="AZ11" i="7"/>
  <c r="AU11" i="7"/>
  <c r="AY11" i="7"/>
  <c r="AX11" i="7"/>
  <c r="AW11" i="7"/>
  <c r="BD11" i="7"/>
  <c r="BC11" i="7"/>
  <c r="AV11" i="7"/>
  <c r="AZ34" i="18"/>
  <c r="AY14" i="18"/>
  <c r="BB59" i="18"/>
  <c r="AZ32" i="18"/>
  <c r="AY12" i="18"/>
  <c r="AZ31" i="18"/>
  <c r="AY11" i="18"/>
  <c r="BA55" i="18"/>
  <c r="BB55" i="18" s="1"/>
  <c r="BD9" i="7"/>
  <c r="AV9" i="7"/>
  <c r="BC9" i="7"/>
  <c r="AU9" i="7"/>
  <c r="BB9" i="7"/>
  <c r="AT9" i="7"/>
  <c r="AT29" i="7" s="1"/>
  <c r="AS9" i="7"/>
  <c r="F29" i="7"/>
  <c r="F15" i="13" s="1"/>
  <c r="AW9" i="7"/>
  <c r="BA9" i="7"/>
  <c r="AY9" i="7"/>
  <c r="AZ9" i="7"/>
  <c r="AX9" i="7"/>
  <c r="AX15" i="18"/>
  <c r="AY35" i="18"/>
  <c r="BA11" i="17"/>
  <c r="BA22" i="5"/>
  <c r="BA46" i="10" s="1"/>
  <c r="AW18" i="18"/>
  <c r="AY23" i="15"/>
  <c r="AY15" i="10"/>
  <c r="BA40" i="18"/>
  <c r="BD17" i="7"/>
  <c r="AV17" i="7"/>
  <c r="BC17" i="7"/>
  <c r="AU17" i="7"/>
  <c r="BB17" i="7"/>
  <c r="AT17" i="7"/>
  <c r="AY17" i="7"/>
  <c r="AZ17" i="7"/>
  <c r="BA17" i="7"/>
  <c r="AX17" i="7"/>
  <c r="AS17" i="7"/>
  <c r="AW17" i="7"/>
  <c r="AY49" i="17"/>
  <c r="BB18" i="5"/>
  <c r="BB20" i="17" s="1"/>
  <c r="BB10" i="5"/>
  <c r="BB12" i="17" s="1"/>
  <c r="BB13" i="5"/>
  <c r="BB15" i="17" s="1"/>
  <c r="BC8" i="5"/>
  <c r="BB16" i="5"/>
  <c r="BB18" i="17" s="1"/>
  <c r="BB20" i="5"/>
  <c r="BB22" i="17" s="1"/>
  <c r="BB12" i="5"/>
  <c r="BB14" i="17" s="1"/>
  <c r="BB17" i="5"/>
  <c r="BB19" i="17" s="1"/>
  <c r="BB9" i="5"/>
  <c r="BB11" i="5"/>
  <c r="BB13" i="17" s="1"/>
  <c r="BB19" i="5"/>
  <c r="BB21" i="17" s="1"/>
  <c r="BB14" i="5"/>
  <c r="BB16" i="17" s="1"/>
  <c r="BB15" i="5"/>
  <c r="BB17" i="17" s="1"/>
  <c r="AZ29" i="18"/>
  <c r="AY9" i="18"/>
  <c r="AZ37" i="18"/>
  <c r="BA37" i="18" s="1"/>
  <c r="AZ22" i="15"/>
  <c r="AZ15" i="10" s="1"/>
  <c r="AZ30" i="17"/>
  <c r="AZ43" i="17" s="1"/>
  <c r="AZ16" i="10" s="1"/>
  <c r="BA49" i="10" s="1"/>
  <c r="AX18" i="18"/>
  <c r="F17" i="16"/>
  <c r="BB52" i="18"/>
  <c r="AZ33" i="18"/>
  <c r="AY13" i="18"/>
  <c r="BA50" i="17"/>
  <c r="BA53" i="18"/>
  <c r="BA16" i="15"/>
  <c r="BA37" i="17" s="1"/>
  <c r="BA56" i="17" s="1"/>
  <c r="BA19" i="15"/>
  <c r="BA40" i="17" s="1"/>
  <c r="BA59" i="17" s="1"/>
  <c r="BA19" i="18" s="1"/>
  <c r="BA9" i="15"/>
  <c r="BA15" i="15"/>
  <c r="BA36" i="17" s="1"/>
  <c r="BA55" i="17" s="1"/>
  <c r="BA12" i="15"/>
  <c r="BA33" i="17" s="1"/>
  <c r="BA52" i="17" s="1"/>
  <c r="BA10" i="15"/>
  <c r="BA31" i="17" s="1"/>
  <c r="BA20" i="15"/>
  <c r="BA41" i="17" s="1"/>
  <c r="BB8" i="15"/>
  <c r="BA17" i="15"/>
  <c r="BA38" i="17" s="1"/>
  <c r="BA57" i="17" s="1"/>
  <c r="BA17" i="18" s="1"/>
  <c r="BA18" i="15"/>
  <c r="BA39" i="17" s="1"/>
  <c r="BA14" i="15"/>
  <c r="BA35" i="17" s="1"/>
  <c r="BA54" i="17" s="1"/>
  <c r="BA13" i="15"/>
  <c r="BA34" i="17" s="1"/>
  <c r="BA53" i="17" s="1"/>
  <c r="BA11" i="15"/>
  <c r="BA32" i="17" s="1"/>
  <c r="BA51" i="17" s="1"/>
  <c r="AY61" i="18"/>
  <c r="AZ48" i="18"/>
  <c r="BA56" i="18"/>
  <c r="BA60" i="17"/>
  <c r="BA20" i="18" s="1"/>
  <c r="BA58" i="17"/>
  <c r="AZ36" i="18"/>
  <c r="AY16" i="18"/>
  <c r="BB54" i="18"/>
  <c r="AY10" i="18"/>
  <c r="AZ30" i="18"/>
  <c r="BB51" i="18"/>
  <c r="AZ49" i="17"/>
  <c r="AY14" i="7"/>
  <c r="AX14" i="7"/>
  <c r="AW14" i="7"/>
  <c r="BB14" i="7"/>
  <c r="BC14" i="7"/>
  <c r="AT14" i="7"/>
  <c r="AS14" i="7"/>
  <c r="BA14" i="7"/>
  <c r="AV14" i="7"/>
  <c r="BD14" i="7"/>
  <c r="AZ14" i="7"/>
  <c r="AU14" i="7"/>
  <c r="AZ23" i="5"/>
  <c r="BA23" i="5" s="1"/>
  <c r="BA49" i="18"/>
  <c r="BB49" i="18" s="1"/>
  <c r="BC13" i="5" l="1"/>
  <c r="BC15" i="17" s="1"/>
  <c r="BD8" i="5"/>
  <c r="BC16" i="5"/>
  <c r="BC18" i="17" s="1"/>
  <c r="BC19" i="5"/>
  <c r="BC21" i="17" s="1"/>
  <c r="BC11" i="5"/>
  <c r="BC13" i="17" s="1"/>
  <c r="BC15" i="5"/>
  <c r="BC17" i="17" s="1"/>
  <c r="BC18" i="5"/>
  <c r="BC20" i="17" s="1"/>
  <c r="BC10" i="5"/>
  <c r="BC12" i="17" s="1"/>
  <c r="BC20" i="5"/>
  <c r="BC22" i="17" s="1"/>
  <c r="BC12" i="5"/>
  <c r="BC14" i="17" s="1"/>
  <c r="BC14" i="5"/>
  <c r="BC16" i="17" s="1"/>
  <c r="BC17" i="5"/>
  <c r="BC19" i="17" s="1"/>
  <c r="BC9" i="5"/>
  <c r="BA29" i="7"/>
  <c r="AV29" i="7"/>
  <c r="BB57" i="18"/>
  <c r="BC57" i="18" s="1"/>
  <c r="BA33" i="18"/>
  <c r="AZ13" i="18"/>
  <c r="BB59" i="17"/>
  <c r="BB19" i="18" s="1"/>
  <c r="AW29" i="7"/>
  <c r="BD29" i="7"/>
  <c r="BC59" i="18"/>
  <c r="BA36" i="18"/>
  <c r="AZ16" i="18"/>
  <c r="BB50" i="17"/>
  <c r="BA39" i="18"/>
  <c r="F16" i="13"/>
  <c r="BB58" i="18"/>
  <c r="BC58" i="18" s="1"/>
  <c r="BB11" i="17"/>
  <c r="BB22" i="5"/>
  <c r="BB46" i="10" s="1"/>
  <c r="BB58" i="17"/>
  <c r="BB40" i="18"/>
  <c r="AZ35" i="18"/>
  <c r="AY15" i="18"/>
  <c r="AS29" i="7"/>
  <c r="BC55" i="18"/>
  <c r="BA34" i="18"/>
  <c r="AZ14" i="18"/>
  <c r="BC49" i="18"/>
  <c r="AZ23" i="15"/>
  <c r="AX29" i="7"/>
  <c r="BB29" i="7"/>
  <c r="AZ11" i="18"/>
  <c r="BA31" i="18"/>
  <c r="BA38" i="18"/>
  <c r="BB38" i="18" s="1"/>
  <c r="AN24" i="17"/>
  <c r="AN47" i="10"/>
  <c r="BB50" i="18"/>
  <c r="BC50" i="18" s="1"/>
  <c r="AZ29" i="7"/>
  <c r="AU29" i="7"/>
  <c r="BA22" i="15"/>
  <c r="BA15" i="10" s="1"/>
  <c r="BA30" i="17"/>
  <c r="BA43" i="17" s="1"/>
  <c r="BA16" i="10" s="1"/>
  <c r="BB49" i="10" s="1"/>
  <c r="BC52" i="18"/>
  <c r="BC51" i="18"/>
  <c r="BB56" i="18"/>
  <c r="BC56" i="18" s="1"/>
  <c r="BB19" i="15"/>
  <c r="BB40" i="17" s="1"/>
  <c r="BB14" i="15"/>
  <c r="BB35" i="17" s="1"/>
  <c r="BB54" i="17" s="1"/>
  <c r="BB15" i="15"/>
  <c r="BB36" i="17" s="1"/>
  <c r="BB55" i="17" s="1"/>
  <c r="BB12" i="15"/>
  <c r="BB33" i="17" s="1"/>
  <c r="BB52" i="17" s="1"/>
  <c r="BB10" i="15"/>
  <c r="BB31" i="17" s="1"/>
  <c r="BB20" i="15"/>
  <c r="BB41" i="17" s="1"/>
  <c r="BB60" i="17" s="1"/>
  <c r="BB20" i="18" s="1"/>
  <c r="BB16" i="15"/>
  <c r="BB37" i="17" s="1"/>
  <c r="BC8" i="15"/>
  <c r="BB17" i="15"/>
  <c r="BB38" i="17" s="1"/>
  <c r="BB57" i="17" s="1"/>
  <c r="BB17" i="18" s="1"/>
  <c r="BB13" i="15"/>
  <c r="BB34" i="17" s="1"/>
  <c r="BB53" i="17" s="1"/>
  <c r="BB11" i="15"/>
  <c r="BB32" i="17" s="1"/>
  <c r="BB51" i="17" s="1"/>
  <c r="BB9" i="15"/>
  <c r="BB18" i="15"/>
  <c r="BB39" i="17" s="1"/>
  <c r="BB53" i="18"/>
  <c r="BC53" i="18" s="1"/>
  <c r="BA29" i="18"/>
  <c r="AZ42" i="18"/>
  <c r="AZ9" i="18"/>
  <c r="BA30" i="18"/>
  <c r="AZ10" i="18"/>
  <c r="AZ61" i="18"/>
  <c r="BA48" i="18"/>
  <c r="AY42" i="18"/>
  <c r="BB56" i="17"/>
  <c r="AY29" i="7"/>
  <c r="BC29" i="7"/>
  <c r="BA32" i="18"/>
  <c r="AZ12" i="18"/>
  <c r="AU24" i="17" l="1"/>
  <c r="AU47" i="10"/>
  <c r="BC11" i="17"/>
  <c r="BC22" i="5"/>
  <c r="BC46" i="10" s="1"/>
  <c r="BC51" i="17"/>
  <c r="BC14" i="15"/>
  <c r="BC35" i="17" s="1"/>
  <c r="BC17" i="15"/>
  <c r="BC38" i="17" s="1"/>
  <c r="BC19" i="15"/>
  <c r="BC40" i="17" s="1"/>
  <c r="BC10" i="15"/>
  <c r="BC31" i="17" s="1"/>
  <c r="BC50" i="17" s="1"/>
  <c r="BC20" i="15"/>
  <c r="BC41" i="17" s="1"/>
  <c r="BC16" i="15"/>
  <c r="BC37" i="17" s="1"/>
  <c r="BD8" i="15"/>
  <c r="BC13" i="15"/>
  <c r="BC34" i="17" s="1"/>
  <c r="BC11" i="15"/>
  <c r="BC32" i="17" s="1"/>
  <c r="BC18" i="15"/>
  <c r="BC39" i="17" s="1"/>
  <c r="BC58" i="17" s="1"/>
  <c r="BC15" i="15"/>
  <c r="BC36" i="17" s="1"/>
  <c r="BC55" i="17" s="1"/>
  <c r="BC12" i="15"/>
  <c r="BC33" i="17" s="1"/>
  <c r="BC52" i="17" s="1"/>
  <c r="BC9" i="15"/>
  <c r="AT24" i="17"/>
  <c r="AT47" i="10"/>
  <c r="BB34" i="18"/>
  <c r="BA14" i="18"/>
  <c r="BA16" i="18"/>
  <c r="BB36" i="18"/>
  <c r="BC57" i="17"/>
  <c r="BC17" i="18" s="1"/>
  <c r="BC59" i="17"/>
  <c r="BC19" i="18" s="1"/>
  <c r="BC38" i="18"/>
  <c r="AO24" i="17"/>
  <c r="AO47" i="10"/>
  <c r="BB37" i="18"/>
  <c r="BC37" i="18" s="1"/>
  <c r="AZ18" i="18"/>
  <c r="BB29" i="18"/>
  <c r="BB23" i="5"/>
  <c r="AV24" i="17"/>
  <c r="AV47" i="10"/>
  <c r="BD55" i="18"/>
  <c r="BB33" i="18"/>
  <c r="BA13" i="18"/>
  <c r="BC54" i="17"/>
  <c r="BC56" i="17"/>
  <c r="AS47" i="10"/>
  <c r="AS24" i="17"/>
  <c r="BB30" i="18"/>
  <c r="BA10" i="18"/>
  <c r="BA11" i="18"/>
  <c r="BB31" i="18"/>
  <c r="AM47" i="10"/>
  <c r="AM24" i="17"/>
  <c r="AX24" i="17"/>
  <c r="AX47" i="10"/>
  <c r="BC54" i="18"/>
  <c r="BD16" i="5"/>
  <c r="BD18" i="17" s="1"/>
  <c r="BD19" i="5"/>
  <c r="BD21" i="17" s="1"/>
  <c r="BD11" i="5"/>
  <c r="BD13" i="17" s="1"/>
  <c r="BD14" i="5"/>
  <c r="BD16" i="17" s="1"/>
  <c r="BD18" i="5"/>
  <c r="BD20" i="17" s="1"/>
  <c r="BD10" i="5"/>
  <c r="BD12" i="17" s="1"/>
  <c r="BD12" i="5"/>
  <c r="BD14" i="17" s="1"/>
  <c r="BD20" i="5"/>
  <c r="BD22" i="17" s="1"/>
  <c r="BD13" i="5"/>
  <c r="BD15" i="17" s="1"/>
  <c r="BD17" i="5"/>
  <c r="BD19" i="17" s="1"/>
  <c r="BD15" i="5"/>
  <c r="BD17" i="17" s="1"/>
  <c r="BD9" i="5"/>
  <c r="BE8" i="5"/>
  <c r="AW24" i="17"/>
  <c r="AW47" i="10"/>
  <c r="BC60" i="17"/>
  <c r="BC20" i="18" s="1"/>
  <c r="BC53" i="17"/>
  <c r="AY18" i="18"/>
  <c r="AR24" i="17"/>
  <c r="AR47" i="10"/>
  <c r="BA61" i="18"/>
  <c r="BB48" i="18"/>
  <c r="BD51" i="18"/>
  <c r="BA23" i="15"/>
  <c r="BB23" i="15" s="1"/>
  <c r="F17" i="13"/>
  <c r="F13" i="19"/>
  <c r="F14" i="19" s="1"/>
  <c r="AQ24" i="17"/>
  <c r="AQ47" i="10"/>
  <c r="BA12" i="18"/>
  <c r="BB32" i="18"/>
  <c r="BB30" i="17"/>
  <c r="BB43" i="17" s="1"/>
  <c r="BB16" i="10" s="1"/>
  <c r="BC49" i="10" s="1"/>
  <c r="BB22" i="15"/>
  <c r="BB15" i="10" s="1"/>
  <c r="BD52" i="18"/>
  <c r="AN62" i="17"/>
  <c r="AN22" i="18" s="1"/>
  <c r="AN48" i="10"/>
  <c r="AO17" i="10" s="1"/>
  <c r="AO40" i="10" s="1"/>
  <c r="BA35" i="18"/>
  <c r="BA42" i="18" s="1"/>
  <c r="AZ15" i="18"/>
  <c r="BB39" i="18"/>
  <c r="BC39" i="18" s="1"/>
  <c r="BA49" i="17"/>
  <c r="BA9" i="18" s="1"/>
  <c r="AP24" i="17"/>
  <c r="AP47" i="10"/>
  <c r="BA18" i="18" l="1"/>
  <c r="AR62" i="17"/>
  <c r="AR22" i="18" s="1"/>
  <c r="AR48" i="10"/>
  <c r="AS17" i="10" s="1"/>
  <c r="AS40" i="10" s="1"/>
  <c r="BD57" i="18"/>
  <c r="AP62" i="17"/>
  <c r="AP22" i="18" s="1"/>
  <c r="AP48" i="10"/>
  <c r="AQ17" i="10" s="1"/>
  <c r="AQ40" i="10" s="1"/>
  <c r="BD50" i="18"/>
  <c r="BD49" i="18"/>
  <c r="BD60" i="17"/>
  <c r="BD20" i="18" s="1"/>
  <c r="BC33" i="18"/>
  <c r="BB13" i="18"/>
  <c r="BC29" i="18"/>
  <c r="AT62" i="17"/>
  <c r="AT22" i="18" s="1"/>
  <c r="AT48" i="10"/>
  <c r="AU17" i="10" s="1"/>
  <c r="AU40" i="10" s="1"/>
  <c r="BD17" i="15"/>
  <c r="BD38" i="17" s="1"/>
  <c r="BD57" i="17" s="1"/>
  <c r="BD17" i="18" s="1"/>
  <c r="BD20" i="15"/>
  <c r="BD41" i="17" s="1"/>
  <c r="BD19" i="15"/>
  <c r="BD40" i="17" s="1"/>
  <c r="BD10" i="15"/>
  <c r="BD31" i="17" s="1"/>
  <c r="BD16" i="15"/>
  <c r="BD37" i="17" s="1"/>
  <c r="BD56" i="17" s="1"/>
  <c r="BE8" i="15"/>
  <c r="BD13" i="15"/>
  <c r="BD34" i="17" s="1"/>
  <c r="BD53" i="17" s="1"/>
  <c r="BD11" i="15"/>
  <c r="BD32" i="17" s="1"/>
  <c r="BD51" i="17" s="1"/>
  <c r="BD18" i="15"/>
  <c r="BD39" i="17" s="1"/>
  <c r="BD58" i="17" s="1"/>
  <c r="BD9" i="15"/>
  <c r="BD12" i="15"/>
  <c r="BD33" i="17" s="1"/>
  <c r="BD14" i="15"/>
  <c r="BD35" i="17" s="1"/>
  <c r="BD15" i="15"/>
  <c r="BD36" i="17" s="1"/>
  <c r="BD55" i="17" s="1"/>
  <c r="F19" i="13"/>
  <c r="AU51" i="10"/>
  <c r="AM51" i="10"/>
  <c r="AM69" i="10" s="1"/>
  <c r="AM71" i="10" s="1"/>
  <c r="AN10" i="10" s="1"/>
  <c r="AN71" i="10" s="1"/>
  <c r="AO10" i="10" s="1"/>
  <c r="AT51" i="10"/>
  <c r="AT69" i="10" s="1"/>
  <c r="AS51" i="10"/>
  <c r="AS69" i="10" s="1"/>
  <c r="AV51" i="10"/>
  <c r="AN51" i="10"/>
  <c r="AN69" i="10" s="1"/>
  <c r="AW51" i="10"/>
  <c r="AR51" i="10"/>
  <c r="AR69" i="10" s="1"/>
  <c r="AX51" i="10"/>
  <c r="AX69" i="10" s="1"/>
  <c r="AQ51" i="10"/>
  <c r="AQ69" i="10" s="1"/>
  <c r="AP51" i="10"/>
  <c r="AP69" i="10" s="1"/>
  <c r="AO51" i="10"/>
  <c r="BC23" i="15"/>
  <c r="BD53" i="18"/>
  <c r="AW69" i="10"/>
  <c r="BD52" i="17"/>
  <c r="BD54" i="18"/>
  <c r="BD59" i="18"/>
  <c r="BD56" i="18"/>
  <c r="BE55" i="18"/>
  <c r="BD39" i="18"/>
  <c r="BB12" i="18"/>
  <c r="BC32" i="18"/>
  <c r="AW62" i="17"/>
  <c r="AW22" i="18" s="1"/>
  <c r="AW48" i="10"/>
  <c r="AX17" i="10" s="1"/>
  <c r="AX40" i="10" s="1"/>
  <c r="BD50" i="17"/>
  <c r="BC30" i="18"/>
  <c r="BB10" i="18"/>
  <c r="BD58" i="18"/>
  <c r="BC36" i="18"/>
  <c r="BB16" i="18"/>
  <c r="BC30" i="17"/>
  <c r="BC43" i="17" s="1"/>
  <c r="BC16" i="10" s="1"/>
  <c r="BD49" i="10" s="1"/>
  <c r="BC22" i="15"/>
  <c r="BC15" i="10" s="1"/>
  <c r="AS62" i="17"/>
  <c r="AS22" i="18" s="1"/>
  <c r="AS48" i="10"/>
  <c r="AT17" i="10" s="1"/>
  <c r="AT40" i="10" s="1"/>
  <c r="BB35" i="18"/>
  <c r="BB42" i="18" s="1"/>
  <c r="BA15" i="18"/>
  <c r="BB61" i="18"/>
  <c r="BC48" i="18"/>
  <c r="BD11" i="17"/>
  <c r="BD22" i="5"/>
  <c r="BD46" i="10" s="1"/>
  <c r="BD54" i="17"/>
  <c r="AM62" i="17"/>
  <c r="AM22" i="18" s="1"/>
  <c r="AM48" i="10"/>
  <c r="AN17" i="10" s="1"/>
  <c r="AN40" i="10" s="1"/>
  <c r="BB49" i="17"/>
  <c r="BB9" i="18" s="1"/>
  <c r="AU69" i="10"/>
  <c r="AX62" i="17"/>
  <c r="AX22" i="18" s="1"/>
  <c r="F10" i="14" s="1"/>
  <c r="F18" i="16"/>
  <c r="AX48" i="10"/>
  <c r="AY17" i="10" s="1"/>
  <c r="AY40" i="10" s="1"/>
  <c r="AQ62" i="17"/>
  <c r="AQ22" i="18" s="1"/>
  <c r="AQ48" i="10"/>
  <c r="AR17" i="10" s="1"/>
  <c r="AR40" i="10" s="1"/>
  <c r="AV62" i="17"/>
  <c r="AV22" i="18" s="1"/>
  <c r="AV48" i="10"/>
  <c r="AW17" i="10" s="1"/>
  <c r="AW40" i="10" s="1"/>
  <c r="AU62" i="17"/>
  <c r="AU22" i="18" s="1"/>
  <c r="AU48" i="10"/>
  <c r="AV17" i="10" s="1"/>
  <c r="AV40" i="10" s="1"/>
  <c r="BE19" i="5"/>
  <c r="BE21" i="17" s="1"/>
  <c r="BE11" i="5"/>
  <c r="BE13" i="17" s="1"/>
  <c r="BE14" i="5"/>
  <c r="BE16" i="17" s="1"/>
  <c r="BE17" i="5"/>
  <c r="BE19" i="17" s="1"/>
  <c r="BE9" i="5"/>
  <c r="BE13" i="5"/>
  <c r="BE15" i="17" s="1"/>
  <c r="BF8" i="5"/>
  <c r="BE18" i="5"/>
  <c r="BE20" i="17" s="1"/>
  <c r="BE10" i="5"/>
  <c r="BE12" i="17" s="1"/>
  <c r="BE20" i="5"/>
  <c r="BE22" i="17" s="1"/>
  <c r="BE12" i="5"/>
  <c r="BE14" i="17" s="1"/>
  <c r="BE15" i="5"/>
  <c r="BE17" i="17" s="1"/>
  <c r="BE16" i="5"/>
  <c r="BE18" i="17" s="1"/>
  <c r="BD59" i="17"/>
  <c r="BD19" i="18" s="1"/>
  <c r="BB11" i="18"/>
  <c r="BC31" i="18"/>
  <c r="BC23" i="5"/>
  <c r="AO62" i="17"/>
  <c r="AO22" i="18" s="1"/>
  <c r="AO48" i="10"/>
  <c r="AP17" i="10" s="1"/>
  <c r="AP40" i="10" s="1"/>
  <c r="BC34" i="18"/>
  <c r="BB14" i="18"/>
  <c r="BC40" i="18"/>
  <c r="BD40" i="18" s="1"/>
  <c r="BB18" i="18" l="1"/>
  <c r="BD34" i="18"/>
  <c r="BC14" i="18"/>
  <c r="BD38" i="18"/>
  <c r="BE52" i="17"/>
  <c r="BE49" i="18"/>
  <c r="BD30" i="18"/>
  <c r="BC10" i="18"/>
  <c r="BE51" i="17"/>
  <c r="BE51" i="18"/>
  <c r="G24" i="12"/>
  <c r="F22" i="13"/>
  <c r="BE50" i="18"/>
  <c r="BE57" i="18"/>
  <c r="BD37" i="18"/>
  <c r="BC61" i="18"/>
  <c r="BD48" i="18"/>
  <c r="BC49" i="17"/>
  <c r="BE20" i="15"/>
  <c r="BE41" i="17" s="1"/>
  <c r="BE60" i="17" s="1"/>
  <c r="BE20" i="18" s="1"/>
  <c r="BE15" i="15"/>
  <c r="BE36" i="17" s="1"/>
  <c r="BE55" i="17" s="1"/>
  <c r="BE19" i="15"/>
  <c r="BE40" i="17" s="1"/>
  <c r="BE59" i="17" s="1"/>
  <c r="BE19" i="18" s="1"/>
  <c r="BE16" i="15"/>
  <c r="BE37" i="17" s="1"/>
  <c r="BF8" i="15"/>
  <c r="BE13" i="15"/>
  <c r="BE34" i="17" s="1"/>
  <c r="BE11" i="15"/>
  <c r="BE32" i="17" s="1"/>
  <c r="BE18" i="15"/>
  <c r="BE39" i="17" s="1"/>
  <c r="BE17" i="15"/>
  <c r="BE38" i="17" s="1"/>
  <c r="BE57" i="17" s="1"/>
  <c r="BE17" i="18" s="1"/>
  <c r="BE9" i="15"/>
  <c r="BE14" i="15"/>
  <c r="BE35" i="17" s="1"/>
  <c r="BE54" i="17" s="1"/>
  <c r="BE12" i="15"/>
  <c r="BE33" i="17" s="1"/>
  <c r="BE10" i="15"/>
  <c r="BE31" i="17" s="1"/>
  <c r="BE50" i="17" s="1"/>
  <c r="BD31" i="18"/>
  <c r="BC11" i="18"/>
  <c r="BE58" i="17"/>
  <c r="AV69" i="10"/>
  <c r="BE56" i="18"/>
  <c r="BE39" i="18"/>
  <c r="BE53" i="18"/>
  <c r="BF53" i="18" s="1"/>
  <c r="BD23" i="5"/>
  <c r="BE23" i="5" s="1"/>
  <c r="BC42" i="18"/>
  <c r="BD29" i="18"/>
  <c r="BC9" i="18"/>
  <c r="BF14" i="5"/>
  <c r="BF16" i="17" s="1"/>
  <c r="BF17" i="5"/>
  <c r="BF19" i="17" s="1"/>
  <c r="BF9" i="5"/>
  <c r="BF20" i="5"/>
  <c r="BF22" i="17" s="1"/>
  <c r="BF12" i="5"/>
  <c r="BF14" i="17" s="1"/>
  <c r="BF16" i="5"/>
  <c r="BF18" i="17" s="1"/>
  <c r="BF19" i="5"/>
  <c r="BF21" i="17" s="1"/>
  <c r="BF11" i="5"/>
  <c r="BF13" i="17" s="1"/>
  <c r="BF13" i="5"/>
  <c r="BF15" i="17" s="1"/>
  <c r="BF15" i="5"/>
  <c r="BF17" i="17" s="1"/>
  <c r="BG8" i="5"/>
  <c r="BF18" i="5"/>
  <c r="BF20" i="17" s="1"/>
  <c r="BF10" i="5"/>
  <c r="BF12" i="17" s="1"/>
  <c r="BE59" i="18"/>
  <c r="BF59" i="18" s="1"/>
  <c r="BE52" i="18"/>
  <c r="BF52" i="18" s="1"/>
  <c r="BE53" i="17"/>
  <c r="AO69" i="10"/>
  <c r="AO71" i="10" s="1"/>
  <c r="AP10" i="10" s="1"/>
  <c r="AP71" i="10" s="1"/>
  <c r="AQ10" i="10" s="1"/>
  <c r="AQ71" i="10" s="1"/>
  <c r="AR10" i="10" s="1"/>
  <c r="AR71" i="10" s="1"/>
  <c r="AS10" i="10" s="1"/>
  <c r="AS71" i="10" s="1"/>
  <c r="AT10" i="10" s="1"/>
  <c r="AT71" i="10" s="1"/>
  <c r="AU10" i="10" s="1"/>
  <c r="AU71" i="10" s="1"/>
  <c r="AV10" i="10" s="1"/>
  <c r="AV71" i="10" s="1"/>
  <c r="AW10" i="10" s="1"/>
  <c r="AW71" i="10" s="1"/>
  <c r="AX10" i="10" s="1"/>
  <c r="AX71" i="10" s="1"/>
  <c r="BD36" i="18"/>
  <c r="BC16" i="18"/>
  <c r="BD32" i="18"/>
  <c r="BC12" i="18"/>
  <c r="BE54" i="18"/>
  <c r="BF54" i="18" s="1"/>
  <c r="BE56" i="17"/>
  <c r="BE11" i="17"/>
  <c r="BE22" i="5"/>
  <c r="BE46" i="10" s="1"/>
  <c r="AM23" i="18"/>
  <c r="BC35" i="18"/>
  <c r="BB15" i="18"/>
  <c r="BE58" i="18"/>
  <c r="BD30" i="17"/>
  <c r="BD43" i="17" s="1"/>
  <c r="BD16" i="10" s="1"/>
  <c r="BE49" i="10" s="1"/>
  <c r="BD22" i="15"/>
  <c r="BD15" i="10" s="1"/>
  <c r="BC13" i="18"/>
  <c r="BD33" i="18"/>
  <c r="F19" i="16" l="1"/>
  <c r="F20" i="16" s="1"/>
  <c r="F21" i="16" s="1"/>
  <c r="AY10" i="10"/>
  <c r="BF51" i="18"/>
  <c r="BF49" i="18"/>
  <c r="BD49" i="17"/>
  <c r="BF58" i="18"/>
  <c r="BE40" i="18"/>
  <c r="BE38" i="18"/>
  <c r="BD35" i="18"/>
  <c r="BC15" i="18"/>
  <c r="BF52" i="17"/>
  <c r="BE31" i="18"/>
  <c r="BD11" i="18"/>
  <c r="BF57" i="18"/>
  <c r="BE30" i="17"/>
  <c r="BE43" i="17" s="1"/>
  <c r="BE16" i="10" s="1"/>
  <c r="BF49" i="10" s="1"/>
  <c r="BE22" i="15"/>
  <c r="BE15" i="10" s="1"/>
  <c r="BG53" i="18"/>
  <c r="BF50" i="18"/>
  <c r="BF55" i="18"/>
  <c r="BE34" i="18"/>
  <c r="BD14" i="18"/>
  <c r="BD42" i="18"/>
  <c r="BE29" i="18"/>
  <c r="BD9" i="18"/>
  <c r="BC18" i="18"/>
  <c r="BD12" i="18"/>
  <c r="BE32" i="18"/>
  <c r="BD13" i="18"/>
  <c r="BE33" i="18"/>
  <c r="BG17" i="5"/>
  <c r="BG19" i="17" s="1"/>
  <c r="BG9" i="5"/>
  <c r="BG20" i="5"/>
  <c r="BG22" i="17" s="1"/>
  <c r="BG12" i="5"/>
  <c r="BG14" i="17" s="1"/>
  <c r="BG15" i="5"/>
  <c r="BG17" i="17" s="1"/>
  <c r="BG19" i="5"/>
  <c r="BG21" i="17" s="1"/>
  <c r="BG11" i="5"/>
  <c r="BG13" i="17" s="1"/>
  <c r="BG13" i="5"/>
  <c r="BG15" i="17" s="1"/>
  <c r="BH8" i="5"/>
  <c r="BG14" i="5"/>
  <c r="BG16" i="17" s="1"/>
  <c r="BG16" i="5"/>
  <c r="BG18" i="17" s="1"/>
  <c r="BG18" i="5"/>
  <c r="BG20" i="17" s="1"/>
  <c r="BG10" i="5"/>
  <c r="BG12" i="17" s="1"/>
  <c r="BF11" i="17"/>
  <c r="BF22" i="5"/>
  <c r="BF46" i="10" s="1"/>
  <c r="BD61" i="18"/>
  <c r="BE48" i="18"/>
  <c r="F26" i="13"/>
  <c r="F23" i="13"/>
  <c r="BD16" i="18"/>
  <c r="BE36" i="18"/>
  <c r="BF15" i="15"/>
  <c r="BF36" i="17" s="1"/>
  <c r="BF55" i="17" s="1"/>
  <c r="BF18" i="15"/>
  <c r="BF39" i="17" s="1"/>
  <c r="BF58" i="17" s="1"/>
  <c r="BF20" i="15"/>
  <c r="BF41" i="17" s="1"/>
  <c r="BF60" i="17" s="1"/>
  <c r="BF20" i="18" s="1"/>
  <c r="BF13" i="15"/>
  <c r="BF34" i="17" s="1"/>
  <c r="BF53" i="17" s="1"/>
  <c r="BF11" i="15"/>
  <c r="BF32" i="17" s="1"/>
  <c r="BF51" i="17" s="1"/>
  <c r="BF17" i="15"/>
  <c r="BF38" i="17" s="1"/>
  <c r="BF57" i="17" s="1"/>
  <c r="BF17" i="18" s="1"/>
  <c r="BF9" i="15"/>
  <c r="BF14" i="15"/>
  <c r="BF35" i="17" s="1"/>
  <c r="BF12" i="15"/>
  <c r="BF33" i="17" s="1"/>
  <c r="BF19" i="15"/>
  <c r="BF40" i="17" s="1"/>
  <c r="BF59" i="17" s="1"/>
  <c r="BF19" i="18" s="1"/>
  <c r="BF16" i="15"/>
  <c r="BF37" i="17" s="1"/>
  <c r="BF56" i="17" s="1"/>
  <c r="BG8" i="15"/>
  <c r="BF10" i="15"/>
  <c r="BF31" i="17" s="1"/>
  <c r="BF50" i="17" s="1"/>
  <c r="BE30" i="18"/>
  <c r="BD10" i="18"/>
  <c r="BF54" i="17"/>
  <c r="BF56" i="18"/>
  <c r="BG56" i="18" s="1"/>
  <c r="BE37" i="18"/>
  <c r="BF37" i="18" s="1"/>
  <c r="BD23" i="15"/>
  <c r="BE23" i="15" s="1"/>
  <c r="BF36" i="18" l="1"/>
  <c r="BE16" i="18"/>
  <c r="BG54" i="18"/>
  <c r="BG50" i="18"/>
  <c r="BF23" i="5"/>
  <c r="BG23" i="5" s="1"/>
  <c r="BG58" i="18"/>
  <c r="BG18" i="15"/>
  <c r="BG39" i="17" s="1"/>
  <c r="BG58" i="17" s="1"/>
  <c r="BG13" i="15"/>
  <c r="BG34" i="17" s="1"/>
  <c r="BG20" i="15"/>
  <c r="BG41" i="17" s="1"/>
  <c r="BG11" i="15"/>
  <c r="BG32" i="17" s="1"/>
  <c r="BG51" i="17" s="1"/>
  <c r="BG17" i="15"/>
  <c r="BG38" i="17" s="1"/>
  <c r="BG9" i="15"/>
  <c r="BG14" i="15"/>
  <c r="BG35" i="17" s="1"/>
  <c r="BG12" i="15"/>
  <c r="BG33" i="17" s="1"/>
  <c r="BG52" i="17" s="1"/>
  <c r="BG15" i="15"/>
  <c r="BG36" i="17" s="1"/>
  <c r="BG55" i="17" s="1"/>
  <c r="BG10" i="15"/>
  <c r="BG31" i="17" s="1"/>
  <c r="BG50" i="17" s="1"/>
  <c r="BG19" i="15"/>
  <c r="BG40" i="17" s="1"/>
  <c r="BG59" i="17" s="1"/>
  <c r="BG19" i="18" s="1"/>
  <c r="BH8" i="15"/>
  <c r="BG16" i="15"/>
  <c r="BG37" i="17" s="1"/>
  <c r="BE12" i="18"/>
  <c r="BF32" i="18"/>
  <c r="BE42" i="18"/>
  <c r="BF29" i="18"/>
  <c r="BE9" i="18"/>
  <c r="BG49" i="18"/>
  <c r="BG37" i="18"/>
  <c r="BD18" i="18"/>
  <c r="BG51" i="18"/>
  <c r="BH51" i="18" s="1"/>
  <c r="BH56" i="18"/>
  <c r="BE35" i="18"/>
  <c r="BD15" i="18"/>
  <c r="BG56" i="17"/>
  <c r="BE61" i="18"/>
  <c r="BF48" i="18"/>
  <c r="BG54" i="17"/>
  <c r="BG11" i="17"/>
  <c r="BG22" i="5"/>
  <c r="BG46" i="10" s="1"/>
  <c r="BG57" i="18"/>
  <c r="BG59" i="18"/>
  <c r="BH59" i="18" s="1"/>
  <c r="BE49" i="17"/>
  <c r="BE10" i="18"/>
  <c r="BF30" i="18"/>
  <c r="BG60" i="17"/>
  <c r="BG20" i="18" s="1"/>
  <c r="BF38" i="18"/>
  <c r="BG38" i="18" s="1"/>
  <c r="BH20" i="5"/>
  <c r="BH22" i="17" s="1"/>
  <c r="BH12" i="5"/>
  <c r="BH14" i="17" s="1"/>
  <c r="BH15" i="5"/>
  <c r="BH17" i="17" s="1"/>
  <c r="BH18" i="5"/>
  <c r="BH20" i="17" s="1"/>
  <c r="BH10" i="5"/>
  <c r="BH12" i="17" s="1"/>
  <c r="BH14" i="5"/>
  <c r="BH16" i="17" s="1"/>
  <c r="BH19" i="5"/>
  <c r="BH21" i="17" s="1"/>
  <c r="BH11" i="5"/>
  <c r="BH13" i="17" s="1"/>
  <c r="BH13" i="5"/>
  <c r="BH15" i="17" s="1"/>
  <c r="BI8" i="5"/>
  <c r="BH16" i="5"/>
  <c r="BH18" i="17" s="1"/>
  <c r="BH17" i="5"/>
  <c r="BH19" i="17" s="1"/>
  <c r="BH9" i="5"/>
  <c r="BG57" i="17"/>
  <c r="BG17" i="18" s="1"/>
  <c r="BF34" i="18"/>
  <c r="BE14" i="18"/>
  <c r="BG52" i="18"/>
  <c r="BH52" i="18" s="1"/>
  <c r="F30" i="13"/>
  <c r="F27" i="13"/>
  <c r="BF30" i="17"/>
  <c r="BF43" i="17" s="1"/>
  <c r="BF16" i="10" s="1"/>
  <c r="BG49" i="10" s="1"/>
  <c r="BF22" i="15"/>
  <c r="BF15" i="10" s="1"/>
  <c r="BF39" i="18"/>
  <c r="BG39" i="18" s="1"/>
  <c r="BG53" i="17"/>
  <c r="BE13" i="18"/>
  <c r="BF33" i="18"/>
  <c r="BG55" i="18"/>
  <c r="BH55" i="18" s="1"/>
  <c r="BF31" i="18"/>
  <c r="BE11" i="18"/>
  <c r="BF40" i="18"/>
  <c r="BG40" i="18" s="1"/>
  <c r="BH49" i="18" l="1"/>
  <c r="BH13" i="15"/>
  <c r="BH34" i="17" s="1"/>
  <c r="BH16" i="15"/>
  <c r="BH37" i="17" s="1"/>
  <c r="BH20" i="15"/>
  <c r="BH41" i="17" s="1"/>
  <c r="BH17" i="15"/>
  <c r="BH38" i="17" s="1"/>
  <c r="BH9" i="15"/>
  <c r="BH18" i="15"/>
  <c r="BH39" i="17" s="1"/>
  <c r="BH14" i="15"/>
  <c r="BH35" i="17" s="1"/>
  <c r="BH12" i="15"/>
  <c r="BH33" i="17" s="1"/>
  <c r="BH15" i="15"/>
  <c r="BH36" i="17" s="1"/>
  <c r="BH55" i="17" s="1"/>
  <c r="BH10" i="15"/>
  <c r="BH31" i="17" s="1"/>
  <c r="BH50" i="17" s="1"/>
  <c r="BH19" i="15"/>
  <c r="BH40" i="17" s="1"/>
  <c r="BI8" i="15"/>
  <c r="BH11" i="15"/>
  <c r="BH32" i="17" s="1"/>
  <c r="BH51" i="17" s="1"/>
  <c r="BH58" i="18"/>
  <c r="BH23" i="5"/>
  <c r="BH50" i="18"/>
  <c r="BG34" i="18"/>
  <c r="BF14" i="18"/>
  <c r="BH40" i="18"/>
  <c r="BH54" i="18"/>
  <c r="BH53" i="18"/>
  <c r="BI53" i="18" s="1"/>
  <c r="BH57" i="17"/>
  <c r="BH17" i="18" s="1"/>
  <c r="BG32" i="18"/>
  <c r="BF12" i="18"/>
  <c r="BI55" i="18"/>
  <c r="BH59" i="17"/>
  <c r="BH19" i="18" s="1"/>
  <c r="BH54" i="17"/>
  <c r="BF10" i="18"/>
  <c r="BG30" i="18"/>
  <c r="BF61" i="18"/>
  <c r="BG48" i="18"/>
  <c r="BG29" i="18"/>
  <c r="BF9" i="18"/>
  <c r="BI51" i="18"/>
  <c r="BE18" i="18"/>
  <c r="BH58" i="17"/>
  <c r="BG33" i="18"/>
  <c r="BF13" i="18"/>
  <c r="BF35" i="18"/>
  <c r="BE15" i="18"/>
  <c r="BG30" i="17"/>
  <c r="BG43" i="17" s="1"/>
  <c r="BG16" i="10" s="1"/>
  <c r="BH49" i="10" s="1"/>
  <c r="BG22" i="15"/>
  <c r="BG15" i="10" s="1"/>
  <c r="BF49" i="17"/>
  <c r="BH11" i="17"/>
  <c r="BH22" i="5"/>
  <c r="BH46" i="10" s="1"/>
  <c r="BG31" i="18"/>
  <c r="BF11" i="18"/>
  <c r="F35" i="13"/>
  <c r="G33" i="13"/>
  <c r="F34" i="13"/>
  <c r="F31" i="13"/>
  <c r="BH56" i="17"/>
  <c r="BI15" i="5"/>
  <c r="BI17" i="17" s="1"/>
  <c r="BI18" i="5"/>
  <c r="BI20" i="17" s="1"/>
  <c r="BI10" i="5"/>
  <c r="BI12" i="17" s="1"/>
  <c r="BI13" i="5"/>
  <c r="BI15" i="17" s="1"/>
  <c r="BJ8" i="5"/>
  <c r="BI17" i="5"/>
  <c r="BI19" i="17" s="1"/>
  <c r="BI9" i="5"/>
  <c r="BI20" i="5"/>
  <c r="BI22" i="17" s="1"/>
  <c r="BI12" i="5"/>
  <c r="BI14" i="17" s="1"/>
  <c r="BI14" i="5"/>
  <c r="BI16" i="17" s="1"/>
  <c r="BI16" i="5"/>
  <c r="BI18" i="17" s="1"/>
  <c r="BI19" i="5"/>
  <c r="BI21" i="17" s="1"/>
  <c r="BI11" i="5"/>
  <c r="BI13" i="17" s="1"/>
  <c r="BH52" i="17"/>
  <c r="BH57" i="18"/>
  <c r="BI57" i="18" s="1"/>
  <c r="BH53" i="17"/>
  <c r="BH60" i="17"/>
  <c r="BH20" i="18" s="1"/>
  <c r="BH37" i="18"/>
  <c r="BF23" i="15"/>
  <c r="BG23" i="15" s="1"/>
  <c r="BG36" i="18"/>
  <c r="BF16" i="18"/>
  <c r="BI11" i="17" l="1"/>
  <c r="BI22" i="5"/>
  <c r="BI46" i="10" s="1"/>
  <c r="BG10" i="18"/>
  <c r="BH30" i="18"/>
  <c r="BG14" i="18"/>
  <c r="BH34" i="18"/>
  <c r="BI52" i="17"/>
  <c r="BI52" i="18"/>
  <c r="BH36" i="18"/>
  <c r="BG16" i="18"/>
  <c r="F33" i="16"/>
  <c r="F34" i="16" s="1"/>
  <c r="F32" i="14"/>
  <c r="BH32" i="18"/>
  <c r="BG12" i="18"/>
  <c r="BI50" i="18"/>
  <c r="BI49" i="18"/>
  <c r="BJ49" i="18" s="1"/>
  <c r="BI56" i="18"/>
  <c r="BI58" i="18"/>
  <c r="BG49" i="17"/>
  <c r="BG9" i="18" s="1"/>
  <c r="BI56" i="17"/>
  <c r="BF15" i="18"/>
  <c r="BG35" i="18"/>
  <c r="BF42" i="18"/>
  <c r="BH30" i="17"/>
  <c r="BH43" i="17" s="1"/>
  <c r="BH16" i="10" s="1"/>
  <c r="BI49" i="10" s="1"/>
  <c r="BH22" i="15"/>
  <c r="BH15" i="10" s="1"/>
  <c r="BH38" i="18"/>
  <c r="BI38" i="18" s="1"/>
  <c r="F31" i="14"/>
  <c r="F33" i="14" s="1"/>
  <c r="F35" i="14" s="1"/>
  <c r="F37" i="14" s="1"/>
  <c r="G36" i="14" s="1"/>
  <c r="F17" i="14"/>
  <c r="F18" i="14" s="1"/>
  <c r="F36" i="13"/>
  <c r="F27" i="16"/>
  <c r="BJ53" i="18"/>
  <c r="BI54" i="17"/>
  <c r="BI58" i="17"/>
  <c r="BH31" i="18"/>
  <c r="BG11" i="18"/>
  <c r="BG42" i="18"/>
  <c r="BH29" i="18"/>
  <c r="BI59" i="18"/>
  <c r="BI54" i="18"/>
  <c r="BJ54" i="18" s="1"/>
  <c r="BI16" i="15"/>
  <c r="BI37" i="17" s="1"/>
  <c r="BI19" i="15"/>
  <c r="BI40" i="17" s="1"/>
  <c r="BI59" i="17" s="1"/>
  <c r="BI19" i="18" s="1"/>
  <c r="BI13" i="15"/>
  <c r="BI34" i="17" s="1"/>
  <c r="BI53" i="17" s="1"/>
  <c r="BI9" i="15"/>
  <c r="BI18" i="15"/>
  <c r="BI39" i="17" s="1"/>
  <c r="BI14" i="15"/>
  <c r="BI35" i="17" s="1"/>
  <c r="BI12" i="15"/>
  <c r="BI33" i="17" s="1"/>
  <c r="BI15" i="15"/>
  <c r="BI36" i="17" s="1"/>
  <c r="BI10" i="15"/>
  <c r="BI31" i="17" s="1"/>
  <c r="BI50" i="17" s="1"/>
  <c r="BJ8" i="15"/>
  <c r="BI20" i="15"/>
  <c r="BI41" i="17" s="1"/>
  <c r="BI60" i="17" s="1"/>
  <c r="BI20" i="18" s="1"/>
  <c r="BI17" i="15"/>
  <c r="BI38" i="17" s="1"/>
  <c r="BI57" i="17" s="1"/>
  <c r="BI17" i="18" s="1"/>
  <c r="BI11" i="15"/>
  <c r="BI32" i="17" s="1"/>
  <c r="BI51" i="17" s="1"/>
  <c r="BJ18" i="5"/>
  <c r="BJ20" i="17" s="1"/>
  <c r="BJ10" i="5"/>
  <c r="BJ12" i="17" s="1"/>
  <c r="BJ13" i="5"/>
  <c r="BJ15" i="17" s="1"/>
  <c r="BJ16" i="5"/>
  <c r="BJ18" i="17" s="1"/>
  <c r="BJ20" i="5"/>
  <c r="BJ22" i="17" s="1"/>
  <c r="BJ12" i="5"/>
  <c r="BJ14" i="17" s="1"/>
  <c r="BJ14" i="5"/>
  <c r="BJ16" i="17" s="1"/>
  <c r="BJ9" i="5"/>
  <c r="BJ15" i="5"/>
  <c r="BJ17" i="17" s="1"/>
  <c r="BJ17" i="5"/>
  <c r="BJ19" i="17" s="1"/>
  <c r="BJ19" i="5"/>
  <c r="BJ21" i="17" s="1"/>
  <c r="BJ11" i="5"/>
  <c r="BJ13" i="17" s="1"/>
  <c r="BJ51" i="18"/>
  <c r="BI55" i="17"/>
  <c r="BH33" i="18"/>
  <c r="BG13" i="18"/>
  <c r="BG61" i="18"/>
  <c r="BH48" i="18"/>
  <c r="BH39" i="18"/>
  <c r="BI39" i="18" s="1"/>
  <c r="BI30" i="17" l="1"/>
  <c r="BI43" i="17" s="1"/>
  <c r="BI16" i="10" s="1"/>
  <c r="BJ49" i="10" s="1"/>
  <c r="BI22" i="15"/>
  <c r="BI15" i="10" s="1"/>
  <c r="BG18" i="18"/>
  <c r="BI36" i="18"/>
  <c r="BH16" i="18"/>
  <c r="BJ19" i="15"/>
  <c r="BJ40" i="17" s="1"/>
  <c r="BJ59" i="17" s="1"/>
  <c r="BJ19" i="18" s="1"/>
  <c r="BJ14" i="15"/>
  <c r="BJ35" i="17" s="1"/>
  <c r="BJ54" i="17" s="1"/>
  <c r="BJ18" i="15"/>
  <c r="BJ39" i="17" s="1"/>
  <c r="BJ12" i="15"/>
  <c r="BJ33" i="17" s="1"/>
  <c r="BJ52" i="17" s="1"/>
  <c r="BJ15" i="15"/>
  <c r="BJ36" i="17" s="1"/>
  <c r="BJ10" i="15"/>
  <c r="BJ31" i="17" s="1"/>
  <c r="BJ50" i="17" s="1"/>
  <c r="BJ16" i="15"/>
  <c r="BJ37" i="17" s="1"/>
  <c r="BJ11" i="15"/>
  <c r="BJ32" i="17" s="1"/>
  <c r="BJ13" i="15"/>
  <c r="BJ34" i="17" s="1"/>
  <c r="BJ9" i="15"/>
  <c r="BJ20" i="15"/>
  <c r="BJ41" i="17" s="1"/>
  <c r="BJ60" i="17" s="1"/>
  <c r="BJ20" i="18" s="1"/>
  <c r="BJ17" i="15"/>
  <c r="BJ38" i="17" s="1"/>
  <c r="BH11" i="18"/>
  <c r="BI31" i="18"/>
  <c r="BJ52" i="18"/>
  <c r="BJ57" i="18"/>
  <c r="BJ51" i="17"/>
  <c r="BJ55" i="18"/>
  <c r="BJ56" i="17"/>
  <c r="BJ57" i="17"/>
  <c r="BJ17" i="18" s="1"/>
  <c r="BH14" i="18"/>
  <c r="BI34" i="18"/>
  <c r="BH49" i="17"/>
  <c r="BJ50" i="18"/>
  <c r="BI40" i="18"/>
  <c r="BJ40" i="18" s="1"/>
  <c r="BJ58" i="17"/>
  <c r="BJ59" i="18"/>
  <c r="BF18" i="18"/>
  <c r="BH61" i="18"/>
  <c r="BI48" i="18"/>
  <c r="BJ53" i="17"/>
  <c r="BI32" i="18"/>
  <c r="BH12" i="18"/>
  <c r="BJ58" i="18"/>
  <c r="BH13" i="18"/>
  <c r="BI33" i="18"/>
  <c r="BH23" i="15"/>
  <c r="BI23" i="15" s="1"/>
  <c r="BH42" i="18"/>
  <c r="BI29" i="18"/>
  <c r="BH9" i="18"/>
  <c r="F28" i="16"/>
  <c r="F35" i="16" s="1"/>
  <c r="BG15" i="18"/>
  <c r="BH35" i="18"/>
  <c r="BJ56" i="18"/>
  <c r="BI30" i="18"/>
  <c r="BH10" i="18"/>
  <c r="BI37" i="18"/>
  <c r="BJ37" i="18" s="1"/>
  <c r="BJ39" i="18"/>
  <c r="BJ55" i="17"/>
  <c r="BJ11" i="17"/>
  <c r="BJ22" i="5"/>
  <c r="BJ46" i="10" s="1"/>
  <c r="BI23" i="5"/>
  <c r="BJ23" i="5" s="1"/>
  <c r="BI11" i="18" l="1"/>
  <c r="BJ31" i="18"/>
  <c r="BJ11" i="18" s="1"/>
  <c r="BI16" i="18"/>
  <c r="BJ36" i="18"/>
  <c r="BJ16" i="18" s="1"/>
  <c r="BI42" i="18"/>
  <c r="BJ29" i="18"/>
  <c r="BI9" i="18"/>
  <c r="BH18" i="18"/>
  <c r="BI61" i="18"/>
  <c r="BJ48" i="18"/>
  <c r="BJ61" i="18" s="1"/>
  <c r="G31" i="16" s="1"/>
  <c r="BJ32" i="18"/>
  <c r="BJ12" i="18" s="1"/>
  <c r="BI12" i="18"/>
  <c r="BJ30" i="18"/>
  <c r="BJ10" i="18" s="1"/>
  <c r="BI10" i="18"/>
  <c r="BJ34" i="18"/>
  <c r="BJ14" i="18" s="1"/>
  <c r="BI14" i="18"/>
  <c r="BI49" i="17"/>
  <c r="BJ30" i="17"/>
  <c r="BJ43" i="17" s="1"/>
  <c r="BJ22" i="15"/>
  <c r="BJ15" i="10" s="1"/>
  <c r="BJ49" i="17"/>
  <c r="BI35" i="18"/>
  <c r="BH15" i="18"/>
  <c r="BJ33" i="18"/>
  <c r="BJ13" i="18" s="1"/>
  <c r="BI13" i="18"/>
  <c r="BJ38" i="18"/>
  <c r="G32" i="16" l="1"/>
  <c r="BJ16" i="10"/>
  <c r="BJ42" i="18"/>
  <c r="BJ9" i="18"/>
  <c r="BJ23" i="15"/>
  <c r="BI18" i="18"/>
  <c r="BI15" i="18"/>
  <c r="BJ35" i="18"/>
  <c r="BJ15" i="18" s="1"/>
  <c r="BJ18" i="18" l="1"/>
  <c r="G17" i="16"/>
  <c r="G17" i="7"/>
  <c r="G9" i="7"/>
  <c r="G11" i="7"/>
  <c r="G18" i="7"/>
  <c r="G14" i="7"/>
  <c r="BJ11" i="7" l="1"/>
  <c r="BI11" i="7"/>
  <c r="BP11" i="7"/>
  <c r="BH11" i="7"/>
  <c r="BE11" i="7"/>
  <c r="BF11" i="7"/>
  <c r="BO11" i="7"/>
  <c r="BN11" i="7"/>
  <c r="BM11" i="7"/>
  <c r="BK11" i="7"/>
  <c r="BL11" i="7"/>
  <c r="BG11" i="7"/>
  <c r="BL9" i="7"/>
  <c r="BL29" i="7" s="1"/>
  <c r="BK9" i="7"/>
  <c r="BJ9" i="7"/>
  <c r="BG9" i="7"/>
  <c r="BG29" i="7" s="1"/>
  <c r="BH9" i="7"/>
  <c r="BM9" i="7"/>
  <c r="BI9" i="7"/>
  <c r="BF9" i="7"/>
  <c r="G29" i="7"/>
  <c r="G15" i="13" s="1"/>
  <c r="BO9" i="7"/>
  <c r="BP9" i="7"/>
  <c r="BN9" i="7"/>
  <c r="BN29" i="7" s="1"/>
  <c r="BE9" i="7"/>
  <c r="BO14" i="7"/>
  <c r="BG14" i="7"/>
  <c r="BN14" i="7"/>
  <c r="BF14" i="7"/>
  <c r="BM14" i="7"/>
  <c r="BE14" i="7"/>
  <c r="BP14" i="7"/>
  <c r="BJ14" i="7"/>
  <c r="BI14" i="7"/>
  <c r="BH14" i="7"/>
  <c r="BL14" i="7"/>
  <c r="BK14" i="7"/>
  <c r="BK18" i="7"/>
  <c r="BJ18" i="7"/>
  <c r="BI18" i="7"/>
  <c r="BL18" i="7"/>
  <c r="BH18" i="7"/>
  <c r="BM18" i="7"/>
  <c r="BO18" i="7"/>
  <c r="BN18" i="7"/>
  <c r="BG18" i="7"/>
  <c r="BE18" i="7"/>
  <c r="BP18" i="7"/>
  <c r="BF18" i="7"/>
  <c r="BL17" i="7"/>
  <c r="BK17" i="7"/>
  <c r="BJ17" i="7"/>
  <c r="BM17" i="7"/>
  <c r="BN17" i="7"/>
  <c r="BE17" i="7"/>
  <c r="BP17" i="7"/>
  <c r="BI17" i="7"/>
  <c r="BG17" i="7"/>
  <c r="BH17" i="7"/>
  <c r="BF17" i="7"/>
  <c r="BO17" i="7"/>
  <c r="BK29" i="7" l="1"/>
  <c r="BF24" i="17"/>
  <c r="BF47" i="10"/>
  <c r="BI29" i="7"/>
  <c r="BH24" i="17"/>
  <c r="BH47" i="10"/>
  <c r="BP29" i="7"/>
  <c r="BO29" i="7"/>
  <c r="BF29" i="7"/>
  <c r="BM29" i="7"/>
  <c r="BA24" i="17"/>
  <c r="BA47" i="10"/>
  <c r="BJ29" i="7"/>
  <c r="G16" i="13"/>
  <c r="BE29" i="7"/>
  <c r="BH29" i="7"/>
  <c r="AY47" i="10" l="1"/>
  <c r="AY24" i="17"/>
  <c r="BI24" i="17"/>
  <c r="BI47" i="10"/>
  <c r="BH62" i="17"/>
  <c r="BH22" i="18" s="1"/>
  <c r="BH48" i="10"/>
  <c r="BI17" i="10" s="1"/>
  <c r="BI40" i="10" s="1"/>
  <c r="BA62" i="17"/>
  <c r="BA22" i="18" s="1"/>
  <c r="BA48" i="10"/>
  <c r="BB17" i="10" s="1"/>
  <c r="BB40" i="10" s="1"/>
  <c r="G13" i="19"/>
  <c r="G14" i="19" s="1"/>
  <c r="G17" i="13"/>
  <c r="BJ24" i="17"/>
  <c r="BJ47" i="10"/>
  <c r="BD24" i="17"/>
  <c r="BD47" i="10"/>
  <c r="BC24" i="17"/>
  <c r="BC47" i="10"/>
  <c r="BG24" i="17"/>
  <c r="BG47" i="10"/>
  <c r="BF62" i="17"/>
  <c r="BF22" i="18" s="1"/>
  <c r="BF48" i="10"/>
  <c r="BG17" i="10" s="1"/>
  <c r="BG40" i="10" s="1"/>
  <c r="BB24" i="17"/>
  <c r="BB47" i="10"/>
  <c r="AZ24" i="17"/>
  <c r="AZ47" i="10"/>
  <c r="BE47" i="10"/>
  <c r="BE24" i="17"/>
  <c r="BE62" i="17" l="1"/>
  <c r="BE22" i="18" s="1"/>
  <c r="BE48" i="10"/>
  <c r="BF17" i="10" s="1"/>
  <c r="BF40" i="10" s="1"/>
  <c r="BE69" i="10"/>
  <c r="AZ62" i="17"/>
  <c r="AZ22" i="18" s="1"/>
  <c r="AZ48" i="10"/>
  <c r="BA17" i="10" s="1"/>
  <c r="BA40" i="10" s="1"/>
  <c r="AY62" i="17"/>
  <c r="AY22" i="18" s="1"/>
  <c r="AY23" i="18" s="1"/>
  <c r="AY48" i="10"/>
  <c r="AZ17" i="10" s="1"/>
  <c r="AZ40" i="10" s="1"/>
  <c r="BD62" i="17"/>
  <c r="BD22" i="18" s="1"/>
  <c r="BD48" i="10"/>
  <c r="BE17" i="10" s="1"/>
  <c r="BE40" i="10" s="1"/>
  <c r="BJ62" i="17"/>
  <c r="BJ22" i="18" s="1"/>
  <c r="G10" i="14" s="1"/>
  <c r="G18" i="16"/>
  <c r="BJ48" i="10"/>
  <c r="BJ69" i="10" s="1"/>
  <c r="BI62" i="17"/>
  <c r="BI22" i="18" s="1"/>
  <c r="BI48" i="10"/>
  <c r="BJ17" i="10" s="1"/>
  <c r="BJ40" i="10" s="1"/>
  <c r="BC62" i="17"/>
  <c r="BC22" i="18" s="1"/>
  <c r="BC48" i="10"/>
  <c r="BD17" i="10" s="1"/>
  <c r="BD40" i="10" s="1"/>
  <c r="AY69" i="10"/>
  <c r="AY71" i="10" s="1"/>
  <c r="AZ10" i="10" s="1"/>
  <c r="BG62" i="17"/>
  <c r="BG22" i="18" s="1"/>
  <c r="BG48" i="10"/>
  <c r="BH17" i="10" s="1"/>
  <c r="BH40" i="10" s="1"/>
  <c r="G19" i="13"/>
  <c r="BC51" i="10"/>
  <c r="BC69" i="10" s="1"/>
  <c r="BJ51" i="10"/>
  <c r="BB51" i="10"/>
  <c r="BI51" i="10"/>
  <c r="BI69" i="10" s="1"/>
  <c r="BA51" i="10"/>
  <c r="BA69" i="10" s="1"/>
  <c r="BD51" i="10"/>
  <c r="BD69" i="10" s="1"/>
  <c r="BH51" i="10"/>
  <c r="BH69" i="10" s="1"/>
  <c r="BE51" i="10"/>
  <c r="AZ51" i="10"/>
  <c r="AZ69" i="10" s="1"/>
  <c r="AY51" i="10"/>
  <c r="BG51" i="10"/>
  <c r="BG69" i="10" s="1"/>
  <c r="BF51" i="10"/>
  <c r="BF69" i="10" s="1"/>
  <c r="BB69" i="10"/>
  <c r="BB62" i="17"/>
  <c r="BB22" i="18" s="1"/>
  <c r="BB48" i="10"/>
  <c r="BC17" i="10" s="1"/>
  <c r="BC40" i="10" s="1"/>
  <c r="AZ71" i="10" l="1"/>
  <c r="BA10" i="10" s="1"/>
  <c r="BA71" i="10" s="1"/>
  <c r="BB10" i="10" s="1"/>
  <c r="BB71" i="10" s="1"/>
  <c r="BC10" i="10" s="1"/>
  <c r="BC71" i="10" s="1"/>
  <c r="BD10" i="10" s="1"/>
  <c r="BD71" i="10" s="1"/>
  <c r="BE10" i="10" s="1"/>
  <c r="BE71" i="10" s="1"/>
  <c r="BF10" i="10" s="1"/>
  <c r="BF71" i="10" s="1"/>
  <c r="BG10" i="10" s="1"/>
  <c r="BG71" i="10" s="1"/>
  <c r="BH10" i="10" s="1"/>
  <c r="BH71" i="10" s="1"/>
  <c r="BI10" i="10" s="1"/>
  <c r="BI71" i="10" s="1"/>
  <c r="BJ10" i="10" s="1"/>
  <c r="BJ71" i="10" s="1"/>
  <c r="G19" i="16" s="1"/>
  <c r="G20" i="16" s="1"/>
  <c r="G21" i="16" s="1"/>
  <c r="H24" i="12"/>
  <c r="G22" i="13"/>
  <c r="G26" i="13" l="1"/>
  <c r="G23" i="13"/>
  <c r="G30" i="13" l="1"/>
  <c r="G27" i="13"/>
  <c r="G34" i="13" l="1"/>
  <c r="G31" i="13"/>
  <c r="G32" i="14" l="1"/>
  <c r="G33" i="16"/>
  <c r="G34" i="16" s="1"/>
  <c r="G35" i="13"/>
  <c r="G31" i="14" l="1"/>
  <c r="G33" i="14" s="1"/>
  <c r="G17" i="14"/>
  <c r="G18" i="14" s="1"/>
  <c r="G36" i="13"/>
  <c r="G27" i="16"/>
  <c r="G28" i="16" s="1"/>
  <c r="G35" i="16" s="1"/>
  <c r="G35" i="14" l="1"/>
  <c r="G37" i="14" s="1"/>
</calcChain>
</file>

<file path=xl/sharedStrings.xml><?xml version="1.0" encoding="utf-8"?>
<sst xmlns="http://schemas.openxmlformats.org/spreadsheetml/2006/main" count="556" uniqueCount="283">
  <si>
    <t>Auteur : Remi BERTHIER</t>
  </si>
  <si>
    <t>http://www.fisy.fr/</t>
  </si>
  <si>
    <t>FISY ESSENTIEL - L'outil financier simple et gratuit des startups</t>
  </si>
  <si>
    <t>Construire son business model et sa stratégie</t>
  </si>
  <si>
    <t>Gérer votre trésorerie et structurer votre plan de financement</t>
  </si>
  <si>
    <t xml:space="preserve">Itérer et améliorer votre projet de startup </t>
  </si>
  <si>
    <t>Exporter votre prévisionnel pour votre Business Plan</t>
  </si>
  <si>
    <t>PARTENAIRES</t>
  </si>
  <si>
    <t xml:space="preserve">FISY est un outil conçu pour être simple et complet, dans le but d'aider l'entrepreneur dans la modélisation financière de son projet de création d'entreprise. Une connaissance minimale de la finance est néanmoins préférable pour tirer pleinement partie de l'outil. 
Conseil : Commencer par lire l'onglet "GUIDE" avant de démarrer l'utilisation de FISY. </t>
  </si>
  <si>
    <t>GUIDE</t>
  </si>
  <si>
    <t>Etape 0 : Introduction
Un outil financier est un support d'aide à la réflexion de construction et de validation d'une stratégie d'entreprise. Pour utiliser cet outil, il faudra :
 1 - Commencer par renseigner des informations sur le projet d'entreprise (ONGLETS CLAIRS)
 2 - Analyser les résultats (ONGLETS FONCES)
Une approche itérative de ces phases est généralement nécessaire pour affiner votre projet.
Toute l'articulation de l'outil repose sur la possibilité de différencier plusieurs activités de revenus au sein de votre projet. Nous vous proposons de pouvoir gérer jusqu'à 12 "activités", même si la majorité des projets n'auront besoin de gérer qu'une ou deux activité(s).
Les montants doivent être indiqués en € HT. Tous les calculs de TVA seront gérés automatiquement. La TVA est par défaut fixée à 20% mais peut être configurée dans l'onglet "CONFIG".
Les feuilles sont "protégées" pour éviter que des erreurs de manipulations endommagent l'outil. Vous pouvez cependant dévérouiller ces feuilles sans mot de passe si vous souhaitez les personnaliser (clic droit sur l'onglet, puis "Ôter la protection des feuilles"). Certains onglets de calculs automatiques sont "masqués". Pour les visualiser, faites un clic droit  sur la barre des onglets et choisissez "Afficher", puis sélectionnez l'onglet à afficher.  Vous pouvez également si besoin créer des onglets personnalisés pour des calculs personnalisés.</t>
  </si>
  <si>
    <t>Etape 1 : Renseigner l'onglet "CONFIG"
C'est le point de départ de la prise en main de l'outil. Commencez par renseigner les informations de "Configuration de base". Vous pourrez attaquer le renseignement des informations de "Configuration avancée" dans un second temps : ces informations sont pré-remplies pour vous simplifier la prise en main. Il vous sera très probablement nécéssaire de les ajuster à vos besoins par la suite.</t>
  </si>
  <si>
    <t xml:space="preserve">Etape 2 : Renseigner l'onglet "Personnel"
Précisez les besoins en ressources humaines du projet au court du temps. Vous aurez à renseigner le salaire brut des personnes, mensuellement pour les années 1 et 2 et semestriellement pour les années 3 à 5. Les charges patronales sont calculées automatiquement. Vous pourrez modifier le taux de charges dans l'onglet "CONFIG". Pour les dirigeants au régime TNS, précisez directement un salaire totalement chargé. </t>
  </si>
  <si>
    <t>Etape 3 : Renseigner l'onglet "Charges externes"
Précisez les charges externes de l'entreprise. Une partie est calculée automatiquement à partir d'informations,  que vous pouvez modifier, définies dans la partie "Configuration avancée" de l'onglet "CONFIG". Vous pouvez également préciser d'autres charges mensuellement.</t>
  </si>
  <si>
    <t>Etape 4 : Renseigner l'onglet "Investissements"
Précisez les investissements nécessaires pour le projet. Vous pouvez dissocier les types investissements par ligne. Pour chaque ligne, vous pourrez préciser les montants d'investisements mensuellement ainsi que les durées d'amortissement (tout à droite du tableau). Vous pourrez aussi spécifier si c'est un investissement "normal" ou en crédit-bail. Dans le cas d'un crédit-bail, vous aurez à renseigner les loyers à payer. Vous pouvez également préciser dans cet onglet les éventuels apports en nature que vous intégrez à l'entreprise.</t>
  </si>
  <si>
    <t>Etape 5 : Renseigner l'onglet "Commandes"
Précisez les prévisions de commandes mensuelles par type d'activité. FISY propose un renseignement mensuel sur 5 ans pour vous faciliter la construction de prévisions estimatives à partir de fomules (fonction de votre business model et de vos hypothèses). Les encaissements et les décaissements liés à ces commandes (chiffres d'affaires et charges variables associées) seront calculés automatiquement sur la base des informations précisées dans l'onglet "CONFIG" (dans les tableaux "Chiffres d'Affaires" et "Charges variables").</t>
  </si>
  <si>
    <t>Etape 6 : Renseigner l'onglet "Trésorerie"
Préciser les financements identifiés pour le projet d'entreprise : capital (initial et augmentation par levée de fonds), prêts bancaires, subventions, … ainsi que certains besoins en financements à couvrir : stock moyen, remboursement de comptes courants et/ou d'avances, ...</t>
  </si>
  <si>
    <t>Etape 7 : Analyser les onglets "Synthèse", "Comptes de résultats", "Plan de financement" et "Bilans"
Une fois les informations renseignées, l'outil générera les comptes de résultats de l'entreprise, les bilans, le plan de trésorerie menusel, le plan de financement, les points morts par années d'activités, le BFR ... et des graphiques que vous retrouverez dans l'onglet de synthèse. Ces informations vous permettront d'analyser le potentiel du projet, les enjeux commerciaux, les enjeux de financements, ...
Vous pouvez désormais travailler par itération pour affiner votre vision financière de votre projet et votre stratégie d'entreprise.</t>
  </si>
  <si>
    <t>CONFIGURATION DE BASE</t>
  </si>
  <si>
    <t>Note : Informations à renseigner pour démarrer votre prévisionnel.  L'onglet "CONFIG" possède  plus bas une deuxième zone de "Configuration avancée" à ne remplir qu'une fois que l'outil vous est plus familier.</t>
  </si>
  <si>
    <t>Date de démarrage de l'activité</t>
  </si>
  <si>
    <t>CHIFFRE D'AFFAIRES</t>
  </si>
  <si>
    <t>Note sur la construction du chiffre d'affaires : Vous pouvez gérer plusieurs activités de revenus  dans ce prévisionnel financier. Commencez par indiquer les intitulés de vos activités.
Renseignez par activité de revenus :
 - Le revenu unitaire (par unité commandée. Le nombre d'unités commandées étant défini mensuellement dans l'onglet "Commandes")
 - Le délai de livraison (temps de production+livraison)
 - Le délai de paiement client
 - L'acompte éventuellement payé par le client à la commande
 - Le solde final payé à date de livraison + délai de paiement (automatique)</t>
  </si>
  <si>
    <t>Dénomination de l'activité</t>
  </si>
  <si>
    <t>Prix unitaire 
(en € HT)</t>
  </si>
  <si>
    <t>Délai de livraison (en mois)</t>
  </si>
  <si>
    <t>Délai de paiement 
(en mois)</t>
  </si>
  <si>
    <t>Acompte initial
(en %)</t>
  </si>
  <si>
    <t>Solde 
(en %)</t>
  </si>
  <si>
    <t>Vente d'abonnement mensuel (30 Shots)</t>
  </si>
  <si>
    <t>Vente de pack découverte (9 Shots)</t>
  </si>
  <si>
    <t xml:space="preserve">Vente de shots à l'unité </t>
  </si>
  <si>
    <t>Vente d'abonnement annuel (360 Shots)</t>
  </si>
  <si>
    <t>CHARGES VARIABLES</t>
  </si>
  <si>
    <t>Note sur les charges variables : Ces informations permettent de calculer automatiquement les charges variables associées aux commandes précisées dans l'onglet "Commandes". Les données à renseigner suivent le même modèle que le tableau ci-dessus. 
Les charges variables pour une activité donnée correspondent aux achats de matières premières et de sous-traitances que votre entreprises devra faire pour réaliser et livrer une unité commandée. Les informations sont donc liées à vos conditions commerciales négociées avec vos fournisseurs et prestataires : prix, délai de livraison, délai de paiement, acompte initial et solde du paiement.</t>
  </si>
  <si>
    <t>Coût unitaire
(en € HT)</t>
  </si>
  <si>
    <t>CONFIGURATION AVANCEE</t>
  </si>
  <si>
    <t>Note : Une fois que vous avez pris en main l'outil, vous pouvez affiner vos prévisions en personnalisant les données par défaut de cette partie "Configuration avancée".</t>
  </si>
  <si>
    <t>CHARGES EXTERNES</t>
  </si>
  <si>
    <t>Note : Ce tableau permet de calculer automatiquement les charges externes de l'entreprise. Pour mieux comprendre comment est calculée chaque ligne, veuillez vous référer aux commentaires associés. Des valeurs par défaut sont proposées à titre indicatif pour simplifier la prise en main initiale de l'outil et seront à affiner en fonction du projet. Vous pouvez aussi définir des charges externes sur mesure dans l'onglet "Charges externes".</t>
  </si>
  <si>
    <t>Poste</t>
  </si>
  <si>
    <t>Fixe (en € HT)</t>
  </si>
  <si>
    <t>Variable</t>
  </si>
  <si>
    <t>Commentaires</t>
  </si>
  <si>
    <t>Frais de déplacement</t>
  </si>
  <si>
    <t>Calculé sur la base d'un forfait fixe annuel + variable en % du CA</t>
  </si>
  <si>
    <t>Honoraires</t>
  </si>
  <si>
    <t>Calculé sur la base d'un forfait fixe annuel + variable par salarié</t>
  </si>
  <si>
    <t>Marketing</t>
  </si>
  <si>
    <t>Locaux</t>
  </si>
  <si>
    <t>Téléphonie</t>
  </si>
  <si>
    <t>Assurance</t>
  </si>
  <si>
    <t>Fournitures</t>
  </si>
  <si>
    <t>Informatique</t>
  </si>
  <si>
    <t>Frais bancaires</t>
  </si>
  <si>
    <t>Divers</t>
  </si>
  <si>
    <t>CHARGES DE PERSONNEL</t>
  </si>
  <si>
    <t xml:space="preserve">Note sur les charges : Il est possible de modifier le taux de charges salariales moyen proposé. Note sur la gratification des stagiaires : En France, il y a une gratification minimale obligatoire si le stage dure plus de deux mois. Un employeur ne paie cependant pas de charges, si le salaire du stagiaire est égal au minimum légal. </t>
  </si>
  <si>
    <t>Charges patronales (% du salaire brut)</t>
  </si>
  <si>
    <t>Charges salariales (% du salaire brut)</t>
  </si>
  <si>
    <t>Gratification minimale de stagiaire</t>
  </si>
  <si>
    <t>TVA</t>
  </si>
  <si>
    <t>Note sur la TVA : Vous pouvez définir un taux de TVA par type d'activité, qui sera utilisé aussi bien pour les encaissements de TVA liés au Chiffre d'affaires que pour les décaissements de TVA liés aux charges variables. Vous pouvez également définir un taux de TVA générique pour les investissements et les charges externes.</t>
  </si>
  <si>
    <t>Intitulés</t>
  </si>
  <si>
    <t>TVA -
Charges variables</t>
  </si>
  <si>
    <t>TVA -
Chiffre d'affaires</t>
  </si>
  <si>
    <t>TVA Charges variables : moyenne entre consommables à 5,5 TVA et 20% TVA des matériaux</t>
  </si>
  <si>
    <t>Taux générique (investissements et charges externes)</t>
  </si>
  <si>
    <t>FINANCEMENTS</t>
  </si>
  <si>
    <t>Note sur le financement : Vous pouvez définir un taux ainsi qu'une durée de remboursement pour les prêts court et moyen/long termes.</t>
  </si>
  <si>
    <t>Court Terme</t>
  </si>
  <si>
    <t>Moyen/Long Terme</t>
  </si>
  <si>
    <t>Taux de prêt bancaire</t>
  </si>
  <si>
    <t>Taux actuariel (taux  sur la période globale d'emprunt)</t>
  </si>
  <si>
    <t>Durée de remboursement (en mois)</t>
  </si>
  <si>
    <t>PERSONNEL</t>
  </si>
  <si>
    <t>Note : Renseignez dans cet onglet les informations sur le personnel de l'entreprise : Type de poste, salaires bruts annuels et nombre de salariés (par mois pour les années 1 et 2, puis par semestre). Pour les régimes TNS, précisez les salaires totalement chargés.</t>
  </si>
  <si>
    <t>Année 1</t>
  </si>
  <si>
    <t>Année 2</t>
  </si>
  <si>
    <t>Année 3</t>
  </si>
  <si>
    <t>Année 4</t>
  </si>
  <si>
    <t>Année 5</t>
  </si>
  <si>
    <t>Salaires bruts 
annuels</t>
  </si>
  <si>
    <t>Nombre de salariés</t>
  </si>
  <si>
    <t>ETP</t>
  </si>
  <si>
    <t>S1</t>
  </si>
  <si>
    <t>S2</t>
  </si>
  <si>
    <t>Dirigeant (régime TNS)</t>
  </si>
  <si>
    <t>Dirigeant (salarié) 1</t>
  </si>
  <si>
    <t>Dirigeant (salarié) 2</t>
  </si>
  <si>
    <t>Responsable Production</t>
  </si>
  <si>
    <t xml:space="preserve">Opérateur Polyvalent </t>
  </si>
  <si>
    <t xml:space="preserve">Service Client Administrateur des Vente </t>
  </si>
  <si>
    <t>Alternant Marketing</t>
  </si>
  <si>
    <t>Stagiaire</t>
  </si>
  <si>
    <t>Chargé Marketing</t>
  </si>
  <si>
    <t>Responsable Logistique</t>
  </si>
  <si>
    <t>TOTAL</t>
  </si>
  <si>
    <t>Charges variables (en € HT)</t>
  </si>
  <si>
    <t xml:space="preserve">Note : Ces tableaux sont remplis automatiquement après avoir complété les informations dans l'onglet "Configuration" liées aux "Charges variables" et les informations des commandes prévisionnelles dans l'onglet "Commandes". </t>
  </si>
  <si>
    <t>Charges totales décaissées</t>
  </si>
  <si>
    <t>TOTAL annuel cumulé</t>
  </si>
  <si>
    <t>Charges totales</t>
  </si>
  <si>
    <t>Calculs auto liés au Personnel</t>
  </si>
  <si>
    <t>Nb employés</t>
  </si>
  <si>
    <t>Salaires bruts</t>
  </si>
  <si>
    <t xml:space="preserve">Total </t>
  </si>
  <si>
    <t>Charges</t>
  </si>
  <si>
    <t>Charges de personnel totale</t>
  </si>
  <si>
    <t>CHARGES EXTERNES (en € HT)</t>
  </si>
  <si>
    <t>Note sur les charges externes : Les charges externes grisées, dont les décaissements sont lissés mensuellement, sont calculées automatiquement à partir des informations indiquées dans la section "Charges externes" de l'onglet "CONFIG" (information de "Configuration avancée") et du chiffre d'affaires calculé et des informations de personnel renseignées. D'autres charges externes personnalisables pourront être renseignées si besoin dans les cases marrons. Renseignez dans ce cas le nom du poste de charges dans le tableau de gauche et les décaissements mensuels associés dans le tableau de droite.</t>
  </si>
  <si>
    <t>Charges annuelles consolidées</t>
  </si>
  <si>
    <t>INVESTISSEMENTS (en € HT)</t>
  </si>
  <si>
    <t>Note : Définissez vos investissements et apports en nature en précisant les intitulés et sommes des investissements, ainsi que les durées d'amortissement (à droite du tableau). 
Pour un investissement en crédit-bail, spécifiez les loyers mensuels à payer et renseignez la mention "VRAI" dans la colonne "Financements en crédit-bail". Dans le cas d'un financement par crédit-bail, la durée d'amortissement n'a pas d'effet.</t>
  </si>
  <si>
    <t xml:space="preserve">Frigo suppl et matériel info pour l'opérateur polyvalent </t>
  </si>
  <si>
    <t xml:space="preserve">Etiqueteuse automatique </t>
  </si>
  <si>
    <t>Amortissement (en années) 
0 si non amortissable</t>
  </si>
  <si>
    <t>Financement en crédit-bail (VRAI/FAUX)</t>
  </si>
  <si>
    <t>Matériel de Production (Presse/Dosage)</t>
  </si>
  <si>
    <t>Aménagement Laboratoire &amp; Travaux</t>
  </si>
  <si>
    <t>Site Web &amp; Identité de Marque</t>
  </si>
  <si>
    <t>Matériel Informatique &amp; Bureau</t>
  </si>
  <si>
    <t>Dépôts et cautionnements</t>
  </si>
  <si>
    <t>Mobilier de Stockage et Petits Outillages</t>
  </si>
  <si>
    <t>Véhicule utilitaire (livraisons)</t>
  </si>
  <si>
    <t>COMMANDES</t>
  </si>
  <si>
    <t>Note : Indiquez dans ce tableau pour chaque activité, la prévision du nombre d'unités commandées mensuellement. Attention! On parle de commandes, et non de paiements. 
Les délais de paiement sont à définir dans l'onglet "CONFIG". Les paiements associés seront automatiquement calculés ci-dessous, en fonction des informations entrées dans l'onglet "CONFIG" en lien avec les "Commandes" renseignées.</t>
  </si>
  <si>
    <t>Commandes réalisées</t>
  </si>
  <si>
    <t>TRESORERIE</t>
  </si>
  <si>
    <t>Note : Renseignez ici les encaissements liés à l'apport et augmentation en capital, de comptes courants, prêts remboursables et prêts bancaires, ainsi que les décaissements liés aux remboursements des comptes courants et des prêts (en fonction de vos échéanciers).</t>
  </si>
  <si>
    <t>Solde de début de mois</t>
  </si>
  <si>
    <t>Encaissements</t>
  </si>
  <si>
    <t xml:space="preserve">Exploitation </t>
  </si>
  <si>
    <t>Chiffre d'affaires encaissé</t>
  </si>
  <si>
    <t>TVA encaissée</t>
  </si>
  <si>
    <t>Remboursement TVA</t>
  </si>
  <si>
    <t xml:space="preserve">Hors exploitation </t>
  </si>
  <si>
    <t>Capital fondateurs</t>
  </si>
  <si>
    <t>Capital investisseurs</t>
  </si>
  <si>
    <t>Prêts bancaires Court Terme</t>
  </si>
  <si>
    <t>Prêts bancaires Moyen/Long Terme</t>
  </si>
  <si>
    <t>Subventions (total)</t>
  </si>
  <si>
    <t>Subvention 1</t>
  </si>
  <si>
    <t>Subvention 2</t>
  </si>
  <si>
    <t>Subvention 3</t>
  </si>
  <si>
    <t>Autres subventions</t>
  </si>
  <si>
    <t>Comptes courants (total)</t>
  </si>
  <si>
    <t>Compte courant 1</t>
  </si>
  <si>
    <t>Compte courant 2</t>
  </si>
  <si>
    <t>Compte courant 3</t>
  </si>
  <si>
    <t>Autres comptes courants</t>
  </si>
  <si>
    <t>Avances remboursables (total)</t>
  </si>
  <si>
    <t>Avances remboursables 1</t>
  </si>
  <si>
    <t>Avances remboursables 2</t>
  </si>
  <si>
    <t>Avances remboursables 3</t>
  </si>
  <si>
    <t>Autres avances remboursables</t>
  </si>
  <si>
    <t>Total des encaissements mensuels</t>
  </si>
  <si>
    <t>Décaissements</t>
  </si>
  <si>
    <t>Variation de stocks</t>
  </si>
  <si>
    <t>Achats et services décaissés</t>
  </si>
  <si>
    <t>Autres charges externes</t>
  </si>
  <si>
    <t>TVA décaissée</t>
  </si>
  <si>
    <t>TVA reversée</t>
  </si>
  <si>
    <t>Charges de personnel</t>
  </si>
  <si>
    <t>Impôts et taxes</t>
  </si>
  <si>
    <t>Investissements</t>
  </si>
  <si>
    <t>Investissement par crédit bail</t>
  </si>
  <si>
    <t>Remboursement prêts bancaires CT</t>
  </si>
  <si>
    <t>Remboursement prêts bancaires MT/LT</t>
  </si>
  <si>
    <t>Remboursements comptes courants (total)</t>
  </si>
  <si>
    <t>Remboursements avances remboursables (total)</t>
  </si>
  <si>
    <t>Total des décaissements mensuels</t>
  </si>
  <si>
    <t>Solde de fin de mois</t>
  </si>
  <si>
    <t>OUTIL DE PILOTAGE</t>
  </si>
  <si>
    <t>Note : Ce tableau sur 12 mois est à utiliser comme un exemple de base d'outil de pilotage pour l'entrepreneur qu'il pourra s'approprier et adapter aux besoins de gestion propre à son entreprise.</t>
  </si>
  <si>
    <t>Indicateur personnalisable</t>
  </si>
  <si>
    <t>Prévisions</t>
  </si>
  <si>
    <t>Cumul prévisions</t>
  </si>
  <si>
    <t>Réel</t>
  </si>
  <si>
    <t>Cumul réel</t>
  </si>
  <si>
    <t>Ecart cumulé</t>
  </si>
  <si>
    <t>Montant des commandes 
(en € HT)</t>
  </si>
  <si>
    <t>Chiffre d'affaires encaissé 
(en € HT)</t>
  </si>
  <si>
    <t>Marge brute encaissée 
(en € HT)</t>
  </si>
  <si>
    <t xml:space="preserve">Salaires et charges
</t>
  </si>
  <si>
    <t>Effectifs 
fin de mois</t>
  </si>
  <si>
    <t>Trésorerie</t>
  </si>
  <si>
    <t>CA / Effectifs prévisionnels</t>
  </si>
  <si>
    <t>Instantané</t>
  </si>
  <si>
    <t>Cumulé</t>
  </si>
  <si>
    <t>SYNTHESE</t>
  </si>
  <si>
    <t>Note : Cette synthèse permet d'analyser son projet avec une vision centralisée. Tout est calculé automatiquement.</t>
  </si>
  <si>
    <t>Chiffre d'affaires et résultats prévisionnels (en  € HT)</t>
  </si>
  <si>
    <t>Trésorerie et BFR sur 5 ans</t>
  </si>
  <si>
    <t>Point mort annuel (moyen) (en € HT)</t>
  </si>
  <si>
    <t>Point mort</t>
  </si>
  <si>
    <t xml:space="preserve">Note d'aide à l'analyse : Le graphique du "chiffre d'affaires et résultats prévisionnels" vous permet de visualiser l'évolution prévisionnelle du CA et du résultat net. Evaluez le volume et la croissance du CA et du résultat au regard de vos objectifs et de vos moyens.
Le point mort est le seuil de CA à partir duquel l'entreprise est "rentable" pour un niveau de charges fixes (salaires, charge externes, ...). Comparez votre CA et le point mort année par année. Votre objectif doit être, à court ou moyen terme, d'obtenir un CA supérieur au point mort.
Le graphique "Trésorerie et BFR" vous permet de visualiser et d'analyser l'évolution de la trésorerie et du BFR sur 5 ans. Il est impératif que la trésorerie soit toujours positive. Concernant le BFR, si il  est positif et qu'il augmente cela représente une augmentation de besoin en financement alors que si il est négatif et diminue dans le temps, il s'agira d'une source de financement. Attention à bien en analyser les fluctuations et les impacts sur les besoins en financement.
</t>
  </si>
  <si>
    <t>COMPTES DE RESULTATS (HT)</t>
  </si>
  <si>
    <t>Note : Les comptes de résultats sont calculés automatiquement à partir des informations que vous avez renseignées.</t>
  </si>
  <si>
    <t>Chiffre d'affaires (CA)</t>
  </si>
  <si>
    <t>Achats et charges de production</t>
  </si>
  <si>
    <t>Marge brute</t>
  </si>
  <si>
    <t>Charges externes</t>
  </si>
  <si>
    <t>Valeur ajoutée (VA)</t>
  </si>
  <si>
    <t>Subventions d'exploitation</t>
  </si>
  <si>
    <t>Excédent brut d'exploitation (EBE)</t>
  </si>
  <si>
    <t>Dotations aux amortissements</t>
  </si>
  <si>
    <t>Résultat d'exploitation (REx)</t>
  </si>
  <si>
    <t>Charges financières</t>
  </si>
  <si>
    <t>Résultat courant</t>
  </si>
  <si>
    <t>Reports déficitaires</t>
  </si>
  <si>
    <t>Impots sur les sociétés (IS)</t>
  </si>
  <si>
    <t>Résultat Net (RN)</t>
  </si>
  <si>
    <t>PLAN DE FINANCEMENT</t>
  </si>
  <si>
    <t>Note : Le plan de financement est calculé automatiquement à partir des informations que vous avez renseignées.</t>
  </si>
  <si>
    <t>EMPLOIS (a)</t>
  </si>
  <si>
    <t>Variation du BFR</t>
  </si>
  <si>
    <t>Investissement</t>
  </si>
  <si>
    <t>Investissement par apport en nature</t>
  </si>
  <si>
    <t>Remboursement des prets bancaires</t>
  </si>
  <si>
    <t>Remboursement des comptes courants</t>
  </si>
  <si>
    <t>Remboursement des avances remboursables</t>
  </si>
  <si>
    <t>CAF négative (hors subvention)</t>
  </si>
  <si>
    <t>TOTAL EMPLOIS</t>
  </si>
  <si>
    <t>RESSOURCES (b)</t>
  </si>
  <si>
    <t>Apport en nature</t>
  </si>
  <si>
    <t>Comptes courants</t>
  </si>
  <si>
    <t>TOTAL (quasi) FONDS PROPRES</t>
  </si>
  <si>
    <t>Prêts bancaires CT</t>
  </si>
  <si>
    <t>Prêts bancaires MT/LT</t>
  </si>
  <si>
    <t>Crédit bail</t>
  </si>
  <si>
    <t>Avances et prêts remboursables</t>
  </si>
  <si>
    <t>Subvention</t>
  </si>
  <si>
    <t>CAF positive (hors subvention)</t>
  </si>
  <si>
    <t>Dette IS</t>
  </si>
  <si>
    <t>TOTAL RESSOURCES</t>
  </si>
  <si>
    <t>Excédent période (b) - (a)</t>
  </si>
  <si>
    <t>Excédent début période</t>
  </si>
  <si>
    <t>EXCEDENT</t>
  </si>
  <si>
    <t>Calculs auto liés aux commandes</t>
  </si>
  <si>
    <t>Chiffre d'affaires encaissé (en € HT)</t>
  </si>
  <si>
    <t>Activités</t>
  </si>
  <si>
    <t>Chiffre d'affaires (en € HT)</t>
  </si>
  <si>
    <t>BILANS</t>
  </si>
  <si>
    <t xml:space="preserve">Note : Les bilans sont calculés automatiquement à partir des informations que vous avez renseignées. </t>
  </si>
  <si>
    <t>ACTIF</t>
  </si>
  <si>
    <t>ACTIFS IMMOBILISES</t>
  </si>
  <si>
    <t>Immobilisations (Brut)</t>
  </si>
  <si>
    <t>Amortissements</t>
  </si>
  <si>
    <t>Immobilisations (Net)</t>
  </si>
  <si>
    <t>TOTAL ACTIFS IMMOBILISES</t>
  </si>
  <si>
    <t>ACTIFS CIRCULANTS</t>
  </si>
  <si>
    <t>Stocks</t>
  </si>
  <si>
    <t>Créances clients</t>
  </si>
  <si>
    <t>Créances TVA</t>
  </si>
  <si>
    <t>TOTAL ACTIFS CIRCULANTS</t>
  </si>
  <si>
    <t>TOTAL ACTIF</t>
  </si>
  <si>
    <t>PASSIF</t>
  </si>
  <si>
    <t>CAPITAUX PROPRES</t>
  </si>
  <si>
    <t>Capital</t>
  </si>
  <si>
    <t>Réserves et Résultats</t>
  </si>
  <si>
    <t>TOTAL CAPITAUX PROPRES</t>
  </si>
  <si>
    <t>DETTES</t>
  </si>
  <si>
    <t>Prêts et avances</t>
  </si>
  <si>
    <t>Dettes fournisseurs</t>
  </si>
  <si>
    <t>Dette TVA</t>
  </si>
  <si>
    <t>Dette fiscale</t>
  </si>
  <si>
    <t>TOTAL DETTES</t>
  </si>
  <si>
    <t>TOTAL PASSIF</t>
  </si>
  <si>
    <t>Note : Tout est calculé automatiquement.</t>
  </si>
  <si>
    <t>Dettes TVA</t>
  </si>
  <si>
    <t>BFR TVA</t>
  </si>
  <si>
    <t>BFR</t>
  </si>
  <si>
    <t>Note : Tout est calculé automatiquement</t>
  </si>
  <si>
    <t>BFR Annuel MAX</t>
  </si>
  <si>
    <t>IMPOTS ET TAXES</t>
  </si>
  <si>
    <t>Note sur les Impôts et taxes :
Ces impôts et taxes sont calculés automatiquement sur la base des informations saisies. 
Ces informations, correspondant aux principaux impôts et taxes, sont données à titre indicatif. Elles ne représentent pas l'exhaustivité des impots et taxes existantes et ne garantissent pas un calcul exact pour les impôts et taxes cités. La CFE est calculée sur un taux moyen de 27,26%, en prenant en compte des dégrèvements possibles et un montant minimal à payer.</t>
  </si>
  <si>
    <t>Taxe d'apprentissage</t>
  </si>
  <si>
    <t>Participation à la formation continue</t>
  </si>
  <si>
    <t>Effort de construction</t>
  </si>
  <si>
    <t>Contribution sociale de solidarité des sociétés</t>
  </si>
  <si>
    <t>Contribution économique du territoire / Cotisation foncière des entreprises</t>
  </si>
  <si>
    <t>Contribution économique du territoire / Cotisation sur la valeur ajoutée des entreprises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</si>
</sst>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 #,##0.00_)\ &quot;€&quot;_ ;_ * \(#,##0.00\)\ &quot;€&quot;_ ;_ * &quot;-&quot;??_)\ &quot;€&quot;_ ;_ @_ "/>
    <numFmt numFmtId="164" formatCode="#,##0\ &quot;€&quot;;\-#,##0\ &quot;€&quot;;;@"/>
    <numFmt numFmtId="165" formatCode="#,##0.00\ &quot;€&quot;;[Red]\-#,##0.00\ &quot;€&quot;"/>
    <numFmt numFmtId="166" formatCode=";;;@"/>
    <numFmt numFmtId="167" formatCode="#,##0.00\ &quot;€&quot;"/>
    <numFmt numFmtId="168" formatCode="#,##0\ &quot;€&quot;"/>
    <numFmt numFmtId="169" formatCode="_-* #,##0.00\ &quot;€&quot;_-;\-* #,##0.00\ &quot;€&quot;_-;_-* &quot;-&quot;??\ &quot;€&quot;_-;_-@_-"/>
    <numFmt numFmtId="170" formatCode="0.0%"/>
    <numFmt numFmtId="171" formatCode="[$-40C]mmm\ yyyy;@"/>
    <numFmt numFmtId="172" formatCode="_-* #,##0\ &quot;€&quot;_-;\-* #,##0\ &quot;€&quot;_-;_-* &quot;-&quot;??\ &quot;€&quot;_-;_-@_-"/>
    <numFmt numFmtId="173" formatCode="#,##0.0\ &quot;€&quot;;\-#,##0.00\ &quot;€&quot;;;@"/>
    <numFmt numFmtId="174" formatCode="#,##0;;;@"/>
    <numFmt numFmtId="175" formatCode="_-* #,##0\ [$€-40C]_-;\-* #,##0\ [$€-40C]_-;_-* &quot;-&quot;??\ [$€-40C]_-;_-@_-"/>
  </numFmts>
  <fonts count="15"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u/>
      <sz val="9.35"/>
      <color theme="10"/>
      <name val="Calibri"/>
      <family val="2"/>
    </font>
    <font>
      <sz val="11"/>
      <color theme="0"/>
      <name val="Calibri"/>
      <family val="2"/>
      <scheme val="minor"/>
    </font>
    <font>
      <b/>
      <sz val="11"/>
      <color theme="0"/>
      <name val="Calibri"/>
      <family val="2"/>
      <scheme val="minor"/>
    </font>
    <font>
      <sz val="8"/>
      <color theme="0"/>
      <name val="Calibri"/>
      <family val="2"/>
      <scheme val="minor"/>
    </font>
    <font>
      <sz val="11"/>
      <name val="Calibri"/>
      <family val="2"/>
      <scheme val="minor"/>
    </font>
    <font>
      <b/>
      <sz val="11"/>
      <name val="Calibri"/>
      <family val="2"/>
      <scheme val="minor"/>
    </font>
    <font>
      <b/>
      <sz val="14"/>
      <color theme="0"/>
      <name val="Calibri"/>
      <family val="2"/>
      <scheme val="minor"/>
    </font>
    <font>
      <sz val="12"/>
      <color theme="1"/>
      <name val="Calibri"/>
      <family val="2"/>
      <scheme val="minor"/>
    </font>
    <font>
      <b/>
      <u/>
      <sz val="14"/>
      <color theme="0"/>
      <name val="Calibri"/>
      <family val="2"/>
    </font>
    <font>
      <b/>
      <sz val="11"/>
      <color rgb="FFFFFFFF"/>
      <name val="Calibri"/>
      <family val="2"/>
      <scheme val="minor"/>
    </font>
    <font>
      <sz val="8"/>
      <color rgb="FFFFFFFF"/>
      <name val="Calibri"/>
      <family val="2"/>
      <scheme val="minor"/>
    </font>
  </fonts>
  <fills count="6">
    <fill>
      <patternFill patternType="none"/>
    </fill>
    <fill>
      <patternFill patternType="gray125"/>
    </fill>
    <fill>
      <patternFill patternType="solid">
        <fgColor rgb="FF008BD0"/>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theme="0"/>
      </right>
      <top/>
      <bottom/>
      <diagonal/>
    </border>
    <border>
      <left/>
      <right style="thin">
        <color theme="0"/>
      </right>
      <top/>
      <bottom/>
      <diagonal/>
    </border>
  </borders>
  <cellStyleXfs count="4">
    <xf numFmtId="0" fontId="0" fillId="0" borderId="0"/>
    <xf numFmtId="44" fontId="2" fillId="0" borderId="0"/>
    <xf numFmtId="9" fontId="2" fillId="0" borderId="0"/>
    <xf numFmtId="0" fontId="4" fillId="0" borderId="0">
      <alignment vertical="top"/>
      <protection locked="0"/>
    </xf>
  </cellStyleXfs>
  <cellXfs count="196">
    <xf numFmtId="0" fontId="0" fillId="0" borderId="0" xfId="0"/>
    <xf numFmtId="0" fontId="1" fillId="0" borderId="0" xfId="0" applyFont="1"/>
    <xf numFmtId="164" fontId="0" fillId="0" borderId="0" xfId="0" applyNumberFormat="1"/>
    <xf numFmtId="0" fontId="0" fillId="0" borderId="0" xfId="0" applyAlignment="1">
      <alignment wrapText="1"/>
    </xf>
    <xf numFmtId="165" fontId="0" fillId="0" borderId="0" xfId="0" applyNumberFormat="1"/>
    <xf numFmtId="20" fontId="0" fillId="0" borderId="0" xfId="0" applyNumberFormat="1"/>
    <xf numFmtId="0" fontId="1" fillId="0" borderId="0" xfId="0" applyFont="1" applyAlignment="1">
      <alignment vertical="top" wrapText="1"/>
    </xf>
    <xf numFmtId="0" fontId="0" fillId="0" borderId="0" xfId="0" applyAlignment="1">
      <alignment vertical="top" wrapText="1"/>
    </xf>
    <xf numFmtId="166" fontId="0" fillId="0" borderId="0" xfId="0" applyNumberFormat="1"/>
    <xf numFmtId="166" fontId="0" fillId="0" borderId="0" xfId="0" applyNumberFormat="1" applyAlignment="1">
      <alignment horizontal="left"/>
    </xf>
    <xf numFmtId="166" fontId="1" fillId="0" borderId="0" xfId="0" applyNumberFormat="1" applyFont="1"/>
    <xf numFmtId="10" fontId="0" fillId="0" borderId="0" xfId="0" applyNumberFormat="1"/>
    <xf numFmtId="10" fontId="0" fillId="0" borderId="0" xfId="0" applyNumberFormat="1" applyAlignment="1">
      <alignment vertical="center"/>
    </xf>
    <xf numFmtId="0" fontId="3" fillId="0" borderId="0" xfId="0" applyFont="1" applyAlignment="1">
      <alignment vertical="top" wrapText="1"/>
    </xf>
    <xf numFmtId="0" fontId="1" fillId="0" borderId="0" xfId="0" applyFont="1" applyAlignment="1">
      <alignment horizontal="center"/>
    </xf>
    <xf numFmtId="164" fontId="1" fillId="0" borderId="0" xfId="0" applyNumberFormat="1" applyFont="1" applyAlignment="1">
      <alignment horizontal="center"/>
    </xf>
    <xf numFmtId="9" fontId="0" fillId="0" borderId="0" xfId="0" applyNumberFormat="1"/>
    <xf numFmtId="9" fontId="1" fillId="0" borderId="0" xfId="0" applyNumberFormat="1" applyFont="1"/>
    <xf numFmtId="9" fontId="0" fillId="0" borderId="0" xfId="2" applyFont="1"/>
    <xf numFmtId="0" fontId="0" fillId="0" borderId="0" xfId="0" applyAlignment="1">
      <alignment vertical="center"/>
    </xf>
    <xf numFmtId="0" fontId="0" fillId="0" borderId="0" xfId="0" applyAlignment="1">
      <alignment horizontal="left" vertical="center"/>
    </xf>
    <xf numFmtId="2"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vertical="top"/>
    </xf>
    <xf numFmtId="10" fontId="0" fillId="0" borderId="0" xfId="0" applyNumberFormat="1" applyProtection="1">
      <protection locked="0"/>
    </xf>
    <xf numFmtId="0" fontId="0" fillId="0" borderId="0" xfId="0" applyProtection="1">
      <protection locked="0"/>
    </xf>
    <xf numFmtId="167" fontId="0" fillId="3" borderId="1" xfId="0" applyNumberFormat="1" applyFill="1" applyBorder="1" applyAlignment="1" applyProtection="1">
      <alignment vertical="center"/>
      <protection locked="0"/>
    </xf>
    <xf numFmtId="9" fontId="0" fillId="3" borderId="1" xfId="2" applyFont="1" applyFill="1" applyBorder="1" applyAlignment="1" applyProtection="1">
      <alignment vertical="center"/>
      <protection locked="0"/>
    </xf>
    <xf numFmtId="1" fontId="0" fillId="3" borderId="1" xfId="0" applyNumberFormat="1" applyFill="1" applyBorder="1" applyAlignment="1" applyProtection="1">
      <alignment vertical="center"/>
      <protection locked="0"/>
    </xf>
    <xf numFmtId="9" fontId="5" fillId="2" borderId="1" xfId="2" applyFont="1" applyFill="1" applyBorder="1"/>
    <xf numFmtId="20" fontId="0" fillId="0" borderId="0" xfId="0" applyNumberFormat="1" applyAlignment="1">
      <alignment vertical="top" wrapText="1"/>
    </xf>
    <xf numFmtId="0" fontId="1" fillId="0" borderId="0" xfId="0" applyFont="1" applyAlignment="1">
      <alignment vertical="center"/>
    </xf>
    <xf numFmtId="0" fontId="0" fillId="0" borderId="0" xfId="0" applyAlignment="1">
      <alignment vertical="center" wrapText="1"/>
    </xf>
    <xf numFmtId="49" fontId="0" fillId="3" borderId="1" xfId="0" applyNumberFormat="1" applyFill="1" applyBorder="1" applyProtection="1">
      <protection locked="0"/>
    </xf>
    <xf numFmtId="14" fontId="0" fillId="3" borderId="1" xfId="0" applyNumberFormat="1" applyFill="1" applyBorder="1" applyProtection="1">
      <protection locked="0"/>
    </xf>
    <xf numFmtId="166" fontId="0" fillId="3" borderId="1" xfId="0" applyNumberFormat="1" applyFill="1" applyBorder="1"/>
    <xf numFmtId="0" fontId="5" fillId="2" borderId="1" xfId="0" applyFont="1" applyFill="1" applyBorder="1" applyAlignment="1">
      <alignment vertical="center"/>
    </xf>
    <xf numFmtId="168" fontId="8" fillId="3" borderId="1" xfId="0" applyNumberFormat="1" applyFont="1" applyFill="1" applyBorder="1" applyAlignment="1" applyProtection="1">
      <alignment vertical="center"/>
      <protection locked="0"/>
    </xf>
    <xf numFmtId="9" fontId="8" fillId="3" borderId="1" xfId="0" applyNumberFormat="1" applyFont="1" applyFill="1" applyBorder="1" applyAlignment="1" applyProtection="1">
      <alignment vertical="center"/>
      <protection locked="0"/>
    </xf>
    <xf numFmtId="10" fontId="8" fillId="3" borderId="1" xfId="0" applyNumberFormat="1" applyFont="1" applyFill="1" applyBorder="1" applyAlignment="1" applyProtection="1">
      <alignment vertical="center"/>
      <protection locked="0"/>
    </xf>
    <xf numFmtId="0" fontId="5" fillId="2" borderId="0" xfId="0" applyFont="1" applyFill="1"/>
    <xf numFmtId="9" fontId="0" fillId="3" borderId="1" xfId="0" applyNumberFormat="1" applyFill="1" applyBorder="1" applyProtection="1">
      <protection locked="0"/>
    </xf>
    <xf numFmtId="169" fontId="0" fillId="3" borderId="1" xfId="1" applyNumberFormat="1" applyFont="1" applyFill="1" applyBorder="1" applyAlignment="1" applyProtection="1">
      <alignment horizontal="left" vertical="top"/>
      <protection locked="0"/>
    </xf>
    <xf numFmtId="166" fontId="6"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166" fontId="5" fillId="2" borderId="1" xfId="0" applyNumberFormat="1" applyFont="1" applyFill="1" applyBorder="1" applyAlignment="1">
      <alignment horizontal="left"/>
    </xf>
    <xf numFmtId="170" fontId="8" fillId="3" borderId="1" xfId="2" applyNumberFormat="1" applyFont="1" applyFill="1" applyBorder="1" applyProtection="1">
      <protection locked="0"/>
    </xf>
    <xf numFmtId="166" fontId="5" fillId="2" borderId="0" xfId="0" applyNumberFormat="1" applyFont="1" applyFill="1" applyAlignment="1">
      <alignment horizontal="left" wrapText="1"/>
    </xf>
    <xf numFmtId="170" fontId="0" fillId="3" borderId="0" xfId="2" applyNumberFormat="1" applyFont="1" applyFill="1" applyAlignment="1" applyProtection="1">
      <alignment vertical="center"/>
      <protection locked="0"/>
    </xf>
    <xf numFmtId="0" fontId="5" fillId="2" borderId="0" xfId="0" applyFont="1" applyFill="1" applyAlignment="1">
      <alignment wrapText="1"/>
    </xf>
    <xf numFmtId="10" fontId="0" fillId="3" borderId="1" xfId="0" applyNumberFormat="1" applyFill="1" applyBorder="1" applyProtection="1">
      <protection locked="0"/>
    </xf>
    <xf numFmtId="10" fontId="0" fillId="3" borderId="1" xfId="0" applyNumberFormat="1" applyFill="1" applyBorder="1"/>
    <xf numFmtId="0" fontId="0" fillId="3" borderId="1" xfId="0" applyFill="1" applyBorder="1" applyProtection="1">
      <protection locked="0"/>
    </xf>
    <xf numFmtId="0" fontId="6" fillId="2" borderId="1" xfId="0" applyFont="1" applyFill="1" applyBorder="1"/>
    <xf numFmtId="171" fontId="5" fillId="2" borderId="1" xfId="0" applyNumberFormat="1" applyFont="1" applyFill="1" applyBorder="1" applyAlignment="1">
      <alignment horizontal="center" vertical="center"/>
    </xf>
    <xf numFmtId="0" fontId="5" fillId="2" borderId="1" xfId="0" applyFont="1" applyFill="1" applyBorder="1" applyAlignment="1">
      <alignment horizontal="center" vertical="top" wrapText="1"/>
    </xf>
    <xf numFmtId="0" fontId="8" fillId="3" borderId="1" xfId="0" applyFont="1" applyFill="1" applyBorder="1" applyAlignment="1" applyProtection="1">
      <alignment horizontal="center"/>
      <protection locked="0"/>
    </xf>
    <xf numFmtId="164" fontId="8" fillId="3" borderId="1" xfId="0" applyNumberFormat="1" applyFont="1" applyFill="1" applyBorder="1" applyAlignment="1" applyProtection="1">
      <alignment horizontal="center"/>
      <protection locked="0"/>
    </xf>
    <xf numFmtId="164" fontId="6" fillId="2" borderId="1" xfId="0" applyNumberFormat="1" applyFont="1" applyFill="1" applyBorder="1" applyAlignment="1">
      <alignment horizontal="center"/>
    </xf>
    <xf numFmtId="168" fontId="5" fillId="2" borderId="1" xfId="0" applyNumberFormat="1" applyFont="1" applyFill="1" applyBorder="1" applyAlignment="1">
      <alignment horizontal="center"/>
    </xf>
    <xf numFmtId="0" fontId="0" fillId="4" borderId="0" xfId="0" applyFill="1"/>
    <xf numFmtId="0" fontId="0" fillId="4" borderId="1" xfId="0" applyFill="1" applyBorder="1"/>
    <xf numFmtId="0" fontId="1" fillId="4" borderId="1" xfId="0" applyFont="1" applyFill="1" applyBorder="1"/>
    <xf numFmtId="0" fontId="1" fillId="4" borderId="1" xfId="0" applyFont="1" applyFill="1" applyBorder="1" applyAlignment="1">
      <alignment horizontal="center"/>
    </xf>
    <xf numFmtId="0" fontId="0" fillId="4" borderId="1" xfId="0" applyFill="1" applyBorder="1" applyAlignment="1">
      <alignment vertical="top"/>
    </xf>
    <xf numFmtId="168" fontId="5" fillId="2" borderId="1" xfId="0" applyNumberFormat="1" applyFont="1" applyFill="1" applyBorder="1"/>
    <xf numFmtId="164" fontId="5" fillId="2" borderId="1" xfId="0" applyNumberFormat="1" applyFont="1" applyFill="1" applyBorder="1"/>
    <xf numFmtId="168" fontId="0" fillId="3" borderId="1" xfId="0" applyNumberFormat="1" applyFill="1" applyBorder="1" applyProtection="1">
      <protection locked="0"/>
    </xf>
    <xf numFmtId="172" fontId="6" fillId="2" borderId="1" xfId="1" applyNumberFormat="1" applyFont="1" applyFill="1" applyBorder="1"/>
    <xf numFmtId="0" fontId="0" fillId="0" borderId="1" xfId="0" applyBorder="1"/>
    <xf numFmtId="166" fontId="0" fillId="0" borderId="1" xfId="0" applyNumberFormat="1" applyBorder="1" applyAlignment="1">
      <alignment horizontal="left"/>
    </xf>
    <xf numFmtId="20" fontId="0" fillId="0" borderId="1" xfId="0" applyNumberFormat="1" applyBorder="1"/>
    <xf numFmtId="166" fontId="1" fillId="0" borderId="1" xfId="0" applyNumberFormat="1" applyFont="1" applyBorder="1" applyAlignment="1">
      <alignment vertical="center"/>
    </xf>
    <xf numFmtId="20" fontId="1" fillId="0" borderId="1" xfId="0" applyNumberFormat="1" applyFont="1" applyBorder="1" applyAlignment="1">
      <alignment horizontal="center" vertical="center"/>
    </xf>
    <xf numFmtId="166" fontId="1" fillId="0" borderId="1" xfId="0" applyNumberFormat="1" applyFont="1" applyBorder="1" applyAlignment="1">
      <alignment horizontal="center" vertical="center" wrapText="1"/>
    </xf>
    <xf numFmtId="166" fontId="1" fillId="0" borderId="1" xfId="0" applyNumberFormat="1" applyFont="1" applyBorder="1" applyAlignment="1">
      <alignment horizontal="left" vertical="center"/>
    </xf>
    <xf numFmtId="0" fontId="1" fillId="0" borderId="1" xfId="0" applyFont="1" applyBorder="1" applyAlignment="1">
      <alignment horizontal="center"/>
    </xf>
    <xf numFmtId="171" fontId="6" fillId="2" borderId="1" xfId="0" applyNumberFormat="1" applyFont="1" applyFill="1" applyBorder="1" applyAlignment="1">
      <alignment horizontal="center" vertical="center"/>
    </xf>
    <xf numFmtId="164" fontId="0" fillId="3" borderId="1" xfId="0" applyNumberFormat="1" applyFill="1" applyBorder="1" applyProtection="1">
      <protection locked="0"/>
    </xf>
    <xf numFmtId="0" fontId="0" fillId="3" borderId="1" xfId="0" applyFill="1" applyBorder="1" applyAlignment="1" applyProtection="1">
      <alignment horizontal="center"/>
      <protection locked="0"/>
    </xf>
    <xf numFmtId="164" fontId="0" fillId="0" borderId="1" xfId="0" applyNumberFormat="1" applyBorder="1"/>
    <xf numFmtId="166" fontId="0" fillId="3" borderId="1" xfId="0" applyNumberFormat="1" applyFill="1" applyBorder="1" applyAlignment="1" applyProtection="1">
      <alignment horizontal="left" vertical="center"/>
      <protection locked="0"/>
    </xf>
    <xf numFmtId="164" fontId="6" fillId="2" borderId="1" xfId="0" applyNumberFormat="1" applyFont="1" applyFill="1" applyBorder="1"/>
    <xf numFmtId="164" fontId="1" fillId="0" borderId="1" xfId="0" applyNumberFormat="1" applyFont="1" applyBorder="1"/>
    <xf numFmtId="0" fontId="1" fillId="0" borderId="1" xfId="0" applyFont="1" applyBorder="1" applyAlignment="1">
      <alignment vertical="center"/>
    </xf>
    <xf numFmtId="0" fontId="0" fillId="0" borderId="1" xfId="0" applyBorder="1" applyAlignment="1">
      <alignment horizontal="left"/>
    </xf>
    <xf numFmtId="1" fontId="0" fillId="3" borderId="1" xfId="0" applyNumberFormat="1" applyFill="1" applyBorder="1" applyProtection="1">
      <protection locked="0"/>
    </xf>
    <xf numFmtId="0" fontId="6" fillId="2" borderId="0" xfId="0" applyFont="1" applyFill="1" applyAlignment="1">
      <alignment horizontal="center"/>
    </xf>
    <xf numFmtId="0" fontId="10" fillId="0" borderId="3" xfId="0" applyFont="1" applyBorder="1" applyAlignment="1">
      <alignment vertical="center"/>
    </xf>
    <xf numFmtId="0" fontId="10" fillId="0" borderId="4" xfId="0" applyFont="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5" fillId="2" borderId="1" xfId="0" applyFont="1" applyFill="1" applyBorder="1" applyAlignment="1">
      <alignment horizontal="left"/>
    </xf>
    <xf numFmtId="0" fontId="5" fillId="2" borderId="1" xfId="0" applyFont="1" applyFill="1" applyBorder="1" applyAlignment="1">
      <alignment horizontal="left" wrapText="1"/>
    </xf>
    <xf numFmtId="0" fontId="6" fillId="2" borderId="1" xfId="0" applyFont="1" applyFill="1" applyBorder="1" applyAlignment="1">
      <alignment wrapText="1"/>
    </xf>
    <xf numFmtId="0" fontId="1" fillId="0" borderId="1" xfId="0" applyFont="1" applyBorder="1" applyAlignment="1">
      <alignment horizontal="center" vertical="center"/>
    </xf>
    <xf numFmtId="9" fontId="0" fillId="0" borderId="1" xfId="0" applyNumberFormat="1" applyBorder="1"/>
    <xf numFmtId="0" fontId="0" fillId="0" borderId="1" xfId="0" applyBorder="1" applyAlignment="1">
      <alignment horizontal="right"/>
    </xf>
    <xf numFmtId="0" fontId="3" fillId="0" borderId="1" xfId="0" applyFont="1" applyBorder="1" applyAlignment="1">
      <alignment vertical="top" wrapText="1"/>
    </xf>
    <xf numFmtId="0" fontId="0" fillId="0" borderId="1" xfId="0" applyBorder="1" applyAlignment="1">
      <alignment vertical="top" wrapText="1"/>
    </xf>
    <xf numFmtId="0" fontId="1" fillId="0" borderId="1" xfId="0" applyFont="1" applyBorder="1" applyAlignment="1">
      <alignment vertical="top" wrapText="1"/>
    </xf>
    <xf numFmtId="164" fontId="1" fillId="0" borderId="1" xfId="0" applyNumberFormat="1" applyFont="1" applyBorder="1" applyAlignment="1">
      <alignment horizontal="center"/>
    </xf>
    <xf numFmtId="9" fontId="1" fillId="0" borderId="1" xfId="0" applyNumberFormat="1" applyFont="1" applyBorder="1"/>
    <xf numFmtId="170" fontId="5" fillId="2" borderId="1" xfId="0" applyNumberFormat="1" applyFont="1" applyFill="1" applyBorder="1"/>
    <xf numFmtId="0" fontId="8" fillId="0" borderId="1" xfId="0" applyFont="1" applyBorder="1"/>
    <xf numFmtId="0" fontId="6" fillId="2" borderId="1" xfId="0" applyFont="1" applyFill="1" applyBorder="1" applyAlignment="1">
      <alignment horizontal="left" vertical="top"/>
    </xf>
    <xf numFmtId="0" fontId="5" fillId="2" borderId="1" xfId="0" applyFont="1" applyFill="1" applyBorder="1" applyAlignment="1">
      <alignment vertical="top" wrapText="1"/>
    </xf>
    <xf numFmtId="164" fontId="6" fillId="2" borderId="1" xfId="0" applyNumberFormat="1" applyFont="1" applyFill="1" applyBorder="1" applyAlignment="1">
      <alignment vertical="top" wrapText="1"/>
    </xf>
    <xf numFmtId="0" fontId="0" fillId="0" borderId="1" xfId="0" applyBorder="1" applyAlignment="1">
      <alignment wrapText="1"/>
    </xf>
    <xf numFmtId="0" fontId="6" fillId="2" borderId="1" xfId="0" applyFont="1" applyFill="1" applyBorder="1" applyAlignment="1">
      <alignment horizontal="center" vertical="top" wrapText="1"/>
    </xf>
    <xf numFmtId="0" fontId="0" fillId="0" borderId="1" xfId="0" applyBorder="1" applyAlignment="1">
      <alignment vertical="top"/>
    </xf>
    <xf numFmtId="0" fontId="6" fillId="2" borderId="1" xfId="0" applyFont="1" applyFill="1" applyBorder="1" applyAlignment="1">
      <alignment horizontal="right" wrapText="1"/>
    </xf>
    <xf numFmtId="0" fontId="1" fillId="0" borderId="1" xfId="0" applyFont="1" applyBorder="1" applyAlignment="1">
      <alignment wrapText="1"/>
    </xf>
    <xf numFmtId="0" fontId="0" fillId="0" borderId="1" xfId="0" applyBorder="1" applyAlignment="1">
      <alignment horizontal="center"/>
    </xf>
    <xf numFmtId="166" fontId="0" fillId="0" borderId="1" xfId="0" applyNumberFormat="1" applyBorder="1"/>
    <xf numFmtId="0" fontId="1" fillId="0" borderId="1" xfId="0" applyFont="1" applyBorder="1"/>
    <xf numFmtId="173" fontId="0" fillId="0" borderId="1" xfId="0" applyNumberFormat="1" applyBorder="1"/>
    <xf numFmtId="1" fontId="6" fillId="2" borderId="1" xfId="0" applyNumberFormat="1" applyFont="1" applyFill="1" applyBorder="1" applyAlignment="1" applyProtection="1">
      <alignment vertical="center"/>
      <protection locked="0"/>
    </xf>
    <xf numFmtId="1" fontId="9" fillId="3" borderId="1" xfId="0" applyNumberFormat="1" applyFont="1" applyFill="1" applyBorder="1" applyAlignment="1" applyProtection="1">
      <alignment vertical="center"/>
      <protection locked="0"/>
    </xf>
    <xf numFmtId="174" fontId="6" fillId="2" borderId="1" xfId="0" applyNumberFormat="1" applyFont="1" applyFill="1" applyBorder="1"/>
    <xf numFmtId="174" fontId="9" fillId="3" borderId="1" xfId="0" applyNumberFormat="1" applyFont="1" applyFill="1" applyBorder="1" applyAlignment="1" applyProtection="1">
      <alignment vertical="center"/>
      <protection locked="0"/>
    </xf>
    <xf numFmtId="164" fontId="5" fillId="2" borderId="1" xfId="0" applyNumberFormat="1" applyFont="1" applyFill="1" applyBorder="1" applyAlignment="1">
      <alignment horizontal="center"/>
    </xf>
    <xf numFmtId="164" fontId="8" fillId="5" borderId="1" xfId="0" applyNumberFormat="1" applyFont="1" applyFill="1" applyBorder="1"/>
    <xf numFmtId="172" fontId="8" fillId="5" borderId="1" xfId="1" applyNumberFormat="1" applyFont="1" applyFill="1" applyBorder="1"/>
    <xf numFmtId="172" fontId="8" fillId="5" borderId="1" xfId="1" quotePrefix="1" applyNumberFormat="1" applyFont="1" applyFill="1" applyBorder="1"/>
    <xf numFmtId="164" fontId="9" fillId="5" borderId="1" xfId="0" applyNumberFormat="1" applyFont="1" applyFill="1" applyBorder="1"/>
    <xf numFmtId="164" fontId="8" fillId="5" borderId="1" xfId="0" applyNumberFormat="1" applyFont="1" applyFill="1" applyBorder="1" applyAlignment="1">
      <alignment horizontal="right" vertical="top" wrapText="1"/>
    </xf>
    <xf numFmtId="168" fontId="8" fillId="3" borderId="1" xfId="0" applyNumberFormat="1" applyFont="1" applyFill="1" applyBorder="1" applyAlignment="1" applyProtection="1">
      <alignment horizontal="center"/>
      <protection locked="0"/>
    </xf>
    <xf numFmtId="1" fontId="8" fillId="3" borderId="1" xfId="0" applyNumberFormat="1" applyFont="1" applyFill="1" applyBorder="1" applyAlignment="1" applyProtection="1">
      <alignment horizontal="center"/>
      <protection locked="0"/>
    </xf>
    <xf numFmtId="175" fontId="8" fillId="3" borderId="1" xfId="1" applyNumberFormat="1" applyFont="1" applyFill="1" applyBorder="1" applyAlignment="1" applyProtection="1">
      <alignment horizontal="center"/>
      <protection locked="0"/>
    </xf>
    <xf numFmtId="1" fontId="6" fillId="2" borderId="1" xfId="0" applyNumberFormat="1" applyFont="1" applyFill="1" applyBorder="1" applyAlignment="1">
      <alignment horizontal="center"/>
    </xf>
    <xf numFmtId="1" fontId="5" fillId="2" borderId="1" xfId="0" applyNumberFormat="1" applyFont="1" applyFill="1" applyBorder="1" applyAlignment="1">
      <alignment horizontal="center"/>
    </xf>
    <xf numFmtId="1" fontId="5" fillId="2" borderId="1" xfId="0" applyNumberFormat="1" applyFont="1" applyFill="1" applyBorder="1" applyAlignment="1">
      <alignment horizontal="center" vertical="center"/>
    </xf>
    <xf numFmtId="0" fontId="5" fillId="2" borderId="1" xfId="0" applyFont="1" applyFill="1" applyBorder="1"/>
    <xf numFmtId="0" fontId="6" fillId="2" borderId="0" xfId="0" applyFont="1" applyFill="1" applyAlignment="1">
      <alignment horizontal="center" vertical="center" wrapText="1"/>
    </xf>
    <xf numFmtId="0" fontId="6" fillId="2" borderId="1" xfId="0" applyFont="1" applyFill="1" applyBorder="1" applyAlignment="1">
      <alignment horizontal="left" vertical="top" wrapText="1"/>
    </xf>
    <xf numFmtId="0" fontId="6" fillId="2" borderId="0" xfId="0" applyFont="1" applyFill="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xf>
    <xf numFmtId="0" fontId="5" fillId="2" borderId="1" xfId="0" applyFont="1" applyFill="1" applyBorder="1" applyAlignment="1">
      <alignment horizont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xf>
    <xf numFmtId="166" fontId="6" fillId="2" borderId="1" xfId="0" applyNumberFormat="1" applyFont="1" applyFill="1" applyBorder="1" applyAlignment="1">
      <alignment horizontal="center"/>
    </xf>
    <xf numFmtId="0" fontId="6" fillId="2" borderId="1" xfId="0" applyFont="1" applyFill="1" applyBorder="1" applyAlignment="1">
      <alignment horizontal="center" wrapText="1"/>
    </xf>
    <xf numFmtId="0" fontId="5" fillId="2" borderId="1" xfId="0" applyFont="1" applyFill="1" applyBorder="1" applyAlignment="1">
      <alignment horizontal="left" vertical="top"/>
    </xf>
    <xf numFmtId="0" fontId="5" fillId="2" borderId="1" xfId="0" applyFont="1" applyFill="1" applyBorder="1" applyAlignment="1">
      <alignment horizontal="left" vertical="top" wrapText="1"/>
    </xf>
    <xf numFmtId="175" fontId="6" fillId="2" borderId="1" xfId="0" applyNumberFormat="1" applyFont="1" applyFill="1" applyBorder="1" applyAlignment="1">
      <alignment horizontal="center"/>
    </xf>
    <xf numFmtId="0" fontId="11" fillId="0" borderId="0" xfId="0" applyFont="1" applyAlignment="1">
      <alignment horizontal="center" vertical="center" wrapText="1"/>
    </xf>
    <xf numFmtId="0" fontId="0" fillId="0" borderId="0" xfId="0"/>
    <xf numFmtId="0" fontId="12" fillId="2" borderId="0" xfId="3" applyFont="1" applyFill="1" applyAlignment="1" applyProtection="1">
      <alignment horizontal="center" vertical="center"/>
    </xf>
    <xf numFmtId="0" fontId="10" fillId="2" borderId="0" xfId="0" applyFont="1" applyFill="1" applyAlignment="1">
      <alignment horizontal="center" vertical="center"/>
    </xf>
    <xf numFmtId="0" fontId="0" fillId="0" borderId="0" xfId="0" applyAlignment="1">
      <alignment horizontal="center" vertical="center" wrapText="1"/>
    </xf>
    <xf numFmtId="0" fontId="10" fillId="2" borderId="0" xfId="0" applyFont="1" applyFill="1" applyAlignment="1">
      <alignment horizontal="center" vertical="center" wrapText="1"/>
    </xf>
    <xf numFmtId="0" fontId="6" fillId="2" borderId="0" xfId="0" applyFont="1" applyFill="1" applyAlignment="1">
      <alignment horizontal="center" vertical="center" wrapText="1"/>
    </xf>
    <xf numFmtId="0" fontId="6" fillId="2" borderId="1" xfId="0" applyFont="1" applyFill="1" applyBorder="1" applyAlignment="1">
      <alignment horizontal="left" vertical="top" wrapText="1"/>
    </xf>
    <xf numFmtId="0" fontId="0" fillId="0" borderId="9" xfId="0" applyBorder="1"/>
    <xf numFmtId="0" fontId="0" fillId="0" borderId="10" xfId="0" applyBorder="1"/>
    <xf numFmtId="0" fontId="13" fillId="2" borderId="1" xfId="0" applyFont="1" applyFill="1" applyBorder="1" applyAlignment="1">
      <alignment horizontal="left" vertical="top" wrapText="1"/>
    </xf>
    <xf numFmtId="0" fontId="10" fillId="2" borderId="8" xfId="0" applyFont="1" applyFill="1" applyBorder="1" applyAlignment="1">
      <alignment horizontal="center" vertical="center"/>
    </xf>
    <xf numFmtId="0" fontId="0" fillId="0" borderId="5" xfId="0" applyBorder="1"/>
    <xf numFmtId="20" fontId="7" fillId="2" borderId="0" xfId="0" applyNumberFormat="1" applyFont="1" applyFill="1" applyAlignment="1">
      <alignment horizontal="left" vertical="top" wrapText="1"/>
    </xf>
    <xf numFmtId="0" fontId="7" fillId="2" borderId="1" xfId="0" applyFont="1" applyFill="1" applyBorder="1" applyAlignment="1">
      <alignment horizontal="left" vertical="center" wrapText="1"/>
    </xf>
    <xf numFmtId="0" fontId="6" fillId="2" borderId="0" xfId="0" applyFont="1" applyFill="1" applyAlignment="1">
      <alignment horizontal="center" vertical="center"/>
    </xf>
    <xf numFmtId="0" fontId="7" fillId="2" borderId="0" xfId="0" applyFont="1" applyFill="1" applyAlignment="1">
      <alignment horizontal="left" vertical="top" wrapText="1"/>
    </xf>
    <xf numFmtId="0" fontId="6" fillId="2" borderId="1" xfId="0" applyFont="1" applyFill="1" applyBorder="1" applyAlignment="1">
      <alignment horizontal="left" vertical="center"/>
    </xf>
    <xf numFmtId="0" fontId="7" fillId="2" borderId="0" xfId="0" applyFont="1" applyFill="1" applyAlignment="1">
      <alignment horizontal="left" vertical="center" wrapText="1"/>
    </xf>
    <xf numFmtId="0" fontId="6" fillId="2" borderId="1" xfId="0" applyFont="1" applyFill="1" applyBorder="1" applyAlignment="1">
      <alignment horizontal="center" vertical="center" wrapText="1"/>
    </xf>
    <xf numFmtId="0" fontId="0" fillId="0" borderId="2" xfId="0" applyBorder="1"/>
    <xf numFmtId="0" fontId="6" fillId="2" borderId="1" xfId="0" applyFont="1" applyFill="1" applyBorder="1" applyAlignment="1">
      <alignment horizontal="center"/>
    </xf>
    <xf numFmtId="0" fontId="14" fillId="2" borderId="0" xfId="0" applyFont="1" applyFill="1" applyAlignment="1">
      <alignment horizontal="left" vertical="top" wrapText="1"/>
    </xf>
    <xf numFmtId="0" fontId="6" fillId="2" borderId="1" xfId="0" applyFont="1" applyFill="1" applyBorder="1" applyAlignment="1">
      <alignment horizontal="center" vertical="center"/>
    </xf>
    <xf numFmtId="0" fontId="0" fillId="0" borderId="12" xfId="0" applyBorder="1"/>
    <xf numFmtId="0" fontId="5" fillId="2" borderId="1" xfId="0" applyFont="1" applyFill="1" applyBorder="1" applyAlignment="1">
      <alignment horizontal="center"/>
    </xf>
    <xf numFmtId="0" fontId="7" fillId="2" borderId="1" xfId="0" applyFont="1" applyFill="1" applyBorder="1" applyAlignment="1">
      <alignment horizontal="left" vertical="top" wrapText="1"/>
    </xf>
    <xf numFmtId="0" fontId="0" fillId="0" borderId="3" xfId="0" applyBorder="1"/>
    <xf numFmtId="0" fontId="0" fillId="0" borderId="4" xfId="0" applyBorder="1"/>
    <xf numFmtId="0" fontId="0" fillId="0" borderId="6" xfId="0" applyBorder="1"/>
    <xf numFmtId="0" fontId="0" fillId="0" borderId="7" xfId="0" applyBorder="1"/>
    <xf numFmtId="0" fontId="5" fillId="2" borderId="1" xfId="0" applyFont="1" applyFill="1" applyBorder="1" applyAlignment="1">
      <alignment horizontal="center" vertical="center"/>
    </xf>
    <xf numFmtId="0" fontId="14" fillId="2" borderId="1" xfId="0" applyFont="1" applyFill="1" applyBorder="1" applyAlignment="1">
      <alignment horizontal="left" vertical="top" wrapText="1"/>
    </xf>
    <xf numFmtId="166" fontId="6" fillId="2" borderId="1" xfId="0" applyNumberFormat="1" applyFont="1" applyFill="1" applyBorder="1" applyAlignment="1">
      <alignment horizontal="center" vertical="center" wrapText="1"/>
    </xf>
    <xf numFmtId="0" fontId="6" fillId="2" borderId="1" xfId="0" applyFont="1" applyFill="1" applyBorder="1" applyAlignment="1">
      <alignment horizontal="left"/>
    </xf>
    <xf numFmtId="0" fontId="14" fillId="2" borderId="1" xfId="0" applyFont="1" applyFill="1" applyBorder="1" applyAlignment="1">
      <alignment horizontal="left" vertical="center" wrapText="1" shrinkToFit="1"/>
    </xf>
    <xf numFmtId="0" fontId="7" fillId="2" borderId="1" xfId="0" applyFont="1" applyFill="1" applyBorder="1" applyAlignment="1">
      <alignment horizontal="left" vertical="center"/>
    </xf>
    <xf numFmtId="166" fontId="6" fillId="2" borderId="1" xfId="0" applyNumberFormat="1" applyFont="1" applyFill="1" applyBorder="1" applyAlignment="1">
      <alignment horizontal="center"/>
    </xf>
    <xf numFmtId="0" fontId="3" fillId="0" borderId="0" xfId="0" applyFont="1" applyAlignment="1">
      <alignment horizontal="left" vertical="top" wrapText="1"/>
    </xf>
    <xf numFmtId="0" fontId="6" fillId="2" borderId="1" xfId="0" applyFont="1" applyFill="1" applyBorder="1" applyAlignment="1">
      <alignment horizontal="center" wrapText="1"/>
    </xf>
    <xf numFmtId="166" fontId="6" fillId="2" borderId="1" xfId="0" applyNumberFormat="1" applyFont="1" applyFill="1" applyBorder="1" applyAlignment="1">
      <alignment horizontal="center" vertical="center"/>
    </xf>
    <xf numFmtId="0" fontId="5" fillId="2" borderId="1" xfId="0" applyFont="1" applyFill="1" applyBorder="1" applyAlignment="1">
      <alignment horizontal="left" vertical="top"/>
    </xf>
    <xf numFmtId="164" fontId="6" fillId="2" borderId="1" xfId="0" applyNumberFormat="1" applyFont="1" applyFill="1" applyBorder="1" applyAlignment="1">
      <alignment horizontal="right"/>
    </xf>
    <xf numFmtId="0" fontId="5" fillId="2" borderId="1" xfId="0" applyFont="1" applyFill="1" applyBorder="1" applyAlignment="1">
      <alignment horizontal="left" vertical="top" wrapText="1"/>
    </xf>
    <xf numFmtId="0" fontId="0" fillId="0" borderId="11" xfId="0" applyBorder="1"/>
    <xf numFmtId="0" fontId="0" fillId="0" borderId="13" xfId="0" applyBorder="1"/>
    <xf numFmtId="0" fontId="0" fillId="0" borderId="0" xfId="0" applyAlignment="1">
      <alignment horizontal="left" vertical="top"/>
    </xf>
  </cellXfs>
  <cellStyles count="4">
    <cellStyle name="Lien hypertexte" xfId="3" builtinId="8"/>
    <cellStyle name="Monétaire" xfId="1" builtinId="4"/>
    <cellStyle name="Normal" xfId="0" builtinId="0"/>
    <cellStyle name="Pourcentag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barChart>
        <c:barDir val="col"/>
        <c:grouping val="clustered"/>
        <c:varyColors val="0"/>
        <c:ser>
          <c:idx val="0"/>
          <c:order val="0"/>
          <c:tx>
            <c:strRef>
              <c:f>'Comptes de résultats'!$B$9</c:f>
              <c:strCache>
                <c:ptCount val="1"/>
                <c:pt idx="0">
                  <c:v>Chiffre d'affaires (CA)</c:v>
                </c:pt>
              </c:strCache>
            </c:strRef>
          </c:tx>
          <c:spPr>
            <a:ln w="28575">
              <a:noFill/>
              <a:prstDash val="solid"/>
            </a:ln>
          </c:spPr>
          <c:invertIfNegative val="0"/>
          <c:cat>
            <c:strRef>
              <c:f>'Comptes de résultats'!$C$7:$G$7</c:f>
              <c:strCache>
                <c:ptCount val="5"/>
                <c:pt idx="0">
                  <c:v>Année 1</c:v>
                </c:pt>
                <c:pt idx="1">
                  <c:v>Année 2</c:v>
                </c:pt>
                <c:pt idx="2">
                  <c:v>Année 3</c:v>
                </c:pt>
                <c:pt idx="3">
                  <c:v>Année 4</c:v>
                </c:pt>
                <c:pt idx="4">
                  <c:v>Année 5</c:v>
                </c:pt>
              </c:strCache>
            </c:strRef>
          </c:cat>
          <c:val>
            <c:numRef>
              <c:f>'Comptes de résultats'!$C$9:$G$9</c:f>
              <c:numCache>
                <c:formatCode>_-* #\ ##0\ "€"_-;\-* #\ ##0\ "€"_-;_-* "-"??\ "€"_-;_-@_-</c:formatCode>
                <c:ptCount val="5"/>
                <c:pt idx="0">
                  <c:v>241447.39999999997</c:v>
                </c:pt>
                <c:pt idx="1">
                  <c:v>824080.6</c:v>
                </c:pt>
                <c:pt idx="2">
                  <c:v>1560812.2</c:v>
                </c:pt>
                <c:pt idx="3">
                  <c:v>2541116.5</c:v>
                </c:pt>
                <c:pt idx="4">
                  <c:v>4057449.9</c:v>
                </c:pt>
              </c:numCache>
            </c:numRef>
          </c:val>
          <c:extLst>
            <c:ext xmlns:c16="http://schemas.microsoft.com/office/drawing/2014/chart" uri="{C3380CC4-5D6E-409C-BE32-E72D297353CC}">
              <c16:uniqueId val="{00000000-CE72-0E46-A2F2-A8204BC37937}"/>
            </c:ext>
          </c:extLst>
        </c:ser>
        <c:ser>
          <c:idx val="1"/>
          <c:order val="1"/>
          <c:tx>
            <c:strRef>
              <c:f>'Comptes de résultats'!$B$35</c:f>
              <c:strCache>
                <c:ptCount val="1"/>
                <c:pt idx="0">
                  <c:v>Résultat Net (RN)</c:v>
                </c:pt>
              </c:strCache>
            </c:strRef>
          </c:tx>
          <c:spPr>
            <a:ln w="28575">
              <a:noFill/>
              <a:prstDash val="solid"/>
            </a:ln>
          </c:spPr>
          <c:invertIfNegative val="0"/>
          <c:cat>
            <c:strRef>
              <c:f>'Comptes de résultats'!$C$7:$G$7</c:f>
              <c:strCache>
                <c:ptCount val="5"/>
                <c:pt idx="0">
                  <c:v>Année 1</c:v>
                </c:pt>
                <c:pt idx="1">
                  <c:v>Année 2</c:v>
                </c:pt>
                <c:pt idx="2">
                  <c:v>Année 3</c:v>
                </c:pt>
                <c:pt idx="3">
                  <c:v>Année 4</c:v>
                </c:pt>
                <c:pt idx="4">
                  <c:v>Année 5</c:v>
                </c:pt>
              </c:strCache>
            </c:strRef>
          </c:cat>
          <c:val>
            <c:numRef>
              <c:f>'Comptes de résultats'!$C$35:$G$35</c:f>
              <c:numCache>
                <c:formatCode>_-* #\ ##0\ "€"_-;\-* #\ ##0\ "€"_-;_-* "-"??\ "€"_-;_-@_-</c:formatCode>
                <c:ptCount val="5"/>
                <c:pt idx="0">
                  <c:v>-115255.97850018626</c:v>
                </c:pt>
                <c:pt idx="1">
                  <c:v>103427.9559146453</c:v>
                </c:pt>
                <c:pt idx="2">
                  <c:v>236876.8229916105</c:v>
                </c:pt>
                <c:pt idx="3">
                  <c:v>460483.97939531901</c:v>
                </c:pt>
                <c:pt idx="4">
                  <c:v>816170.08283731923</c:v>
                </c:pt>
              </c:numCache>
            </c:numRef>
          </c:val>
          <c:extLst>
            <c:ext xmlns:c16="http://schemas.microsoft.com/office/drawing/2014/chart" uri="{C3380CC4-5D6E-409C-BE32-E72D297353CC}">
              <c16:uniqueId val="{00000001-CE72-0E46-A2F2-A8204BC37937}"/>
            </c:ext>
          </c:extLst>
        </c:ser>
        <c:dLbls>
          <c:showLegendKey val="0"/>
          <c:showVal val="0"/>
          <c:showCatName val="0"/>
          <c:showSerName val="0"/>
          <c:showPercent val="0"/>
          <c:showBubbleSize val="0"/>
        </c:dLbls>
        <c:gapWidth val="150"/>
        <c:axId val="71296512"/>
        <c:axId val="71298048"/>
      </c:barChart>
      <c:catAx>
        <c:axId val="71296512"/>
        <c:scaling>
          <c:orientation val="minMax"/>
        </c:scaling>
        <c:delete val="0"/>
        <c:axPos val="b"/>
        <c:numFmt formatCode="General" sourceLinked="0"/>
        <c:majorTickMark val="none"/>
        <c:minorTickMark val="none"/>
        <c:tickLblPos val="nextTo"/>
        <c:crossAx val="71298048"/>
        <c:crosses val="autoZero"/>
        <c:auto val="1"/>
        <c:lblAlgn val="ctr"/>
        <c:lblOffset val="100"/>
        <c:noMultiLvlLbl val="0"/>
      </c:catAx>
      <c:valAx>
        <c:axId val="71298048"/>
        <c:scaling>
          <c:orientation val="minMax"/>
        </c:scaling>
        <c:delete val="0"/>
        <c:axPos val="l"/>
        <c:majorGridlines/>
        <c:numFmt formatCode="_-* #\ ##0\ &quot;€&quot;_-;\-* #\ ##0\ &quot;€&quot;_-;_-* &quot;-&quot;??\ &quot;€&quot;_-;_-@_-" sourceLinked="1"/>
        <c:majorTickMark val="none"/>
        <c:minorTickMark val="none"/>
        <c:tickLblPos val="nextTo"/>
        <c:crossAx val="71296512"/>
        <c:crosses val="autoZero"/>
        <c:crossBetween val="between"/>
      </c:valAx>
    </c:plotArea>
    <c:plotVisOnly val="1"/>
    <c:dispBlanksAs val="gap"/>
    <c:showDLblsOverMax val="1"/>
  </c:chart>
  <c:spPr>
    <a:no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scatterChart>
        <c:scatterStyle val="smoothMarker"/>
        <c:varyColors val="0"/>
        <c:ser>
          <c:idx val="0"/>
          <c:order val="0"/>
          <c:tx>
            <c:v>Trésorerie</c:v>
          </c:tx>
          <c:spPr>
            <a:ln>
              <a:prstDash val="solid"/>
            </a:ln>
          </c:spPr>
          <c:marker>
            <c:symbol val="diamond"/>
            <c:size val="6"/>
            <c:spPr>
              <a:ln>
                <a:prstDash val="solid"/>
              </a:ln>
            </c:spPr>
          </c:marker>
          <c:xVal>
            <c:numRef>
              <c:f>Trésorerie!$C$8:$BJ$8</c:f>
              <c:numCache>
                <c:formatCode>[$-40C]mmm\ yyyy;@</c:formatCode>
                <c:ptCount val="60"/>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pt idx="24">
                  <c:v>47119</c:v>
                </c:pt>
                <c:pt idx="25">
                  <c:v>47150</c:v>
                </c:pt>
                <c:pt idx="26">
                  <c:v>47178</c:v>
                </c:pt>
                <c:pt idx="27">
                  <c:v>47209</c:v>
                </c:pt>
                <c:pt idx="28">
                  <c:v>47239</c:v>
                </c:pt>
                <c:pt idx="29">
                  <c:v>47270</c:v>
                </c:pt>
                <c:pt idx="30">
                  <c:v>47300</c:v>
                </c:pt>
                <c:pt idx="31">
                  <c:v>47331</c:v>
                </c:pt>
                <c:pt idx="32">
                  <c:v>47362</c:v>
                </c:pt>
                <c:pt idx="33">
                  <c:v>47392</c:v>
                </c:pt>
                <c:pt idx="34">
                  <c:v>47423</c:v>
                </c:pt>
                <c:pt idx="35">
                  <c:v>47453</c:v>
                </c:pt>
                <c:pt idx="36">
                  <c:v>47484</c:v>
                </c:pt>
                <c:pt idx="37">
                  <c:v>47515</c:v>
                </c:pt>
                <c:pt idx="38">
                  <c:v>47543</c:v>
                </c:pt>
                <c:pt idx="39">
                  <c:v>47574</c:v>
                </c:pt>
                <c:pt idx="40">
                  <c:v>47604</c:v>
                </c:pt>
                <c:pt idx="41">
                  <c:v>47635</c:v>
                </c:pt>
                <c:pt idx="42">
                  <c:v>47665</c:v>
                </c:pt>
                <c:pt idx="43">
                  <c:v>47696</c:v>
                </c:pt>
                <c:pt idx="44">
                  <c:v>47727</c:v>
                </c:pt>
                <c:pt idx="45">
                  <c:v>47757</c:v>
                </c:pt>
                <c:pt idx="46">
                  <c:v>47788</c:v>
                </c:pt>
                <c:pt idx="47">
                  <c:v>47818</c:v>
                </c:pt>
                <c:pt idx="48">
                  <c:v>47849</c:v>
                </c:pt>
                <c:pt idx="49">
                  <c:v>47880</c:v>
                </c:pt>
                <c:pt idx="50">
                  <c:v>47908</c:v>
                </c:pt>
                <c:pt idx="51">
                  <c:v>47939</c:v>
                </c:pt>
                <c:pt idx="52">
                  <c:v>47969</c:v>
                </c:pt>
                <c:pt idx="53">
                  <c:v>48000</c:v>
                </c:pt>
                <c:pt idx="54">
                  <c:v>48030</c:v>
                </c:pt>
                <c:pt idx="55">
                  <c:v>48061</c:v>
                </c:pt>
                <c:pt idx="56">
                  <c:v>48092</c:v>
                </c:pt>
                <c:pt idx="57">
                  <c:v>48122</c:v>
                </c:pt>
                <c:pt idx="58">
                  <c:v>48153</c:v>
                </c:pt>
                <c:pt idx="59">
                  <c:v>48183</c:v>
                </c:pt>
              </c:numCache>
            </c:numRef>
          </c:xVal>
          <c:yVal>
            <c:numRef>
              <c:f>Trésorerie!$C$71:$BJ$71</c:f>
              <c:numCache>
                <c:formatCode>#\ ##0\ "€";\-#\ ##0\ "€";;@</c:formatCode>
                <c:ptCount val="60"/>
                <c:pt idx="0">
                  <c:v>-3646.4897777777805</c:v>
                </c:pt>
                <c:pt idx="1">
                  <c:v>85953.563644444439</c:v>
                </c:pt>
                <c:pt idx="2">
                  <c:v>67449.785066666664</c:v>
                </c:pt>
                <c:pt idx="3">
                  <c:v>53307.905988888888</c:v>
                </c:pt>
                <c:pt idx="4">
                  <c:v>42905.486411111109</c:v>
                </c:pt>
                <c:pt idx="5">
                  <c:v>35092.271833333332</c:v>
                </c:pt>
                <c:pt idx="6">
                  <c:v>24164.176255555554</c:v>
                </c:pt>
                <c:pt idx="7">
                  <c:v>11219.060677777787</c:v>
                </c:pt>
                <c:pt idx="8">
                  <c:v>12754.700100000016</c:v>
                </c:pt>
                <c:pt idx="9">
                  <c:v>8844.9525222222292</c:v>
                </c:pt>
                <c:pt idx="10">
                  <c:v>8084.9214444444515</c:v>
                </c:pt>
                <c:pt idx="11">
                  <c:v>16784.036366666682</c:v>
                </c:pt>
                <c:pt idx="12">
                  <c:v>7757.1902858333415</c:v>
                </c:pt>
                <c:pt idx="13">
                  <c:v>2527.0281383333349</c:v>
                </c:pt>
                <c:pt idx="14">
                  <c:v>-16461.772509166687</c:v>
                </c:pt>
                <c:pt idx="15">
                  <c:v>-8331.0071566666957</c:v>
                </c:pt>
                <c:pt idx="16">
                  <c:v>2609.3281958332955</c:v>
                </c:pt>
                <c:pt idx="17">
                  <c:v>9381.8102149999468</c:v>
                </c:pt>
                <c:pt idx="18">
                  <c:v>18053.550734166609</c:v>
                </c:pt>
                <c:pt idx="19">
                  <c:v>24945.742753333267</c:v>
                </c:pt>
                <c:pt idx="20">
                  <c:v>48893.69310583327</c:v>
                </c:pt>
                <c:pt idx="21">
                  <c:v>63226.939958333256</c:v>
                </c:pt>
                <c:pt idx="22">
                  <c:v>83156.393310833242</c:v>
                </c:pt>
                <c:pt idx="23">
                  <c:v>117409.68366333323</c:v>
                </c:pt>
                <c:pt idx="24">
                  <c:v>107908.80232249988</c:v>
                </c:pt>
                <c:pt idx="25">
                  <c:v>121000.44628166653</c:v>
                </c:pt>
                <c:pt idx="26">
                  <c:v>137250.23824083322</c:v>
                </c:pt>
                <c:pt idx="27">
                  <c:v>159016.72169999988</c:v>
                </c:pt>
                <c:pt idx="28">
                  <c:v>188394.44515916656</c:v>
                </c:pt>
                <c:pt idx="29">
                  <c:v>222731.64861833322</c:v>
                </c:pt>
                <c:pt idx="30">
                  <c:v>247772.20257749985</c:v>
                </c:pt>
                <c:pt idx="31">
                  <c:v>272675.04803666653</c:v>
                </c:pt>
                <c:pt idx="32">
                  <c:v>320096.66249583318</c:v>
                </c:pt>
                <c:pt idx="33">
                  <c:v>354432.88745499984</c:v>
                </c:pt>
                <c:pt idx="34">
                  <c:v>395510.50891416648</c:v>
                </c:pt>
                <c:pt idx="35">
                  <c:v>460239.5883733331</c:v>
                </c:pt>
                <c:pt idx="36">
                  <c:v>486685.32789624983</c:v>
                </c:pt>
                <c:pt idx="37">
                  <c:v>511690.85006916645</c:v>
                </c:pt>
                <c:pt idx="38">
                  <c:v>419576.45248828968</c:v>
                </c:pt>
                <c:pt idx="39">
                  <c:v>465513.00966120639</c:v>
                </c:pt>
                <c:pt idx="40">
                  <c:v>521039.6133341231</c:v>
                </c:pt>
                <c:pt idx="41">
                  <c:v>559597.24895628111</c:v>
                </c:pt>
                <c:pt idx="42">
                  <c:v>612349.94262919773</c:v>
                </c:pt>
                <c:pt idx="43">
                  <c:v>663818.23530211439</c:v>
                </c:pt>
                <c:pt idx="44">
                  <c:v>725613.21142427239</c:v>
                </c:pt>
                <c:pt idx="45">
                  <c:v>794691.02959718904</c:v>
                </c:pt>
                <c:pt idx="46">
                  <c:v>875154.88377010578</c:v>
                </c:pt>
                <c:pt idx="47">
                  <c:v>964923.76739226375</c:v>
                </c:pt>
                <c:pt idx="48">
                  <c:v>1021436.5246287639</c:v>
                </c:pt>
                <c:pt idx="49">
                  <c:v>1077268.8412319305</c:v>
                </c:pt>
                <c:pt idx="50">
                  <c:v>973311.31591605744</c:v>
                </c:pt>
                <c:pt idx="51">
                  <c:v>1023718.1915192242</c:v>
                </c:pt>
                <c:pt idx="52">
                  <c:v>1134550.0621223908</c:v>
                </c:pt>
                <c:pt idx="53">
                  <c:v>1192441.6603011428</c:v>
                </c:pt>
                <c:pt idx="54">
                  <c:v>1291044.3004043095</c:v>
                </c:pt>
                <c:pt idx="55">
                  <c:v>1386178.1485074761</c:v>
                </c:pt>
                <c:pt idx="56">
                  <c:v>1484409.7481862279</c:v>
                </c:pt>
                <c:pt idx="57">
                  <c:v>1606339.1477893947</c:v>
                </c:pt>
                <c:pt idx="58">
                  <c:v>1746395.9798925614</c:v>
                </c:pt>
                <c:pt idx="59">
                  <c:v>1890454.652071313</c:v>
                </c:pt>
              </c:numCache>
            </c:numRef>
          </c:yVal>
          <c:smooth val="1"/>
          <c:extLst>
            <c:ext xmlns:c16="http://schemas.microsoft.com/office/drawing/2014/chart" uri="{C3380CC4-5D6E-409C-BE32-E72D297353CC}">
              <c16:uniqueId val="{00000000-615B-754A-BAA7-71ECC4EC2486}"/>
            </c:ext>
          </c:extLst>
        </c:ser>
        <c:ser>
          <c:idx val="1"/>
          <c:order val="1"/>
          <c:tx>
            <c:v>BFR</c:v>
          </c:tx>
          <c:spPr>
            <a:ln>
              <a:prstDash val="solid"/>
            </a:ln>
          </c:spPr>
          <c:marker>
            <c:symbol val="diamond"/>
            <c:size val="6"/>
            <c:spPr>
              <a:ln>
                <a:prstDash val="solid"/>
              </a:ln>
            </c:spPr>
          </c:marker>
          <c:xVal>
            <c:numRef>
              <c:f>BFR!$C$8:$BJ$8</c:f>
              <c:numCache>
                <c:formatCode>[$-40C]mmm\ yyyy;@</c:formatCode>
                <c:ptCount val="60"/>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pt idx="24">
                  <c:v>47119</c:v>
                </c:pt>
                <c:pt idx="25">
                  <c:v>47150</c:v>
                </c:pt>
                <c:pt idx="26">
                  <c:v>47178</c:v>
                </c:pt>
                <c:pt idx="27">
                  <c:v>47209</c:v>
                </c:pt>
                <c:pt idx="28">
                  <c:v>47239</c:v>
                </c:pt>
                <c:pt idx="29">
                  <c:v>47270</c:v>
                </c:pt>
                <c:pt idx="30">
                  <c:v>47300</c:v>
                </c:pt>
                <c:pt idx="31">
                  <c:v>47331</c:v>
                </c:pt>
                <c:pt idx="32">
                  <c:v>47362</c:v>
                </c:pt>
                <c:pt idx="33">
                  <c:v>47392</c:v>
                </c:pt>
                <c:pt idx="34">
                  <c:v>47423</c:v>
                </c:pt>
                <c:pt idx="35">
                  <c:v>47453</c:v>
                </c:pt>
                <c:pt idx="36">
                  <c:v>47484</c:v>
                </c:pt>
                <c:pt idx="37">
                  <c:v>47515</c:v>
                </c:pt>
                <c:pt idx="38">
                  <c:v>47543</c:v>
                </c:pt>
                <c:pt idx="39">
                  <c:v>47574</c:v>
                </c:pt>
                <c:pt idx="40">
                  <c:v>47604</c:v>
                </c:pt>
                <c:pt idx="41">
                  <c:v>47635</c:v>
                </c:pt>
                <c:pt idx="42">
                  <c:v>47665</c:v>
                </c:pt>
                <c:pt idx="43">
                  <c:v>47696</c:v>
                </c:pt>
                <c:pt idx="44">
                  <c:v>47727</c:v>
                </c:pt>
                <c:pt idx="45">
                  <c:v>47757</c:v>
                </c:pt>
                <c:pt idx="46">
                  <c:v>47788</c:v>
                </c:pt>
                <c:pt idx="47">
                  <c:v>47818</c:v>
                </c:pt>
                <c:pt idx="48">
                  <c:v>47849</c:v>
                </c:pt>
                <c:pt idx="49">
                  <c:v>47880</c:v>
                </c:pt>
                <c:pt idx="50">
                  <c:v>47908</c:v>
                </c:pt>
                <c:pt idx="51">
                  <c:v>47939</c:v>
                </c:pt>
                <c:pt idx="52">
                  <c:v>47969</c:v>
                </c:pt>
                <c:pt idx="53">
                  <c:v>48000</c:v>
                </c:pt>
                <c:pt idx="54">
                  <c:v>48030</c:v>
                </c:pt>
                <c:pt idx="55">
                  <c:v>48061</c:v>
                </c:pt>
                <c:pt idx="56">
                  <c:v>48092</c:v>
                </c:pt>
                <c:pt idx="57">
                  <c:v>48122</c:v>
                </c:pt>
                <c:pt idx="58">
                  <c:v>48153</c:v>
                </c:pt>
                <c:pt idx="59">
                  <c:v>48183</c:v>
                </c:pt>
              </c:numCache>
            </c:numRef>
          </c:xVal>
          <c:yVal>
            <c:numRef>
              <c:f>BFR!$C$22:$BJ$22</c:f>
              <c:numCache>
                <c:formatCode>#\ ##0\ "€";\-#\ ##0\ "€";;@</c:formatCode>
                <c:ptCount val="60"/>
                <c:pt idx="0">
                  <c:v>8033.7147000000004</c:v>
                </c:pt>
                <c:pt idx="1">
                  <c:v>816.08619999999996</c:v>
                </c:pt>
                <c:pt idx="2">
                  <c:v>-65.410300000000007</c:v>
                </c:pt>
                <c:pt idx="3">
                  <c:v>-1921.1062999999999</c:v>
                </c:pt>
                <c:pt idx="4">
                  <c:v>-3643.1618000000003</c:v>
                </c:pt>
                <c:pt idx="5">
                  <c:v>-5437.3222999999998</c:v>
                </c:pt>
                <c:pt idx="6">
                  <c:v>-4933.7017999999998</c:v>
                </c:pt>
                <c:pt idx="7">
                  <c:v>-4209.1612999999998</c:v>
                </c:pt>
                <c:pt idx="8">
                  <c:v>-9118.4758000000002</c:v>
                </c:pt>
                <c:pt idx="9">
                  <c:v>-8620.9032999999999</c:v>
                </c:pt>
                <c:pt idx="10">
                  <c:v>-9687.2473000000009</c:v>
                </c:pt>
                <c:pt idx="11">
                  <c:v>-13887.237300000001</c:v>
                </c:pt>
                <c:pt idx="12">
                  <c:v>-10356.852866666666</c:v>
                </c:pt>
                <c:pt idx="13">
                  <c:v>-10599.252366666668</c:v>
                </c:pt>
                <c:pt idx="14">
                  <c:v>-9205.8133666666654</c:v>
                </c:pt>
                <c:pt idx="15">
                  <c:v>-14933.040366666666</c:v>
                </c:pt>
                <c:pt idx="16">
                  <c:v>-17879.937366666665</c:v>
                </c:pt>
                <c:pt idx="17">
                  <c:v>-19360.164366666664</c:v>
                </c:pt>
                <c:pt idx="18">
                  <c:v>-19405.049866666664</c:v>
                </c:pt>
                <c:pt idx="19">
                  <c:v>-19031.486866666666</c:v>
                </c:pt>
                <c:pt idx="20">
                  <c:v>-26876.448866666666</c:v>
                </c:pt>
                <c:pt idx="21">
                  <c:v>-25743.507366666665</c:v>
                </c:pt>
                <c:pt idx="22">
                  <c:v>-27563.772366666664</c:v>
                </c:pt>
                <c:pt idx="23">
                  <c:v>-33839.474366666662</c:v>
                </c:pt>
                <c:pt idx="24">
                  <c:v>-26757.636566666668</c:v>
                </c:pt>
                <c:pt idx="25">
                  <c:v>-28962.324066666668</c:v>
                </c:pt>
                <c:pt idx="26">
                  <c:v>-31115.059566666667</c:v>
                </c:pt>
                <c:pt idx="27">
                  <c:v>-33785.586566666665</c:v>
                </c:pt>
                <c:pt idx="28">
                  <c:v>-37248.453566666663</c:v>
                </c:pt>
                <c:pt idx="29">
                  <c:v>-40080.900566666664</c:v>
                </c:pt>
                <c:pt idx="30">
                  <c:v>-37768.698066666664</c:v>
                </c:pt>
                <c:pt idx="31">
                  <c:v>-37208.487066666668</c:v>
                </c:pt>
                <c:pt idx="32">
                  <c:v>-45048.445066666667</c:v>
                </c:pt>
                <c:pt idx="33">
                  <c:v>-42897.813566666664</c:v>
                </c:pt>
                <c:pt idx="34">
                  <c:v>-44845.578566666663</c:v>
                </c:pt>
                <c:pt idx="35">
                  <c:v>-54505.70156666667</c:v>
                </c:pt>
                <c:pt idx="36">
                  <c:v>-49211.191916666663</c:v>
                </c:pt>
                <c:pt idx="37">
                  <c:v>-46961.364916666658</c:v>
                </c:pt>
                <c:pt idx="38">
                  <c:v>-50175.668416666667</c:v>
                </c:pt>
                <c:pt idx="39">
                  <c:v>-54948.576416666663</c:v>
                </c:pt>
                <c:pt idx="40">
                  <c:v>-59811.130916666669</c:v>
                </c:pt>
                <c:pt idx="41">
                  <c:v>-64649.267416666669</c:v>
                </c:pt>
                <c:pt idx="42">
                  <c:v>-61932.711916666667</c:v>
                </c:pt>
                <c:pt idx="43">
                  <c:v>-61026.555416666662</c:v>
                </c:pt>
                <c:pt idx="44">
                  <c:v>-73614.032416666669</c:v>
                </c:pt>
                <c:pt idx="45">
                  <c:v>-71216.701416666678</c:v>
                </c:pt>
                <c:pt idx="46">
                  <c:v>-74919.406416666665</c:v>
                </c:pt>
                <c:pt idx="47">
                  <c:v>-89117.590916666668</c:v>
                </c:pt>
                <c:pt idx="48">
                  <c:v>-80668.686050000004</c:v>
                </c:pt>
                <c:pt idx="49">
                  <c:v>-77757.940549999999</c:v>
                </c:pt>
                <c:pt idx="50">
                  <c:v>-81854.290049999996</c:v>
                </c:pt>
                <c:pt idx="51">
                  <c:v>-78693.503549999994</c:v>
                </c:pt>
                <c:pt idx="52">
                  <c:v>-97407.012050000005</c:v>
                </c:pt>
                <c:pt idx="53">
                  <c:v>-103964.29555</c:v>
                </c:pt>
                <c:pt idx="54">
                  <c:v>-100690.27355000001</c:v>
                </c:pt>
                <c:pt idx="55">
                  <c:v>-99471.259550000002</c:v>
                </c:pt>
                <c:pt idx="56">
                  <c:v>-119827.74455</c:v>
                </c:pt>
                <c:pt idx="57">
                  <c:v>-115279.78204999999</c:v>
                </c:pt>
                <c:pt idx="58">
                  <c:v>-120930.25205</c:v>
                </c:pt>
                <c:pt idx="59">
                  <c:v>-144440.80955000001</c:v>
                </c:pt>
              </c:numCache>
            </c:numRef>
          </c:yVal>
          <c:smooth val="1"/>
          <c:extLst>
            <c:ext xmlns:c16="http://schemas.microsoft.com/office/drawing/2014/chart" uri="{C3380CC4-5D6E-409C-BE32-E72D297353CC}">
              <c16:uniqueId val="{00000001-615B-754A-BAA7-71ECC4EC2486}"/>
            </c:ext>
          </c:extLst>
        </c:ser>
        <c:dLbls>
          <c:showLegendKey val="0"/>
          <c:showVal val="0"/>
          <c:showCatName val="0"/>
          <c:showSerName val="0"/>
          <c:showPercent val="0"/>
          <c:showBubbleSize val="0"/>
        </c:dLbls>
        <c:axId val="81899904"/>
        <c:axId val="81901440"/>
      </c:scatterChart>
      <c:valAx>
        <c:axId val="81899904"/>
        <c:scaling>
          <c:orientation val="minMax"/>
        </c:scaling>
        <c:delete val="0"/>
        <c:axPos val="b"/>
        <c:numFmt formatCode="[$-40C]mmm\ yyyy;@" sourceLinked="1"/>
        <c:majorTickMark val="out"/>
        <c:minorTickMark val="none"/>
        <c:tickLblPos val="nextTo"/>
        <c:crossAx val="81901440"/>
        <c:crosses val="autoZero"/>
        <c:crossBetween val="midCat"/>
      </c:valAx>
      <c:valAx>
        <c:axId val="81901440"/>
        <c:scaling>
          <c:orientation val="minMax"/>
        </c:scaling>
        <c:delete val="0"/>
        <c:axPos val="l"/>
        <c:majorGridlines/>
        <c:numFmt formatCode="#\ ##0\ &quot;€&quot;;\-#\ ##0\ &quot;€&quot;;;@" sourceLinked="1"/>
        <c:majorTickMark val="out"/>
        <c:minorTickMark val="none"/>
        <c:tickLblPos val="nextTo"/>
        <c:crossAx val="81899904"/>
        <c:crosses val="autoZero"/>
        <c:crossBetween val="midCat"/>
      </c:valAx>
    </c:plotArea>
    <c:legend>
      <c:legendPos val="t"/>
      <c:overlay val="0"/>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12</xdr:row>
      <xdr:rowOff>164306</xdr:rowOff>
    </xdr:from>
    <xdr:to>
      <xdr:col>9</xdr:col>
      <xdr:colOff>28575</xdr:colOff>
      <xdr:row>18</xdr:row>
      <xdr:rowOff>7144</xdr:rowOff>
    </xdr:to>
    <xdr:pic>
      <xdr:nvPicPr>
        <xdr:cNvPr id="45" name="Picture 3" descr="BUILD.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rcRect/>
        <a:stretch>
          <a:fillRect/>
        </a:stretch>
      </xdr:blipFill>
      <xdr:spPr bwMode="auto">
        <a:xfrm>
          <a:off x="781050" y="2331244"/>
          <a:ext cx="902494" cy="842963"/>
        </a:xfrm>
        <a:prstGeom prst="rect">
          <a:avLst/>
        </a:prstGeom>
        <a:noFill/>
        <a:ln>
          <a:noFill/>
          <a:prstDash val="solid"/>
        </a:ln>
      </xdr:spPr>
    </xdr:pic>
    <xdr:clientData/>
  </xdr:twoCellAnchor>
  <xdr:twoCellAnchor editAs="oneCell">
    <xdr:from>
      <xdr:col>16</xdr:col>
      <xdr:colOff>9525</xdr:colOff>
      <xdr:row>13</xdr:row>
      <xdr:rowOff>7144</xdr:rowOff>
    </xdr:from>
    <xdr:to>
      <xdr:col>21</xdr:col>
      <xdr:colOff>19050</xdr:colOff>
      <xdr:row>18</xdr:row>
      <xdr:rowOff>16669</xdr:rowOff>
    </xdr:to>
    <xdr:pic>
      <xdr:nvPicPr>
        <xdr:cNvPr id="46" name="Picture 4" descr="CASH.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cstate="print"/>
        <a:srcRect/>
        <a:stretch>
          <a:fillRect/>
        </a:stretch>
      </xdr:blipFill>
      <xdr:spPr bwMode="auto">
        <a:xfrm>
          <a:off x="2914650" y="2340769"/>
          <a:ext cx="902494" cy="842963"/>
        </a:xfrm>
        <a:prstGeom prst="rect">
          <a:avLst/>
        </a:prstGeom>
        <a:noFill/>
        <a:ln>
          <a:noFill/>
          <a:prstDash val="solid"/>
        </a:ln>
      </xdr:spPr>
    </xdr:pic>
    <xdr:clientData/>
  </xdr:twoCellAnchor>
  <xdr:twoCellAnchor editAs="oneCell">
    <xdr:from>
      <xdr:col>40</xdr:col>
      <xdr:colOff>171450</xdr:colOff>
      <xdr:row>12</xdr:row>
      <xdr:rowOff>154781</xdr:rowOff>
    </xdr:from>
    <xdr:to>
      <xdr:col>46</xdr:col>
      <xdr:colOff>9525</xdr:colOff>
      <xdr:row>17</xdr:row>
      <xdr:rowOff>164307</xdr:rowOff>
    </xdr:to>
    <xdr:pic>
      <xdr:nvPicPr>
        <xdr:cNvPr id="47" name="Picture 5" descr="EXPORT.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 cstate="print"/>
        <a:srcRect/>
        <a:stretch>
          <a:fillRect/>
        </a:stretch>
      </xdr:blipFill>
      <xdr:spPr bwMode="auto">
        <a:xfrm>
          <a:off x="7362825" y="2321719"/>
          <a:ext cx="909638" cy="842963"/>
        </a:xfrm>
        <a:prstGeom prst="rect">
          <a:avLst/>
        </a:prstGeom>
        <a:noFill/>
        <a:ln>
          <a:noFill/>
          <a:prstDash val="solid"/>
        </a:ln>
      </xdr:spPr>
    </xdr:pic>
    <xdr:clientData/>
  </xdr:twoCellAnchor>
  <xdr:twoCellAnchor editAs="oneCell">
    <xdr:from>
      <xdr:col>29</xdr:col>
      <xdr:colOff>0</xdr:colOff>
      <xdr:row>12</xdr:row>
      <xdr:rowOff>159544</xdr:rowOff>
    </xdr:from>
    <xdr:to>
      <xdr:col>34</xdr:col>
      <xdr:colOff>9525</xdr:colOff>
      <xdr:row>17</xdr:row>
      <xdr:rowOff>164307</xdr:rowOff>
    </xdr:to>
    <xdr:pic>
      <xdr:nvPicPr>
        <xdr:cNvPr id="48" name="Picture 6" descr="REFINE.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 cstate="print"/>
        <a:srcRect/>
        <a:stretch>
          <a:fillRect/>
        </a:stretch>
      </xdr:blipFill>
      <xdr:spPr bwMode="auto">
        <a:xfrm>
          <a:off x="5226844" y="2326482"/>
          <a:ext cx="902494" cy="838200"/>
        </a:xfrm>
        <a:prstGeom prst="rect">
          <a:avLst/>
        </a:prstGeom>
        <a:noFill/>
        <a:ln>
          <a:noFill/>
          <a:prstDash val="solid"/>
        </a:ln>
      </xdr:spPr>
    </xdr:pic>
    <xdr:clientData/>
  </xdr:twoCellAnchor>
  <xdr:twoCellAnchor editAs="oneCell">
    <xdr:from>
      <xdr:col>42</xdr:col>
      <xdr:colOff>123825</xdr:colOff>
      <xdr:row>4</xdr:row>
      <xdr:rowOff>171450</xdr:rowOff>
    </xdr:from>
    <xdr:to>
      <xdr:col>49</xdr:col>
      <xdr:colOff>19050</xdr:colOff>
      <xdr:row>7</xdr:row>
      <xdr:rowOff>19050</xdr:rowOff>
    </xdr:to>
    <xdr:pic>
      <xdr:nvPicPr>
        <xdr:cNvPr id="57" name="Picture 139" descr="http://i.creativecommons.org/l/by-sa/3.0/88x31.png">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724775" y="1104900"/>
          <a:ext cx="1162050" cy="419100"/>
        </a:xfrm>
        <a:prstGeom prst="rect">
          <a:avLst/>
        </a:prstGeom>
        <a:noFill/>
        <a:ln>
          <a:noFill/>
          <a:prstDash val="solid"/>
        </a:ln>
      </xdr:spPr>
    </xdr:pic>
    <xdr:clientData/>
  </xdr:twoCellAnchor>
  <xdr:twoCellAnchor editAs="oneCell">
    <xdr:from>
      <xdr:col>1</xdr:col>
      <xdr:colOff>83344</xdr:colOff>
      <xdr:row>0</xdr:row>
      <xdr:rowOff>81711</xdr:rowOff>
    </xdr:from>
    <xdr:to>
      <xdr:col>15</xdr:col>
      <xdr:colOff>104775</xdr:colOff>
      <xdr:row>5</xdr:row>
      <xdr:rowOff>87313</xdr:rowOff>
    </xdr:to>
    <xdr:pic>
      <xdr:nvPicPr>
        <xdr:cNvPr id="58" name="Imag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6" cstate="print"/>
        <a:stretch>
          <a:fillRect/>
        </a:stretch>
      </xdr:blipFill>
      <xdr:spPr>
        <a:xfrm>
          <a:off x="321469" y="253161"/>
          <a:ext cx="2555081" cy="862852"/>
        </a:xfrm>
        <a:prstGeom prst="rect">
          <a:avLst/>
        </a:prstGeom>
        <a:ln>
          <a:prstDash val="solid"/>
        </a:ln>
      </xdr:spPr>
    </xdr:pic>
    <xdr:clientData/>
  </xdr:twoCellAnchor>
  <xdr:twoCellAnchor editAs="oneCell">
    <xdr:from>
      <xdr:col>18</xdr:col>
      <xdr:colOff>68581</xdr:colOff>
      <xdr:row>29</xdr:row>
      <xdr:rowOff>21402</xdr:rowOff>
    </xdr:from>
    <xdr:to>
      <xdr:col>31</xdr:col>
      <xdr:colOff>32386</xdr:colOff>
      <xdr:row>35</xdr:row>
      <xdr:rowOff>59502</xdr:rowOff>
    </xdr:to>
    <xdr:pic>
      <xdr:nvPicPr>
        <xdr:cNvPr id="12" name="Picture 30" descr="Logo Réseau Entreprendre.png">
          <a:hlinkClick xmlns:r="http://schemas.openxmlformats.org/officeDocument/2006/relationships" r:id=""/>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7" cstate="print"/>
        <a:srcRect/>
        <a:stretch>
          <a:fillRect/>
        </a:stretch>
      </xdr:blipFill>
      <xdr:spPr bwMode="auto">
        <a:xfrm>
          <a:off x="3383281" y="4993452"/>
          <a:ext cx="2316480" cy="1066800"/>
        </a:xfrm>
        <a:prstGeom prst="rect">
          <a:avLst/>
        </a:prstGeom>
        <a:noFill/>
        <a:ln w="9525">
          <a:noFill/>
          <a:prstDash val="solid"/>
          <a:miter lim="800000"/>
          <a:headEnd/>
          <a:tailEnd/>
        </a:ln>
      </xdr:spPr>
    </xdr:pic>
    <xdr:clientData/>
  </xdr:twoCellAnchor>
  <xdr:twoCellAnchor editAs="oneCell">
    <xdr:from>
      <xdr:col>33</xdr:col>
      <xdr:colOff>13308</xdr:colOff>
      <xdr:row>4</xdr:row>
      <xdr:rowOff>150943</xdr:rowOff>
    </xdr:from>
    <xdr:to>
      <xdr:col>35</xdr:col>
      <xdr:colOff>57492</xdr:colOff>
      <xdr:row>7</xdr:row>
      <xdr:rowOff>28575</xdr:rowOff>
    </xdr:to>
    <xdr:pic>
      <xdr:nvPicPr>
        <xdr:cNvPr id="14" name="Picture 13" descr="twitter.png">
          <a:hlinkClick xmlns:r="http://schemas.openxmlformats.org/officeDocument/2006/relationships" r:id=""/>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cstate="print"/>
        <a:stretch>
          <a:fillRect/>
        </a:stretch>
      </xdr:blipFill>
      <xdr:spPr>
        <a:xfrm>
          <a:off x="6042633" y="836743"/>
          <a:ext cx="406134" cy="391982"/>
        </a:xfrm>
        <a:prstGeom prst="rect">
          <a:avLst/>
        </a:prstGeom>
        <a:ln>
          <a:prstDash val="solid"/>
        </a:ln>
      </xdr:spPr>
    </xdr:pic>
    <xdr:clientData/>
  </xdr:twoCellAnchor>
  <xdr:twoCellAnchor editAs="oneCell">
    <xdr:from>
      <xdr:col>35</xdr:col>
      <xdr:colOff>171450</xdr:colOff>
      <xdr:row>4</xdr:row>
      <xdr:rowOff>152400</xdr:rowOff>
    </xdr:from>
    <xdr:to>
      <xdr:col>38</xdr:col>
      <xdr:colOff>19050</xdr:colOff>
      <xdr:row>7</xdr:row>
      <xdr:rowOff>28575</xdr:rowOff>
    </xdr:to>
    <xdr:pic>
      <xdr:nvPicPr>
        <xdr:cNvPr id="15" name="Picture 14" descr="linkedin.png">
          <a:hlinkClick xmlns:r="http://schemas.openxmlformats.org/officeDocument/2006/relationships" r:id=""/>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9" cstate="print"/>
        <a:stretch>
          <a:fillRect/>
        </a:stretch>
      </xdr:blipFill>
      <xdr:spPr>
        <a:xfrm>
          <a:off x="6562725" y="838200"/>
          <a:ext cx="390525" cy="39052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538919</xdr:colOff>
      <xdr:row>1</xdr:row>
      <xdr:rowOff>0</xdr:rowOff>
    </xdr:from>
    <xdr:to>
      <xdr:col>7</xdr:col>
      <xdr:colOff>25363</xdr:colOff>
      <xdr:row>3</xdr:row>
      <xdr:rowOff>66939</xdr:rowOff>
    </xdr:to>
    <xdr:pic>
      <xdr:nvPicPr>
        <xdr:cNvPr id="2" name="Imag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9700465" y="187993"/>
          <a:ext cx="1479174" cy="493058"/>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788894</xdr:colOff>
      <xdr:row>0</xdr:row>
      <xdr:rowOff>156883</xdr:rowOff>
    </xdr:from>
    <xdr:to>
      <xdr:col>10</xdr:col>
      <xdr:colOff>6723</xdr:colOff>
      <xdr:row>3</xdr:row>
      <xdr:rowOff>78441</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0264588" y="156883"/>
          <a:ext cx="1360394" cy="45944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681316</xdr:colOff>
      <xdr:row>0</xdr:row>
      <xdr:rowOff>145676</xdr:rowOff>
    </xdr:from>
    <xdr:to>
      <xdr:col>16</xdr:col>
      <xdr:colOff>32254</xdr:colOff>
      <xdr:row>3</xdr:row>
      <xdr:rowOff>67234</xdr:rowOff>
    </xdr:to>
    <xdr:pic>
      <xdr:nvPicPr>
        <xdr:cNvPr id="5" name="Imag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stretch>
          <a:fillRect/>
        </a:stretch>
      </xdr:blipFill>
      <xdr:spPr>
        <a:xfrm>
          <a:off x="10811434" y="145676"/>
          <a:ext cx="1396251" cy="45944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56030</xdr:colOff>
      <xdr:row>0</xdr:row>
      <xdr:rowOff>156882</xdr:rowOff>
    </xdr:from>
    <xdr:to>
      <xdr:col>15</xdr:col>
      <xdr:colOff>1679</xdr:colOff>
      <xdr:row>3</xdr:row>
      <xdr:rowOff>78440</xdr:rowOff>
    </xdr:to>
    <xdr:pic>
      <xdr:nvPicPr>
        <xdr:cNvPr id="3" name="Imag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11127442" y="156882"/>
          <a:ext cx="1469649" cy="493058"/>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95241</xdr:colOff>
      <xdr:row>0</xdr:row>
      <xdr:rowOff>149679</xdr:rowOff>
    </xdr:from>
    <xdr:to>
      <xdr:col>16</xdr:col>
      <xdr:colOff>40890</xdr:colOff>
      <xdr:row>3</xdr:row>
      <xdr:rowOff>71237</xdr:rowOff>
    </xdr:to>
    <xdr:pic>
      <xdr:nvPicPr>
        <xdr:cNvPr id="2" name="Imag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10246170" y="149679"/>
          <a:ext cx="1469649" cy="493058"/>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134470</xdr:colOff>
      <xdr:row>0</xdr:row>
      <xdr:rowOff>168088</xdr:rowOff>
    </xdr:from>
    <xdr:to>
      <xdr:col>16</xdr:col>
      <xdr:colOff>750792</xdr:colOff>
      <xdr:row>3</xdr:row>
      <xdr:rowOff>89646</xdr:rowOff>
    </xdr:to>
    <xdr:pic>
      <xdr:nvPicPr>
        <xdr:cNvPr id="2" name="Imag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12667129" y="168088"/>
          <a:ext cx="1405216" cy="45944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8964</xdr:colOff>
      <xdr:row>0</xdr:row>
      <xdr:rowOff>156882</xdr:rowOff>
    </xdr:from>
    <xdr:to>
      <xdr:col>15</xdr:col>
      <xdr:colOff>1679</xdr:colOff>
      <xdr:row>3</xdr:row>
      <xdr:rowOff>78440</xdr:rowOff>
    </xdr:to>
    <xdr:pic>
      <xdr:nvPicPr>
        <xdr:cNvPr id="4" name="Imag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10264588" y="156882"/>
          <a:ext cx="1373279" cy="45944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188258</xdr:colOff>
      <xdr:row>0</xdr:row>
      <xdr:rowOff>168088</xdr:rowOff>
    </xdr:from>
    <xdr:to>
      <xdr:col>15</xdr:col>
      <xdr:colOff>1678</xdr:colOff>
      <xdr:row>3</xdr:row>
      <xdr:rowOff>89646</xdr:rowOff>
    </xdr:to>
    <xdr:pic>
      <xdr:nvPicPr>
        <xdr:cNvPr id="2" name="Imag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11546540" y="168088"/>
          <a:ext cx="1391209" cy="459440"/>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197223</xdr:colOff>
      <xdr:row>0</xdr:row>
      <xdr:rowOff>156882</xdr:rowOff>
    </xdr:from>
    <xdr:to>
      <xdr:col>15</xdr:col>
      <xdr:colOff>12885</xdr:colOff>
      <xdr:row>3</xdr:row>
      <xdr:rowOff>78440</xdr:rowOff>
    </xdr:to>
    <xdr:pic>
      <xdr:nvPicPr>
        <xdr:cNvPr id="2" name="Imag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11967882" y="156882"/>
          <a:ext cx="1393450" cy="459440"/>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56030</xdr:colOff>
      <xdr:row>0</xdr:row>
      <xdr:rowOff>145676</xdr:rowOff>
    </xdr:from>
    <xdr:to>
      <xdr:col>16</xdr:col>
      <xdr:colOff>1679</xdr:colOff>
      <xdr:row>3</xdr:row>
      <xdr:rowOff>67234</xdr:rowOff>
    </xdr:to>
    <xdr:pic>
      <xdr:nvPicPr>
        <xdr:cNvPr id="3" name="Imag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stretch>
          <a:fillRect/>
        </a:stretch>
      </xdr:blipFill>
      <xdr:spPr>
        <a:xfrm>
          <a:off x="10376648" y="145676"/>
          <a:ext cx="1469649" cy="493058"/>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7</xdr:row>
      <xdr:rowOff>180975</xdr:rowOff>
    </xdr:from>
    <xdr:to>
      <xdr:col>8</xdr:col>
      <xdr:colOff>0</xdr:colOff>
      <xdr:row>19</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9526</xdr:colOff>
      <xdr:row>7</xdr:row>
      <xdr:rowOff>180975</xdr:rowOff>
    </xdr:from>
    <xdr:to>
      <xdr:col>21</xdr:col>
      <xdr:colOff>1</xdr:colOff>
      <xdr:row>24</xdr:row>
      <xdr:rowOff>11205</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9525</xdr:colOff>
      <xdr:row>0</xdr:row>
      <xdr:rowOff>154782</xdr:rowOff>
    </xdr:from>
    <xdr:to>
      <xdr:col>21</xdr:col>
      <xdr:colOff>28996</xdr:colOff>
      <xdr:row>3</xdr:row>
      <xdr:rowOff>76340</xdr:rowOff>
    </xdr:to>
    <xdr:pic>
      <xdr:nvPicPr>
        <xdr:cNvPr id="4" name="Imag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cstate="print"/>
        <a:stretch>
          <a:fillRect/>
        </a:stretch>
      </xdr:blipFill>
      <xdr:spPr>
        <a:xfrm>
          <a:off x="12944475" y="154782"/>
          <a:ext cx="1381546" cy="464483"/>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887506</xdr:colOff>
      <xdr:row>0</xdr:row>
      <xdr:rowOff>145676</xdr:rowOff>
    </xdr:from>
    <xdr:to>
      <xdr:col>7</xdr:col>
      <xdr:colOff>24086</xdr:colOff>
      <xdr:row>3</xdr:row>
      <xdr:rowOff>67234</xdr:rowOff>
    </xdr:to>
    <xdr:pic>
      <xdr:nvPicPr>
        <xdr:cNvPr id="3" name="Imag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6669741" y="145676"/>
          <a:ext cx="1413616" cy="459440"/>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1129553</xdr:colOff>
      <xdr:row>0</xdr:row>
      <xdr:rowOff>156882</xdr:rowOff>
    </xdr:from>
    <xdr:to>
      <xdr:col>7</xdr:col>
      <xdr:colOff>1688</xdr:colOff>
      <xdr:row>3</xdr:row>
      <xdr:rowOff>78440</xdr:rowOff>
    </xdr:to>
    <xdr:pic>
      <xdr:nvPicPr>
        <xdr:cNvPr id="2" name="Imag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8122024" y="156882"/>
          <a:ext cx="1382252" cy="459440"/>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212912</xdr:colOff>
      <xdr:row>0</xdr:row>
      <xdr:rowOff>145676</xdr:rowOff>
    </xdr:from>
    <xdr:to>
      <xdr:col>10</xdr:col>
      <xdr:colOff>158561</xdr:colOff>
      <xdr:row>3</xdr:row>
      <xdr:rowOff>67234</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7384677" y="145676"/>
          <a:ext cx="1469649" cy="493058"/>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1111623</xdr:colOff>
      <xdr:row>0</xdr:row>
      <xdr:rowOff>145676</xdr:rowOff>
    </xdr:from>
    <xdr:to>
      <xdr:col>7</xdr:col>
      <xdr:colOff>1677</xdr:colOff>
      <xdr:row>3</xdr:row>
      <xdr:rowOff>67234</xdr:rowOff>
    </xdr:to>
    <xdr:pic>
      <xdr:nvPicPr>
        <xdr:cNvPr id="2" name="Imag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7306235" y="145676"/>
          <a:ext cx="1418101" cy="459440"/>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56030</xdr:colOff>
      <xdr:row>0</xdr:row>
      <xdr:rowOff>145676</xdr:rowOff>
    </xdr:from>
    <xdr:to>
      <xdr:col>10</xdr:col>
      <xdr:colOff>1679</xdr:colOff>
      <xdr:row>3</xdr:row>
      <xdr:rowOff>67234</xdr:rowOff>
    </xdr:to>
    <xdr:pic>
      <xdr:nvPicPr>
        <xdr:cNvPr id="2" name="Imag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7250206" y="145676"/>
          <a:ext cx="1469649" cy="493058"/>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12</xdr:col>
      <xdr:colOff>44824</xdr:colOff>
      <xdr:row>0</xdr:row>
      <xdr:rowOff>156882</xdr:rowOff>
    </xdr:from>
    <xdr:to>
      <xdr:col>13</xdr:col>
      <xdr:colOff>752473</xdr:colOff>
      <xdr:row>3</xdr:row>
      <xdr:rowOff>78440</xdr:rowOff>
    </xdr:to>
    <xdr:pic>
      <xdr:nvPicPr>
        <xdr:cNvPr id="2" name="Imag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10253383" y="156882"/>
          <a:ext cx="1469649" cy="493058"/>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1019733</xdr:colOff>
      <xdr:row>0</xdr:row>
      <xdr:rowOff>134470</xdr:rowOff>
    </xdr:from>
    <xdr:to>
      <xdr:col>7</xdr:col>
      <xdr:colOff>1677</xdr:colOff>
      <xdr:row>3</xdr:row>
      <xdr:rowOff>56028</xdr:rowOff>
    </xdr:to>
    <xdr:pic>
      <xdr:nvPicPr>
        <xdr:cNvPr id="2" name="Imag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7631204" y="134470"/>
          <a:ext cx="1469649" cy="493058"/>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fisy.f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BD0"/>
  </sheetPr>
  <dimension ref="B1:AW42"/>
  <sheetViews>
    <sheetView showGridLines="0" showRowColHeaders="0" zoomScale="80" zoomScaleNormal="80" workbookViewId="0">
      <selection activeCell="BI29" sqref="BI29"/>
    </sheetView>
  </sheetViews>
  <sheetFormatPr baseColWidth="10" defaultColWidth="11.5" defaultRowHeight="15" x14ac:dyDescent="0.2"/>
  <cols>
    <col min="1" max="1" width="3.5" customWidth="1"/>
    <col min="2" max="80" width="2.6640625" customWidth="1"/>
    <col min="81" max="256" width="9.1640625" customWidth="1"/>
    <col min="257" max="336" width="2.6640625" customWidth="1"/>
    <col min="337" max="512" width="9.1640625" customWidth="1"/>
    <col min="513" max="592" width="2.6640625" customWidth="1"/>
    <col min="593" max="768" width="9.1640625" customWidth="1"/>
    <col min="769" max="848" width="2.6640625" customWidth="1"/>
    <col min="849" max="1024" width="9.1640625" customWidth="1"/>
    <col min="1025" max="1104" width="2.6640625" customWidth="1"/>
    <col min="1105" max="1280" width="9.1640625" customWidth="1"/>
    <col min="1281" max="1360" width="2.6640625" customWidth="1"/>
    <col min="1361" max="1536" width="9.1640625" customWidth="1"/>
    <col min="1537" max="1616" width="2.6640625" customWidth="1"/>
    <col min="1617" max="1792" width="9.1640625" customWidth="1"/>
    <col min="1793" max="1872" width="2.6640625" customWidth="1"/>
    <col min="1873" max="2048" width="9.1640625" customWidth="1"/>
    <col min="2049" max="2128" width="2.6640625" customWidth="1"/>
    <col min="2129" max="2304" width="9.1640625" customWidth="1"/>
    <col min="2305" max="2384" width="2.6640625" customWidth="1"/>
    <col min="2385" max="2560" width="9.1640625" customWidth="1"/>
    <col min="2561" max="2640" width="2.6640625" customWidth="1"/>
    <col min="2641" max="2816" width="9.1640625" customWidth="1"/>
    <col min="2817" max="2896" width="2.6640625" customWidth="1"/>
    <col min="2897" max="3072" width="9.1640625" customWidth="1"/>
    <col min="3073" max="3152" width="2.6640625" customWidth="1"/>
    <col min="3153" max="3328" width="9.1640625" customWidth="1"/>
    <col min="3329" max="3408" width="2.6640625" customWidth="1"/>
    <col min="3409" max="3584" width="9.1640625" customWidth="1"/>
    <col min="3585" max="3664" width="2.6640625" customWidth="1"/>
    <col min="3665" max="3840" width="9.1640625" customWidth="1"/>
    <col min="3841" max="3920" width="2.6640625" customWidth="1"/>
    <col min="3921" max="4096" width="9.1640625" customWidth="1"/>
    <col min="4097" max="4176" width="2.6640625" customWidth="1"/>
    <col min="4177" max="4352" width="9.1640625" customWidth="1"/>
    <col min="4353" max="4432" width="2.6640625" customWidth="1"/>
    <col min="4433" max="4608" width="9.1640625" customWidth="1"/>
    <col min="4609" max="4688" width="2.6640625" customWidth="1"/>
    <col min="4689" max="4864" width="9.1640625" customWidth="1"/>
    <col min="4865" max="4944" width="2.6640625" customWidth="1"/>
    <col min="4945" max="5120" width="9.1640625" customWidth="1"/>
    <col min="5121" max="5200" width="2.6640625" customWidth="1"/>
    <col min="5201" max="5376" width="9.1640625" customWidth="1"/>
    <col min="5377" max="5456" width="2.6640625" customWidth="1"/>
    <col min="5457" max="5632" width="9.1640625" customWidth="1"/>
    <col min="5633" max="5712" width="2.6640625" customWidth="1"/>
    <col min="5713" max="5888" width="9.1640625" customWidth="1"/>
    <col min="5889" max="5968" width="2.6640625" customWidth="1"/>
    <col min="5969" max="6144" width="9.1640625" customWidth="1"/>
    <col min="6145" max="6224" width="2.6640625" customWidth="1"/>
    <col min="6225" max="6400" width="9.1640625" customWidth="1"/>
    <col min="6401" max="6480" width="2.6640625" customWidth="1"/>
    <col min="6481" max="6656" width="9.1640625" customWidth="1"/>
    <col min="6657" max="6736" width="2.6640625" customWidth="1"/>
    <col min="6737" max="6912" width="9.1640625" customWidth="1"/>
    <col min="6913" max="6992" width="2.6640625" customWidth="1"/>
    <col min="6993" max="7168" width="9.1640625" customWidth="1"/>
    <col min="7169" max="7248" width="2.6640625" customWidth="1"/>
    <col min="7249" max="7424" width="9.1640625" customWidth="1"/>
    <col min="7425" max="7504" width="2.6640625" customWidth="1"/>
    <col min="7505" max="7680" width="9.1640625" customWidth="1"/>
    <col min="7681" max="7760" width="2.6640625" customWidth="1"/>
    <col min="7761" max="7936" width="9.1640625" customWidth="1"/>
    <col min="7937" max="8016" width="2.6640625" customWidth="1"/>
    <col min="8017" max="8192" width="9.1640625" customWidth="1"/>
    <col min="8193" max="8272" width="2.6640625" customWidth="1"/>
    <col min="8273" max="8448" width="9.1640625" customWidth="1"/>
    <col min="8449" max="8528" width="2.6640625" customWidth="1"/>
    <col min="8529" max="8704" width="9.1640625" customWidth="1"/>
    <col min="8705" max="8784" width="2.6640625" customWidth="1"/>
    <col min="8785" max="8960" width="9.1640625" customWidth="1"/>
    <col min="8961" max="9040" width="2.6640625" customWidth="1"/>
    <col min="9041" max="9216" width="9.1640625" customWidth="1"/>
    <col min="9217" max="9296" width="2.6640625" customWidth="1"/>
    <col min="9297" max="9472" width="9.1640625" customWidth="1"/>
    <col min="9473" max="9552" width="2.6640625" customWidth="1"/>
    <col min="9553" max="9728" width="9.1640625" customWidth="1"/>
    <col min="9729" max="9808" width="2.6640625" customWidth="1"/>
    <col min="9809" max="9984" width="9.1640625" customWidth="1"/>
    <col min="9985" max="10064" width="2.6640625" customWidth="1"/>
    <col min="10065" max="10240" width="9.1640625" customWidth="1"/>
    <col min="10241" max="10320" width="2.6640625" customWidth="1"/>
    <col min="10321" max="10496" width="9.1640625" customWidth="1"/>
    <col min="10497" max="10576" width="2.6640625" customWidth="1"/>
    <col min="10577" max="10752" width="9.1640625" customWidth="1"/>
    <col min="10753" max="10832" width="2.6640625" customWidth="1"/>
    <col min="10833" max="11008" width="9.1640625" customWidth="1"/>
    <col min="11009" max="11088" width="2.6640625" customWidth="1"/>
    <col min="11089" max="11264" width="9.1640625" customWidth="1"/>
    <col min="11265" max="11344" width="2.6640625" customWidth="1"/>
    <col min="11345" max="11520" width="9.1640625" customWidth="1"/>
    <col min="11521" max="11600" width="2.6640625" customWidth="1"/>
    <col min="11601" max="11776" width="9.1640625" customWidth="1"/>
    <col min="11777" max="11856" width="2.6640625" customWidth="1"/>
    <col min="11857" max="12032" width="9.1640625" customWidth="1"/>
    <col min="12033" max="12112" width="2.6640625" customWidth="1"/>
    <col min="12113" max="12288" width="9.1640625" customWidth="1"/>
    <col min="12289" max="12368" width="2.6640625" customWidth="1"/>
    <col min="12369" max="12544" width="9.1640625" customWidth="1"/>
    <col min="12545" max="12624" width="2.6640625" customWidth="1"/>
    <col min="12625" max="12800" width="9.1640625" customWidth="1"/>
    <col min="12801" max="12880" width="2.6640625" customWidth="1"/>
    <col min="12881" max="13056" width="9.1640625" customWidth="1"/>
    <col min="13057" max="13136" width="2.6640625" customWidth="1"/>
    <col min="13137" max="13312" width="9.1640625" customWidth="1"/>
    <col min="13313" max="13392" width="2.6640625" customWidth="1"/>
    <col min="13393" max="13568" width="9.1640625" customWidth="1"/>
    <col min="13569" max="13648" width="2.6640625" customWidth="1"/>
    <col min="13649" max="13824" width="9.1640625" customWidth="1"/>
    <col min="13825" max="13904" width="2.6640625" customWidth="1"/>
    <col min="13905" max="14080" width="9.1640625" customWidth="1"/>
    <col min="14081" max="14160" width="2.6640625" customWidth="1"/>
    <col min="14161" max="14336" width="9.1640625" customWidth="1"/>
    <col min="14337" max="14416" width="2.6640625" customWidth="1"/>
    <col min="14417" max="14592" width="9.1640625" customWidth="1"/>
    <col min="14593" max="14672" width="2.6640625" customWidth="1"/>
    <col min="14673" max="14848" width="9.1640625" customWidth="1"/>
    <col min="14849" max="14928" width="2.6640625" customWidth="1"/>
    <col min="14929" max="15104" width="9.1640625" customWidth="1"/>
    <col min="15105" max="15184" width="2.6640625" customWidth="1"/>
    <col min="15185" max="15360" width="9.1640625" customWidth="1"/>
    <col min="15361" max="15440" width="2.6640625" customWidth="1"/>
    <col min="15441" max="15616" width="9.1640625" customWidth="1"/>
    <col min="15617" max="15696" width="2.6640625" customWidth="1"/>
    <col min="15697" max="15872" width="9.1640625" customWidth="1"/>
    <col min="15873" max="15952" width="2.6640625" customWidth="1"/>
    <col min="15953" max="16128" width="9.1640625" customWidth="1"/>
    <col min="16129" max="16208" width="2.6640625" customWidth="1"/>
    <col min="16209" max="16384" width="9.1640625" customWidth="1"/>
  </cols>
  <sheetData>
    <row r="1" spans="2:49" ht="13.5" customHeight="1" x14ac:dyDescent="0.2"/>
    <row r="2" spans="2:49" ht="13.5" customHeight="1" x14ac:dyDescent="0.2"/>
    <row r="3" spans="2:49" ht="13.5" customHeight="1" x14ac:dyDescent="0.2">
      <c r="AH3" s="154" t="s">
        <v>0</v>
      </c>
      <c r="AI3" s="150"/>
      <c r="AJ3" s="150"/>
      <c r="AK3" s="150"/>
      <c r="AL3" s="150"/>
      <c r="AM3" s="150"/>
      <c r="AN3" s="150"/>
      <c r="AO3" s="150"/>
      <c r="AP3" s="150"/>
      <c r="AQ3" s="150"/>
      <c r="AR3" s="150"/>
      <c r="AS3" s="150"/>
      <c r="AT3" s="150"/>
      <c r="AU3" s="150"/>
      <c r="AV3" s="150"/>
      <c r="AW3" s="150"/>
    </row>
    <row r="4" spans="2:49" ht="13.5" customHeight="1" x14ac:dyDescent="0.2">
      <c r="AH4" s="150"/>
      <c r="AI4" s="150"/>
      <c r="AJ4" s="150"/>
      <c r="AK4" s="150"/>
      <c r="AL4" s="150"/>
      <c r="AM4" s="150"/>
      <c r="AN4" s="150"/>
      <c r="AO4" s="150"/>
      <c r="AP4" s="150"/>
      <c r="AQ4" s="150"/>
      <c r="AR4" s="150"/>
      <c r="AS4" s="150"/>
      <c r="AT4" s="150"/>
      <c r="AU4" s="150"/>
      <c r="AV4" s="150"/>
      <c r="AW4" s="150"/>
    </row>
    <row r="5" spans="2:49" ht="13.5" customHeight="1" x14ac:dyDescent="0.2"/>
    <row r="6" spans="2:49" ht="13.5" customHeight="1" x14ac:dyDescent="0.2"/>
    <row r="7" spans="2:49" ht="13.5" customHeight="1" x14ac:dyDescent="0.2">
      <c r="B7" s="151" t="s">
        <v>1</v>
      </c>
      <c r="C7" s="150"/>
      <c r="D7" s="150"/>
      <c r="E7" s="150"/>
      <c r="F7" s="150"/>
      <c r="G7" s="150"/>
      <c r="H7" s="150"/>
      <c r="I7" s="150"/>
      <c r="J7" s="150"/>
      <c r="K7" s="150"/>
      <c r="L7" s="150"/>
      <c r="M7" s="150"/>
      <c r="N7" s="150"/>
      <c r="O7" s="150"/>
      <c r="P7" s="150"/>
    </row>
    <row r="8" spans="2:49" ht="13.5" customHeight="1" x14ac:dyDescent="0.2">
      <c r="B8" s="150"/>
      <c r="C8" s="150"/>
      <c r="D8" s="150"/>
      <c r="E8" s="150"/>
      <c r="F8" s="150"/>
      <c r="G8" s="150"/>
      <c r="H8" s="150"/>
      <c r="I8" s="150"/>
      <c r="J8" s="150"/>
      <c r="K8" s="150"/>
      <c r="L8" s="150"/>
      <c r="M8" s="150"/>
      <c r="N8" s="150"/>
      <c r="O8" s="150"/>
      <c r="P8" s="150"/>
    </row>
    <row r="9" spans="2:49" ht="13.5" customHeight="1" x14ac:dyDescent="0.2"/>
    <row r="10" spans="2:49" ht="13.5" customHeight="1" x14ac:dyDescent="0.2">
      <c r="B10" s="152" t="s">
        <v>2</v>
      </c>
      <c r="C10" s="150"/>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row>
    <row r="11" spans="2:49" ht="13.5" customHeight="1" x14ac:dyDescent="0.2">
      <c r="B11" s="150"/>
      <c r="C11" s="150"/>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row>
    <row r="12" spans="2:49" ht="13.5" customHeight="1" x14ac:dyDescent="0.2">
      <c r="B12" s="150"/>
      <c r="C12" s="150"/>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row>
    <row r="13" spans="2:49" ht="13.5" customHeight="1" x14ac:dyDescent="0.2"/>
    <row r="14" spans="2:49" ht="13.5" customHeight="1" x14ac:dyDescent="0.2"/>
    <row r="15" spans="2:49" ht="13.5" customHeight="1" x14ac:dyDescent="0.2"/>
    <row r="16" spans="2:49" ht="13.5" customHeight="1" x14ac:dyDescent="0.2"/>
    <row r="17" spans="2:49" ht="13.5" customHeight="1" x14ac:dyDescent="0.2"/>
    <row r="18" spans="2:49" ht="13.5" customHeight="1" x14ac:dyDescent="0.2"/>
    <row r="19" spans="2:49" ht="13.5" customHeight="1" x14ac:dyDescent="0.2"/>
    <row r="20" spans="2:49" ht="13.5" customHeight="1" x14ac:dyDescent="0.2">
      <c r="C20" s="149" t="s">
        <v>3</v>
      </c>
      <c r="D20" s="150"/>
      <c r="E20" s="150"/>
      <c r="F20" s="150"/>
      <c r="G20" s="150"/>
      <c r="H20" s="150"/>
      <c r="I20" s="150"/>
      <c r="J20" s="150"/>
      <c r="K20" s="150"/>
      <c r="L20" s="150"/>
      <c r="O20" s="149" t="s">
        <v>4</v>
      </c>
      <c r="P20" s="150"/>
      <c r="Q20" s="150"/>
      <c r="R20" s="150"/>
      <c r="S20" s="150"/>
      <c r="T20" s="150"/>
      <c r="U20" s="150"/>
      <c r="V20" s="150"/>
      <c r="W20" s="150"/>
      <c r="X20" s="150"/>
      <c r="AA20" s="149" t="s">
        <v>5</v>
      </c>
      <c r="AB20" s="150"/>
      <c r="AC20" s="150"/>
      <c r="AD20" s="150"/>
      <c r="AE20" s="150"/>
      <c r="AF20" s="150"/>
      <c r="AG20" s="150"/>
      <c r="AH20" s="150"/>
      <c r="AI20" s="150"/>
      <c r="AJ20" s="150"/>
      <c r="AM20" s="149" t="s">
        <v>6</v>
      </c>
      <c r="AN20" s="150"/>
      <c r="AO20" s="150"/>
      <c r="AP20" s="150"/>
      <c r="AQ20" s="150"/>
      <c r="AR20" s="150"/>
      <c r="AS20" s="150"/>
      <c r="AT20" s="150"/>
      <c r="AU20" s="150"/>
      <c r="AV20" s="150"/>
    </row>
    <row r="21" spans="2:49" ht="13.5" customHeight="1" x14ac:dyDescent="0.2">
      <c r="C21" s="150"/>
      <c r="D21" s="150"/>
      <c r="E21" s="150"/>
      <c r="F21" s="150"/>
      <c r="G21" s="150"/>
      <c r="H21" s="150"/>
      <c r="I21" s="150"/>
      <c r="J21" s="150"/>
      <c r="K21" s="150"/>
      <c r="L21" s="150"/>
      <c r="O21" s="150"/>
      <c r="P21" s="150"/>
      <c r="Q21" s="150"/>
      <c r="R21" s="150"/>
      <c r="S21" s="150"/>
      <c r="T21" s="150"/>
      <c r="U21" s="150"/>
      <c r="V21" s="150"/>
      <c r="W21" s="150"/>
      <c r="X21" s="150"/>
      <c r="AA21" s="150"/>
      <c r="AB21" s="150"/>
      <c r="AC21" s="150"/>
      <c r="AD21" s="150"/>
      <c r="AE21" s="150"/>
      <c r="AF21" s="150"/>
      <c r="AG21" s="150"/>
      <c r="AH21" s="150"/>
      <c r="AI21" s="150"/>
      <c r="AJ21" s="150"/>
      <c r="AM21" s="150"/>
      <c r="AN21" s="150"/>
      <c r="AO21" s="150"/>
      <c r="AP21" s="150"/>
      <c r="AQ21" s="150"/>
      <c r="AR21" s="150"/>
      <c r="AS21" s="150"/>
      <c r="AT21" s="150"/>
      <c r="AU21" s="150"/>
      <c r="AV21" s="150"/>
    </row>
    <row r="22" spans="2:49" ht="13.5" customHeight="1" x14ac:dyDescent="0.2">
      <c r="C22" s="150"/>
      <c r="D22" s="150"/>
      <c r="E22" s="150"/>
      <c r="F22" s="150"/>
      <c r="G22" s="150"/>
      <c r="H22" s="150"/>
      <c r="I22" s="150"/>
      <c r="J22" s="150"/>
      <c r="K22" s="150"/>
      <c r="L22" s="150"/>
      <c r="O22" s="150"/>
      <c r="P22" s="150"/>
      <c r="Q22" s="150"/>
      <c r="R22" s="150"/>
      <c r="S22" s="150"/>
      <c r="T22" s="150"/>
      <c r="U22" s="150"/>
      <c r="V22" s="150"/>
      <c r="W22" s="150"/>
      <c r="X22" s="150"/>
      <c r="AA22" s="150"/>
      <c r="AB22" s="150"/>
      <c r="AC22" s="150"/>
      <c r="AD22" s="150"/>
      <c r="AE22" s="150"/>
      <c r="AF22" s="150"/>
      <c r="AG22" s="150"/>
      <c r="AH22" s="150"/>
      <c r="AI22" s="150"/>
      <c r="AJ22" s="150"/>
      <c r="AM22" s="150"/>
      <c r="AN22" s="150"/>
      <c r="AO22" s="150"/>
      <c r="AP22" s="150"/>
      <c r="AQ22" s="150"/>
      <c r="AR22" s="150"/>
      <c r="AS22" s="150"/>
      <c r="AT22" s="150"/>
      <c r="AU22" s="150"/>
      <c r="AV22" s="150"/>
    </row>
    <row r="23" spans="2:49" ht="13.5" customHeight="1" x14ac:dyDescent="0.2">
      <c r="C23" s="150"/>
      <c r="D23" s="150"/>
      <c r="E23" s="150"/>
      <c r="F23" s="150"/>
      <c r="G23" s="150"/>
      <c r="H23" s="150"/>
      <c r="I23" s="150"/>
      <c r="J23" s="150"/>
      <c r="K23" s="150"/>
      <c r="L23" s="150"/>
      <c r="O23" s="150"/>
      <c r="P23" s="150"/>
      <c r="Q23" s="150"/>
      <c r="R23" s="150"/>
      <c r="S23" s="150"/>
      <c r="T23" s="150"/>
      <c r="U23" s="150"/>
      <c r="V23" s="150"/>
      <c r="W23" s="150"/>
      <c r="X23" s="150"/>
      <c r="AA23" s="150"/>
      <c r="AB23" s="150"/>
      <c r="AC23" s="150"/>
      <c r="AD23" s="150"/>
      <c r="AE23" s="150"/>
      <c r="AF23" s="150"/>
      <c r="AG23" s="150"/>
      <c r="AH23" s="150"/>
      <c r="AI23" s="150"/>
      <c r="AJ23" s="150"/>
      <c r="AM23" s="150"/>
      <c r="AN23" s="150"/>
      <c r="AO23" s="150"/>
      <c r="AP23" s="150"/>
      <c r="AQ23" s="150"/>
      <c r="AR23" s="150"/>
      <c r="AS23" s="150"/>
      <c r="AT23" s="150"/>
      <c r="AU23" s="150"/>
      <c r="AV23" s="150"/>
    </row>
    <row r="24" spans="2:49" ht="13.5" customHeight="1" x14ac:dyDescent="0.2"/>
    <row r="25" spans="2:49" ht="13.5" customHeight="1" x14ac:dyDescent="0.2">
      <c r="B25" s="152" t="s">
        <v>7</v>
      </c>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row>
    <row r="26" spans="2:49" ht="13.5" customHeight="1" x14ac:dyDescent="0.2">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row>
    <row r="27" spans="2:49" ht="13.5" customHeight="1" x14ac:dyDescent="0.2">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row>
    <row r="28" spans="2:49" ht="13.5" customHeight="1" x14ac:dyDescent="0.2"/>
    <row r="29" spans="2:49" ht="13.5" customHeight="1" x14ac:dyDescent="0.2"/>
    <row r="30" spans="2:49" ht="13.5" customHeight="1" x14ac:dyDescent="0.2"/>
    <row r="31" spans="2:49" ht="13.5" customHeight="1" x14ac:dyDescent="0.2"/>
    <row r="32" spans="2:49" ht="13.5" customHeight="1" x14ac:dyDescent="0.2"/>
    <row r="33" spans="2:49" ht="13.5" customHeight="1" x14ac:dyDescent="0.2"/>
    <row r="34" spans="2:49" ht="13.5" customHeight="1" x14ac:dyDescent="0.2"/>
    <row r="35" spans="2:49" ht="13.5" customHeight="1" x14ac:dyDescent="0.2">
      <c r="D35" s="33"/>
      <c r="E35" s="153"/>
      <c r="F35" s="150"/>
      <c r="G35" s="150"/>
      <c r="H35" s="150"/>
      <c r="I35" s="150"/>
      <c r="L35" s="33"/>
      <c r="M35" s="153"/>
      <c r="N35" s="150"/>
      <c r="O35" s="150"/>
      <c r="P35" s="150"/>
      <c r="Q35" s="150"/>
      <c r="R35" s="150"/>
      <c r="S35" s="33"/>
      <c r="T35" s="33"/>
      <c r="U35" s="33"/>
      <c r="V35" s="33"/>
      <c r="W35" s="153"/>
      <c r="X35" s="150"/>
      <c r="Y35" s="150"/>
      <c r="Z35" s="150"/>
      <c r="AA35" s="150"/>
      <c r="AB35" s="150"/>
      <c r="AC35" s="33"/>
      <c r="AD35" s="33"/>
      <c r="AE35" s="33"/>
      <c r="AF35" s="33"/>
      <c r="AG35" s="153"/>
      <c r="AH35" s="150"/>
      <c r="AI35" s="150"/>
      <c r="AJ35" s="150"/>
      <c r="AK35" s="150"/>
      <c r="AL35" s="150"/>
      <c r="AM35" s="33"/>
      <c r="AN35" s="33"/>
      <c r="AP35" s="153"/>
      <c r="AQ35" s="150"/>
      <c r="AR35" s="150"/>
      <c r="AS35" s="150"/>
      <c r="AT35" s="150"/>
      <c r="AU35" s="33"/>
      <c r="AV35" s="33"/>
    </row>
    <row r="36" spans="2:49" ht="13.5" customHeight="1" x14ac:dyDescent="0.2">
      <c r="C36" s="33"/>
      <c r="D36" s="33"/>
      <c r="E36" s="150"/>
      <c r="F36" s="150"/>
      <c r="G36" s="150"/>
      <c r="H36" s="150"/>
      <c r="I36" s="150"/>
      <c r="K36" s="33"/>
      <c r="L36" s="33"/>
      <c r="M36" s="150"/>
      <c r="N36" s="150"/>
      <c r="O36" s="150"/>
      <c r="P36" s="150"/>
      <c r="Q36" s="150"/>
      <c r="R36" s="150"/>
      <c r="S36" s="33"/>
      <c r="T36" s="33"/>
      <c r="U36" s="33"/>
      <c r="V36" s="33"/>
      <c r="W36" s="150"/>
      <c r="X36" s="150"/>
      <c r="Y36" s="150"/>
      <c r="Z36" s="150"/>
      <c r="AA36" s="150"/>
      <c r="AB36" s="150"/>
      <c r="AC36" s="33"/>
      <c r="AD36" s="33"/>
      <c r="AE36" s="33"/>
      <c r="AF36" s="33"/>
      <c r="AG36" s="150"/>
      <c r="AH36" s="150"/>
      <c r="AI36" s="150"/>
      <c r="AJ36" s="150"/>
      <c r="AK36" s="150"/>
      <c r="AL36" s="150"/>
      <c r="AM36" s="33"/>
      <c r="AN36" s="33"/>
      <c r="AP36" s="150"/>
      <c r="AQ36" s="150"/>
      <c r="AR36" s="150"/>
      <c r="AS36" s="150"/>
      <c r="AT36" s="150"/>
      <c r="AU36" s="33"/>
      <c r="AV36" s="33"/>
    </row>
    <row r="37" spans="2:49" ht="13.5" customHeight="1" x14ac:dyDescent="0.2"/>
    <row r="38" spans="2:49" ht="13.5" customHeight="1" x14ac:dyDescent="0.2">
      <c r="B38" s="155" t="s">
        <v>8</v>
      </c>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row>
    <row r="39" spans="2:49" ht="13.5" customHeight="1" x14ac:dyDescent="0.2">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row>
    <row r="40" spans="2:49" ht="13.5" customHeight="1" x14ac:dyDescent="0.2">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row>
    <row r="41" spans="2:49" x14ac:dyDescent="0.2">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row>
    <row r="42" spans="2:49" x14ac:dyDescent="0.2">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row>
  </sheetData>
  <sheetProtection password="D7C4" sheet="1" objects="1" scenarios="1"/>
  <mergeCells count="14">
    <mergeCell ref="AH3:AW4"/>
    <mergeCell ref="B38:AW42"/>
    <mergeCell ref="AA20:AJ23"/>
    <mergeCell ref="C20:L23"/>
    <mergeCell ref="E35:I36"/>
    <mergeCell ref="O20:X23"/>
    <mergeCell ref="AP35:AT36"/>
    <mergeCell ref="AM20:AV23"/>
    <mergeCell ref="B7:P8"/>
    <mergeCell ref="B25:AW27"/>
    <mergeCell ref="M35:R36"/>
    <mergeCell ref="AG35:AL36"/>
    <mergeCell ref="B10:AW12"/>
    <mergeCell ref="W35:AB36"/>
  </mergeCells>
  <hyperlinks>
    <hyperlink ref="B7"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7">
    <tabColor rgb="FF008BD0"/>
  </sheetPr>
  <dimension ref="B2:H20"/>
  <sheetViews>
    <sheetView showGridLines="0" showRowColHeaders="0" zoomScale="76" zoomScaleNormal="76" workbookViewId="0">
      <selection activeCell="B7" sqref="B7:G7"/>
    </sheetView>
  </sheetViews>
  <sheetFormatPr baseColWidth="10" defaultColWidth="11.5" defaultRowHeight="15" x14ac:dyDescent="0.2"/>
  <cols>
    <col min="1" max="1" width="3.5" customWidth="1"/>
    <col min="2" max="2" width="41.1640625" customWidth="1"/>
    <col min="3" max="3" width="3.33203125" customWidth="1"/>
    <col min="4" max="7" width="29.83203125" customWidth="1"/>
    <col min="8" max="8" width="3.5" customWidth="1"/>
  </cols>
  <sheetData>
    <row r="2" spans="2:8" ht="15" customHeight="1" x14ac:dyDescent="0.2">
      <c r="B2" s="160" t="s">
        <v>9</v>
      </c>
      <c r="C2" s="89"/>
      <c r="D2" s="89"/>
      <c r="E2" s="89"/>
      <c r="F2" s="89"/>
      <c r="G2" s="90"/>
      <c r="H2" s="70"/>
    </row>
    <row r="3" spans="2:8" ht="18.75" customHeight="1" x14ac:dyDescent="0.2">
      <c r="B3" s="161"/>
      <c r="C3" s="91"/>
      <c r="D3" s="91"/>
      <c r="E3" s="91"/>
      <c r="F3" s="91"/>
      <c r="G3" s="92"/>
      <c r="H3" s="70"/>
    </row>
    <row r="4" spans="2:8" x14ac:dyDescent="0.2">
      <c r="B4" s="70"/>
      <c r="C4" s="70"/>
      <c r="D4" s="70"/>
      <c r="E4" s="70"/>
      <c r="F4" s="70"/>
      <c r="G4" s="70"/>
      <c r="H4" s="70"/>
    </row>
    <row r="5" spans="2:8" ht="229.5" customHeight="1" x14ac:dyDescent="0.2">
      <c r="B5" s="159" t="s">
        <v>10</v>
      </c>
      <c r="C5" s="157"/>
      <c r="D5" s="157"/>
      <c r="E5" s="157"/>
      <c r="F5" s="157"/>
      <c r="G5" s="158"/>
      <c r="H5" s="70"/>
    </row>
    <row r="6" spans="2:8" x14ac:dyDescent="0.2">
      <c r="B6" s="70"/>
      <c r="C6" s="70"/>
      <c r="D6" s="70"/>
      <c r="E6" s="70"/>
      <c r="F6" s="70"/>
      <c r="G6" s="70"/>
      <c r="H6" s="70"/>
    </row>
    <row r="7" spans="2:8" ht="75.75" customHeight="1" x14ac:dyDescent="0.2">
      <c r="B7" s="156" t="s">
        <v>11</v>
      </c>
      <c r="C7" s="157"/>
      <c r="D7" s="157"/>
      <c r="E7" s="157"/>
      <c r="F7" s="157"/>
      <c r="G7" s="158"/>
      <c r="H7" s="70"/>
    </row>
    <row r="8" spans="2:8" x14ac:dyDescent="0.2">
      <c r="B8" s="70"/>
      <c r="C8" s="70"/>
      <c r="D8" s="70"/>
      <c r="E8" s="70"/>
      <c r="F8" s="70"/>
      <c r="G8" s="70"/>
      <c r="H8" s="70"/>
    </row>
    <row r="9" spans="2:8" ht="81.75" customHeight="1" x14ac:dyDescent="0.2">
      <c r="B9" s="156" t="s">
        <v>12</v>
      </c>
      <c r="C9" s="157"/>
      <c r="D9" s="157"/>
      <c r="E9" s="157"/>
      <c r="F9" s="157"/>
      <c r="G9" s="158"/>
      <c r="H9" s="70"/>
    </row>
    <row r="10" spans="2:8" x14ac:dyDescent="0.2">
      <c r="B10" s="70"/>
      <c r="C10" s="70"/>
      <c r="D10" s="70"/>
      <c r="E10" s="70"/>
      <c r="F10" s="70"/>
      <c r="G10" s="70"/>
      <c r="H10" s="70"/>
    </row>
    <row r="11" spans="2:8" ht="63" customHeight="1" x14ac:dyDescent="0.2">
      <c r="B11" s="156" t="s">
        <v>13</v>
      </c>
      <c r="C11" s="157"/>
      <c r="D11" s="157"/>
      <c r="E11" s="157"/>
      <c r="F11" s="157"/>
      <c r="G11" s="158"/>
      <c r="H11" s="70"/>
    </row>
    <row r="12" spans="2:8" x14ac:dyDescent="0.2">
      <c r="B12" s="70"/>
      <c r="C12" s="70"/>
      <c r="D12" s="70"/>
      <c r="E12" s="70"/>
      <c r="F12" s="70"/>
      <c r="G12" s="70"/>
      <c r="H12" s="70"/>
    </row>
    <row r="13" spans="2:8" ht="78.75" customHeight="1" x14ac:dyDescent="0.2">
      <c r="B13" s="156" t="s">
        <v>14</v>
      </c>
      <c r="C13" s="157"/>
      <c r="D13" s="157"/>
      <c r="E13" s="157"/>
      <c r="F13" s="157"/>
      <c r="G13" s="158"/>
      <c r="H13" s="70"/>
    </row>
    <row r="14" spans="2:8" x14ac:dyDescent="0.2">
      <c r="B14" s="70"/>
      <c r="C14" s="70"/>
      <c r="D14" s="70"/>
      <c r="E14" s="70"/>
      <c r="F14" s="70"/>
      <c r="G14" s="70"/>
      <c r="H14" s="70"/>
    </row>
    <row r="15" spans="2:8" ht="78.75" customHeight="1" x14ac:dyDescent="0.2">
      <c r="B15" s="156" t="s">
        <v>15</v>
      </c>
      <c r="C15" s="157"/>
      <c r="D15" s="157"/>
      <c r="E15" s="157"/>
      <c r="F15" s="157"/>
      <c r="G15" s="158"/>
      <c r="H15" s="70"/>
    </row>
    <row r="16" spans="2:8" x14ac:dyDescent="0.2">
      <c r="B16" s="70"/>
      <c r="C16" s="70"/>
      <c r="D16" s="70"/>
      <c r="E16" s="70"/>
      <c r="F16" s="70"/>
      <c r="G16" s="70"/>
      <c r="H16" s="70"/>
    </row>
    <row r="17" spans="2:8" ht="63" customHeight="1" x14ac:dyDescent="0.2">
      <c r="B17" s="156" t="s">
        <v>16</v>
      </c>
      <c r="C17" s="157"/>
      <c r="D17" s="157"/>
      <c r="E17" s="157"/>
      <c r="F17" s="157"/>
      <c r="G17" s="158"/>
      <c r="H17" s="70"/>
    </row>
    <row r="18" spans="2:8" x14ac:dyDescent="0.2">
      <c r="B18" s="70"/>
      <c r="C18" s="70"/>
      <c r="D18" s="70"/>
      <c r="E18" s="70"/>
      <c r="F18" s="70"/>
      <c r="G18" s="70"/>
      <c r="H18" s="70"/>
    </row>
    <row r="19" spans="2:8" ht="108.75" customHeight="1" x14ac:dyDescent="0.2">
      <c r="B19" s="156" t="s">
        <v>17</v>
      </c>
      <c r="C19" s="157"/>
      <c r="D19" s="157"/>
      <c r="E19" s="157"/>
      <c r="F19" s="157"/>
      <c r="G19" s="158"/>
      <c r="H19" s="70"/>
    </row>
    <row r="20" spans="2:8" x14ac:dyDescent="0.2">
      <c r="B20" s="70"/>
      <c r="C20" s="70"/>
      <c r="D20" s="70"/>
      <c r="E20" s="70"/>
      <c r="F20" s="70"/>
      <c r="G20" s="70"/>
      <c r="H20" s="70"/>
    </row>
  </sheetData>
  <mergeCells count="9">
    <mergeCell ref="B19:G19"/>
    <mergeCell ref="B5:G5"/>
    <mergeCell ref="B17:G17"/>
    <mergeCell ref="B9:G9"/>
    <mergeCell ref="B2:B3"/>
    <mergeCell ref="B13:G13"/>
    <mergeCell ref="B15:G15"/>
    <mergeCell ref="B7:G7"/>
    <mergeCell ref="B11:G11"/>
  </mergeCells>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
    <tabColor theme="3" tint="0.79998168889431442"/>
  </sheetPr>
  <dimension ref="B2:K102"/>
  <sheetViews>
    <sheetView showGridLines="0" showRowColHeaders="0" zoomScale="85" zoomScaleNormal="85" workbookViewId="0">
      <selection activeCell="B5" sqref="B5:J5"/>
    </sheetView>
  </sheetViews>
  <sheetFormatPr baseColWidth="10" defaultColWidth="11.5" defaultRowHeight="15" x14ac:dyDescent="0.2"/>
  <cols>
    <col min="1" max="1" width="3.1640625" customWidth="1"/>
    <col min="2" max="2" width="36.5" customWidth="1"/>
    <col min="3" max="4" width="17.1640625" customWidth="1"/>
    <col min="5" max="8" width="16.1640625" customWidth="1"/>
    <col min="9" max="9" width="16" customWidth="1"/>
    <col min="10" max="10" width="15.33203125" customWidth="1"/>
    <col min="11" max="11" width="3.5" customWidth="1"/>
  </cols>
  <sheetData>
    <row r="2" spans="2:11" x14ac:dyDescent="0.2">
      <c r="B2" s="164" t="s">
        <v>18</v>
      </c>
    </row>
    <row r="3" spans="2:11" x14ac:dyDescent="0.2">
      <c r="B3" s="150"/>
    </row>
    <row r="5" spans="2:11" x14ac:dyDescent="0.2">
      <c r="B5" s="167" t="s">
        <v>19</v>
      </c>
      <c r="C5" s="150"/>
      <c r="D5" s="150"/>
      <c r="E5" s="150"/>
      <c r="F5" s="150"/>
      <c r="G5" s="150"/>
      <c r="H5" s="150"/>
      <c r="I5" s="150"/>
      <c r="J5" s="150"/>
      <c r="K5" s="19"/>
    </row>
    <row r="6" spans="2:11" x14ac:dyDescent="0.2">
      <c r="J6" s="7"/>
      <c r="K6" s="7"/>
    </row>
    <row r="7" spans="2:11" x14ac:dyDescent="0.2">
      <c r="B7" s="139" t="s">
        <v>20</v>
      </c>
      <c r="C7" s="35">
        <v>46388</v>
      </c>
    </row>
    <row r="9" spans="2:11" ht="15" customHeight="1" x14ac:dyDescent="0.2">
      <c r="B9" s="88" t="s">
        <v>21</v>
      </c>
      <c r="K9" s="7"/>
    </row>
    <row r="10" spans="2:11" x14ac:dyDescent="0.2">
      <c r="K10" s="7"/>
    </row>
    <row r="11" spans="2:11" ht="95.25" customHeight="1" x14ac:dyDescent="0.2">
      <c r="B11" s="162" t="s">
        <v>22</v>
      </c>
      <c r="C11" s="150"/>
      <c r="D11" s="150"/>
      <c r="E11" s="150"/>
      <c r="F11" s="150"/>
      <c r="G11" s="150"/>
      <c r="H11" s="150"/>
      <c r="I11" s="150"/>
      <c r="J11" s="150"/>
      <c r="K11" s="31"/>
    </row>
    <row r="12" spans="2:11" x14ac:dyDescent="0.2">
      <c r="K12" s="7"/>
    </row>
    <row r="13" spans="2:11" ht="32" customHeight="1" x14ac:dyDescent="0.2">
      <c r="B13" s="142" t="s">
        <v>23</v>
      </c>
      <c r="C13" s="142" t="s">
        <v>24</v>
      </c>
      <c r="D13" s="142" t="s">
        <v>25</v>
      </c>
      <c r="E13" s="142" t="s">
        <v>26</v>
      </c>
      <c r="F13" s="142" t="s">
        <v>27</v>
      </c>
      <c r="G13" s="142" t="s">
        <v>28</v>
      </c>
    </row>
    <row r="14" spans="2:11" x14ac:dyDescent="0.2">
      <c r="B14" s="34" t="s">
        <v>29</v>
      </c>
      <c r="C14" s="27">
        <v>84.36</v>
      </c>
      <c r="D14" s="29">
        <v>0</v>
      </c>
      <c r="E14" s="29">
        <v>0</v>
      </c>
      <c r="F14" s="28">
        <v>0</v>
      </c>
      <c r="G14" s="30">
        <f t="shared" ref="G14:G25" si="0">1-F14</f>
        <v>1</v>
      </c>
    </row>
    <row r="15" spans="2:11" x14ac:dyDescent="0.2">
      <c r="B15" s="34" t="s">
        <v>30</v>
      </c>
      <c r="C15" s="27">
        <v>33.08</v>
      </c>
      <c r="D15" s="29">
        <v>0</v>
      </c>
      <c r="E15" s="29">
        <v>0</v>
      </c>
      <c r="F15" s="28">
        <v>0</v>
      </c>
      <c r="G15" s="30">
        <f t="shared" si="0"/>
        <v>1</v>
      </c>
    </row>
    <row r="16" spans="2:11" x14ac:dyDescent="0.2">
      <c r="B16" s="34" t="s">
        <v>31</v>
      </c>
      <c r="C16" s="27">
        <v>4.2699999999999996</v>
      </c>
      <c r="D16" s="29">
        <v>0</v>
      </c>
      <c r="E16" s="29">
        <v>0</v>
      </c>
      <c r="F16" s="28">
        <v>0</v>
      </c>
      <c r="G16" s="30">
        <f t="shared" si="0"/>
        <v>1</v>
      </c>
    </row>
    <row r="17" spans="2:11" x14ac:dyDescent="0.2">
      <c r="B17" s="34" t="s">
        <v>32</v>
      </c>
      <c r="C17" s="27">
        <v>710.9</v>
      </c>
      <c r="D17" s="29">
        <v>0</v>
      </c>
      <c r="E17" s="29">
        <v>0</v>
      </c>
      <c r="F17" s="28">
        <v>0</v>
      </c>
      <c r="G17" s="30">
        <f t="shared" si="0"/>
        <v>1</v>
      </c>
    </row>
    <row r="18" spans="2:11" x14ac:dyDescent="0.2">
      <c r="B18" s="34"/>
      <c r="C18" s="27"/>
      <c r="D18" s="29"/>
      <c r="E18" s="29"/>
      <c r="F18" s="28"/>
      <c r="G18" s="30">
        <f t="shared" si="0"/>
        <v>1</v>
      </c>
    </row>
    <row r="19" spans="2:11" x14ac:dyDescent="0.2">
      <c r="B19" s="34"/>
      <c r="C19" s="27"/>
      <c r="D19" s="29"/>
      <c r="E19" s="29"/>
      <c r="F19" s="28"/>
      <c r="G19" s="30">
        <f t="shared" si="0"/>
        <v>1</v>
      </c>
    </row>
    <row r="20" spans="2:11" x14ac:dyDescent="0.2">
      <c r="B20" s="34"/>
      <c r="C20" s="27"/>
      <c r="D20" s="29"/>
      <c r="E20" s="29"/>
      <c r="F20" s="28"/>
      <c r="G20" s="30">
        <f t="shared" si="0"/>
        <v>1</v>
      </c>
    </row>
    <row r="21" spans="2:11" x14ac:dyDescent="0.2">
      <c r="B21" s="34"/>
      <c r="C21" s="27"/>
      <c r="D21" s="29"/>
      <c r="E21" s="29"/>
      <c r="F21" s="28"/>
      <c r="G21" s="30">
        <f t="shared" si="0"/>
        <v>1</v>
      </c>
    </row>
    <row r="22" spans="2:11" x14ac:dyDescent="0.2">
      <c r="B22" s="34"/>
      <c r="C22" s="27"/>
      <c r="D22" s="29"/>
      <c r="E22" s="29"/>
      <c r="F22" s="28"/>
      <c r="G22" s="30">
        <f t="shared" si="0"/>
        <v>1</v>
      </c>
    </row>
    <row r="23" spans="2:11" x14ac:dyDescent="0.2">
      <c r="B23" s="34"/>
      <c r="C23" s="27"/>
      <c r="D23" s="29"/>
      <c r="E23" s="29"/>
      <c r="F23" s="28"/>
      <c r="G23" s="30">
        <f t="shared" si="0"/>
        <v>1</v>
      </c>
    </row>
    <row r="24" spans="2:11" x14ac:dyDescent="0.2">
      <c r="B24" s="34"/>
      <c r="C24" s="27"/>
      <c r="D24" s="29"/>
      <c r="E24" s="29"/>
      <c r="F24" s="28"/>
      <c r="G24" s="30">
        <f t="shared" si="0"/>
        <v>1</v>
      </c>
    </row>
    <row r="25" spans="2:11" x14ac:dyDescent="0.2">
      <c r="B25" s="34"/>
      <c r="C25" s="27"/>
      <c r="D25" s="29"/>
      <c r="E25" s="29"/>
      <c r="F25" s="28"/>
      <c r="G25" s="30">
        <f t="shared" si="0"/>
        <v>1</v>
      </c>
    </row>
    <row r="26" spans="2:11" x14ac:dyDescent="0.2">
      <c r="K26" s="7"/>
    </row>
    <row r="27" spans="2:11" ht="15" customHeight="1" x14ac:dyDescent="0.2">
      <c r="B27" s="88" t="s">
        <v>33</v>
      </c>
      <c r="I27" s="3"/>
      <c r="J27" s="7"/>
      <c r="K27" s="7"/>
    </row>
    <row r="28" spans="2:11" ht="15" customHeight="1" x14ac:dyDescent="0.2">
      <c r="B28" s="14"/>
      <c r="F28" s="14"/>
      <c r="G28" s="14"/>
      <c r="I28" s="3"/>
      <c r="J28" s="7"/>
      <c r="K28" s="7"/>
    </row>
    <row r="29" spans="2:11" ht="60.75" customHeight="1" x14ac:dyDescent="0.2">
      <c r="B29" s="165" t="s">
        <v>34</v>
      </c>
      <c r="C29" s="150"/>
      <c r="D29" s="150"/>
      <c r="E29" s="150"/>
      <c r="F29" s="150"/>
      <c r="G29" s="150"/>
      <c r="H29" s="150"/>
      <c r="I29" s="150"/>
      <c r="J29" s="150"/>
      <c r="K29" s="7"/>
    </row>
    <row r="30" spans="2:11" x14ac:dyDescent="0.2">
      <c r="H30" s="3"/>
      <c r="I30" s="3"/>
      <c r="J30" s="7"/>
      <c r="K30" s="7"/>
    </row>
    <row r="31" spans="2:11" ht="59.25" customHeight="1" x14ac:dyDescent="0.2">
      <c r="B31" s="142" t="s">
        <v>23</v>
      </c>
      <c r="C31" s="142" t="s">
        <v>35</v>
      </c>
      <c r="D31" s="142" t="s">
        <v>25</v>
      </c>
      <c r="E31" s="142" t="s">
        <v>26</v>
      </c>
      <c r="F31" s="142" t="s">
        <v>27</v>
      </c>
      <c r="G31" s="142" t="s">
        <v>28</v>
      </c>
      <c r="I31" s="7"/>
      <c r="J31" s="7"/>
      <c r="K31" s="7"/>
    </row>
    <row r="32" spans="2:11" x14ac:dyDescent="0.2">
      <c r="B32" s="36" t="str">
        <f t="shared" ref="B32:B43" si="1">B14</f>
        <v>Vente d'abonnement mensuel (30 Shots)</v>
      </c>
      <c r="C32" s="27">
        <v>31.5</v>
      </c>
      <c r="D32" s="29"/>
      <c r="E32" s="29">
        <v>1</v>
      </c>
      <c r="F32" s="28"/>
      <c r="G32" s="30">
        <f t="shared" ref="G32:G43" si="2">1-F32</f>
        <v>1</v>
      </c>
      <c r="I32" s="7"/>
      <c r="J32" s="7"/>
      <c r="K32" s="7"/>
    </row>
    <row r="33" spans="2:11" x14ac:dyDescent="0.2">
      <c r="B33" s="36" t="str">
        <f t="shared" si="1"/>
        <v>Vente de pack découverte (9 Shots)</v>
      </c>
      <c r="C33" s="27">
        <v>8.5</v>
      </c>
      <c r="D33" s="29"/>
      <c r="E33" s="29">
        <v>1</v>
      </c>
      <c r="F33" s="28"/>
      <c r="G33" s="30">
        <f t="shared" si="2"/>
        <v>1</v>
      </c>
      <c r="I33" s="7"/>
      <c r="J33" s="7"/>
      <c r="K33" s="7"/>
    </row>
    <row r="34" spans="2:11" x14ac:dyDescent="0.2">
      <c r="B34" s="36" t="str">
        <f t="shared" si="1"/>
        <v xml:space="preserve">Vente de shots à l'unité </v>
      </c>
      <c r="C34" s="27">
        <v>1.1499999999999999</v>
      </c>
      <c r="D34" s="29"/>
      <c r="E34" s="29">
        <v>1</v>
      </c>
      <c r="F34" s="28"/>
      <c r="G34" s="30">
        <f t="shared" si="2"/>
        <v>1</v>
      </c>
      <c r="I34" s="7"/>
      <c r="J34" s="7"/>
      <c r="K34" s="7"/>
    </row>
    <row r="35" spans="2:11" x14ac:dyDescent="0.2">
      <c r="B35" s="36" t="str">
        <f t="shared" si="1"/>
        <v>Vente d'abonnement annuel (360 Shots)</v>
      </c>
      <c r="C35" s="27">
        <v>378</v>
      </c>
      <c r="D35" s="29"/>
      <c r="E35" s="29">
        <v>1</v>
      </c>
      <c r="F35" s="28"/>
      <c r="G35" s="30">
        <f t="shared" si="2"/>
        <v>1</v>
      </c>
      <c r="I35" s="7"/>
      <c r="J35" s="7"/>
      <c r="K35" s="7"/>
    </row>
    <row r="36" spans="2:11" x14ac:dyDescent="0.2">
      <c r="B36" s="36">
        <f t="shared" si="1"/>
        <v>0</v>
      </c>
      <c r="C36" s="27"/>
      <c r="D36" s="29"/>
      <c r="E36" s="29"/>
      <c r="F36" s="28"/>
      <c r="G36" s="30">
        <f t="shared" si="2"/>
        <v>1</v>
      </c>
      <c r="I36" s="7"/>
      <c r="J36" s="7"/>
      <c r="K36" s="7"/>
    </row>
    <row r="37" spans="2:11" x14ac:dyDescent="0.2">
      <c r="B37" s="36">
        <f t="shared" si="1"/>
        <v>0</v>
      </c>
      <c r="C37" s="27"/>
      <c r="D37" s="29"/>
      <c r="E37" s="29"/>
      <c r="F37" s="28"/>
      <c r="G37" s="30">
        <f t="shared" si="2"/>
        <v>1</v>
      </c>
      <c r="I37" s="7"/>
      <c r="J37" s="7"/>
      <c r="K37" s="7"/>
    </row>
    <row r="38" spans="2:11" x14ac:dyDescent="0.2">
      <c r="B38" s="36">
        <f t="shared" si="1"/>
        <v>0</v>
      </c>
      <c r="C38" s="27"/>
      <c r="D38" s="29"/>
      <c r="E38" s="29"/>
      <c r="F38" s="28"/>
      <c r="G38" s="30">
        <f t="shared" si="2"/>
        <v>1</v>
      </c>
      <c r="I38" s="7"/>
      <c r="J38" s="7"/>
      <c r="K38" s="7"/>
    </row>
    <row r="39" spans="2:11" x14ac:dyDescent="0.2">
      <c r="B39" s="36">
        <f t="shared" si="1"/>
        <v>0</v>
      </c>
      <c r="C39" s="27"/>
      <c r="D39" s="29"/>
      <c r="E39" s="29"/>
      <c r="F39" s="28"/>
      <c r="G39" s="30">
        <f t="shared" si="2"/>
        <v>1</v>
      </c>
      <c r="I39" s="7"/>
      <c r="J39" s="7"/>
      <c r="K39" s="7"/>
    </row>
    <row r="40" spans="2:11" x14ac:dyDescent="0.2">
      <c r="B40" s="36">
        <f t="shared" si="1"/>
        <v>0</v>
      </c>
      <c r="C40" s="27"/>
      <c r="D40" s="29"/>
      <c r="E40" s="29"/>
      <c r="F40" s="28"/>
      <c r="G40" s="30">
        <f t="shared" si="2"/>
        <v>1</v>
      </c>
      <c r="I40" s="7"/>
      <c r="J40" s="7"/>
      <c r="K40" s="7"/>
    </row>
    <row r="41" spans="2:11" x14ac:dyDescent="0.2">
      <c r="B41" s="36">
        <f t="shared" si="1"/>
        <v>0</v>
      </c>
      <c r="C41" s="27"/>
      <c r="D41" s="29"/>
      <c r="E41" s="29"/>
      <c r="F41" s="28"/>
      <c r="G41" s="30">
        <f t="shared" si="2"/>
        <v>1</v>
      </c>
      <c r="I41" s="7"/>
      <c r="J41" s="7"/>
      <c r="K41" s="7"/>
    </row>
    <row r="42" spans="2:11" x14ac:dyDescent="0.2">
      <c r="B42" s="36">
        <f t="shared" si="1"/>
        <v>0</v>
      </c>
      <c r="C42" s="27"/>
      <c r="D42" s="29"/>
      <c r="E42" s="29"/>
      <c r="F42" s="28"/>
      <c r="G42" s="30">
        <f t="shared" si="2"/>
        <v>1</v>
      </c>
      <c r="I42" s="7"/>
      <c r="J42" s="7"/>
      <c r="K42" s="7"/>
    </row>
    <row r="43" spans="2:11" x14ac:dyDescent="0.2">
      <c r="B43" s="36">
        <f t="shared" si="1"/>
        <v>0</v>
      </c>
      <c r="C43" s="27"/>
      <c r="D43" s="29"/>
      <c r="E43" s="29"/>
      <c r="F43" s="28"/>
      <c r="G43" s="30">
        <f t="shared" si="2"/>
        <v>1</v>
      </c>
      <c r="I43" s="7"/>
      <c r="J43" s="7"/>
      <c r="K43" s="7"/>
    </row>
    <row r="44" spans="2:11" x14ac:dyDescent="0.2">
      <c r="J44" s="7"/>
      <c r="K44" s="7"/>
    </row>
    <row r="45" spans="2:11" x14ac:dyDescent="0.2">
      <c r="B45" s="164" t="s">
        <v>36</v>
      </c>
      <c r="J45" s="7"/>
      <c r="K45" s="7"/>
    </row>
    <row r="46" spans="2:11" x14ac:dyDescent="0.2">
      <c r="B46" s="150"/>
      <c r="D46" s="19"/>
      <c r="E46" s="19"/>
      <c r="F46" s="19"/>
      <c r="G46" s="19"/>
      <c r="H46" s="19"/>
      <c r="I46" s="19"/>
      <c r="J46" s="19"/>
      <c r="K46" s="19"/>
    </row>
    <row r="47" spans="2:11" x14ac:dyDescent="0.2">
      <c r="B47" s="14"/>
      <c r="D47" s="20"/>
      <c r="E47" s="20"/>
      <c r="F47" s="20"/>
      <c r="G47" s="20"/>
      <c r="H47" s="20"/>
      <c r="I47" s="20"/>
      <c r="J47" s="20"/>
      <c r="K47" s="20"/>
    </row>
    <row r="48" spans="2:11" x14ac:dyDescent="0.2">
      <c r="B48" s="167" t="s">
        <v>37</v>
      </c>
      <c r="C48" s="150"/>
      <c r="D48" s="150"/>
      <c r="E48" s="150"/>
      <c r="F48" s="150"/>
      <c r="G48" s="150"/>
      <c r="H48" s="150"/>
      <c r="I48" s="150"/>
      <c r="J48" s="150"/>
      <c r="K48" s="19"/>
    </row>
    <row r="49" spans="2:11" x14ac:dyDescent="0.2">
      <c r="J49" s="7"/>
      <c r="K49" s="7"/>
    </row>
    <row r="50" spans="2:11" x14ac:dyDescent="0.2">
      <c r="B50" s="137" t="s">
        <v>38</v>
      </c>
      <c r="J50" s="7"/>
      <c r="K50" s="7"/>
    </row>
    <row r="52" spans="2:11" ht="27" customHeight="1" x14ac:dyDescent="0.2">
      <c r="B52" s="165" t="s">
        <v>39</v>
      </c>
      <c r="C52" s="150"/>
      <c r="D52" s="150"/>
      <c r="E52" s="150"/>
      <c r="F52" s="150"/>
      <c r="G52" s="150"/>
      <c r="H52" s="150"/>
      <c r="I52" s="150"/>
      <c r="J52" s="150"/>
    </row>
    <row r="54" spans="2:11" x14ac:dyDescent="0.2">
      <c r="B54" s="138" t="s">
        <v>40</v>
      </c>
      <c r="C54" s="138" t="s">
        <v>41</v>
      </c>
      <c r="D54" s="138" t="s">
        <v>42</v>
      </c>
      <c r="E54" s="166" t="s">
        <v>43</v>
      </c>
      <c r="F54" s="157"/>
      <c r="G54" s="157"/>
      <c r="H54" s="157"/>
      <c r="I54" s="157"/>
      <c r="J54" s="158"/>
      <c r="K54" s="32"/>
    </row>
    <row r="55" spans="2:11" x14ac:dyDescent="0.2">
      <c r="B55" s="37" t="s">
        <v>44</v>
      </c>
      <c r="C55" s="38">
        <v>2000</v>
      </c>
      <c r="D55" s="39">
        <v>0.01</v>
      </c>
      <c r="E55" s="163" t="s">
        <v>45</v>
      </c>
      <c r="F55" s="157"/>
      <c r="G55" s="157"/>
      <c r="H55" s="157"/>
      <c r="I55" s="157"/>
      <c r="J55" s="158"/>
      <c r="K55" s="33"/>
    </row>
    <row r="56" spans="2:11" ht="14.5" customHeight="1" x14ac:dyDescent="0.2">
      <c r="B56" s="37" t="s">
        <v>46</v>
      </c>
      <c r="C56" s="38">
        <v>4500</v>
      </c>
      <c r="D56" s="38">
        <v>300</v>
      </c>
      <c r="E56" s="163" t="s">
        <v>47</v>
      </c>
      <c r="F56" s="157"/>
      <c r="G56" s="157"/>
      <c r="H56" s="157"/>
      <c r="I56" s="157"/>
      <c r="J56" s="158"/>
      <c r="K56" s="33"/>
    </row>
    <row r="57" spans="2:11" ht="15" customHeight="1" x14ac:dyDescent="0.2">
      <c r="B57" s="37" t="s">
        <v>48</v>
      </c>
      <c r="C57" s="38">
        <v>24000</v>
      </c>
      <c r="D57" s="39">
        <v>0.2</v>
      </c>
      <c r="E57" s="163" t="s">
        <v>45</v>
      </c>
      <c r="F57" s="157"/>
      <c r="G57" s="157"/>
      <c r="H57" s="157"/>
      <c r="I57" s="157"/>
      <c r="J57" s="158"/>
      <c r="K57" s="33"/>
    </row>
    <row r="58" spans="2:11" x14ac:dyDescent="0.2">
      <c r="B58" s="37" t="s">
        <v>49</v>
      </c>
      <c r="C58" s="38">
        <v>18000</v>
      </c>
      <c r="D58" s="38">
        <v>1000</v>
      </c>
      <c r="E58" s="163" t="s">
        <v>47</v>
      </c>
      <c r="F58" s="157"/>
      <c r="G58" s="157"/>
      <c r="H58" s="157"/>
      <c r="I58" s="157"/>
      <c r="J58" s="158"/>
      <c r="K58" s="33"/>
    </row>
    <row r="59" spans="2:11" x14ac:dyDescent="0.2">
      <c r="B59" s="37" t="s">
        <v>50</v>
      </c>
      <c r="C59" s="38">
        <v>600</v>
      </c>
      <c r="D59" s="38">
        <v>300</v>
      </c>
      <c r="E59" s="163" t="s">
        <v>47</v>
      </c>
      <c r="F59" s="157"/>
      <c r="G59" s="157"/>
      <c r="H59" s="157"/>
      <c r="I59" s="157"/>
      <c r="J59" s="158"/>
      <c r="K59" s="33"/>
    </row>
    <row r="60" spans="2:11" ht="15" customHeight="1" x14ac:dyDescent="0.2">
      <c r="B60" s="37" t="s">
        <v>51</v>
      </c>
      <c r="C60" s="38">
        <v>2000</v>
      </c>
      <c r="D60" s="39">
        <v>0</v>
      </c>
      <c r="E60" s="163" t="s">
        <v>45</v>
      </c>
      <c r="F60" s="157"/>
      <c r="G60" s="157"/>
      <c r="H60" s="157"/>
      <c r="I60" s="157"/>
      <c r="J60" s="158"/>
      <c r="K60" s="33"/>
    </row>
    <row r="61" spans="2:11" x14ac:dyDescent="0.2">
      <c r="B61" s="37" t="s">
        <v>52</v>
      </c>
      <c r="C61" s="38">
        <v>1000</v>
      </c>
      <c r="D61" s="38">
        <v>200</v>
      </c>
      <c r="E61" s="163" t="s">
        <v>47</v>
      </c>
      <c r="F61" s="157"/>
      <c r="G61" s="157"/>
      <c r="H61" s="157"/>
      <c r="I61" s="157"/>
      <c r="J61" s="158"/>
      <c r="K61" s="33"/>
    </row>
    <row r="62" spans="2:11" x14ac:dyDescent="0.2">
      <c r="B62" s="37" t="s">
        <v>53</v>
      </c>
      <c r="C62" s="38">
        <v>3000</v>
      </c>
      <c r="D62" s="38">
        <v>300</v>
      </c>
      <c r="E62" s="163" t="s">
        <v>47</v>
      </c>
      <c r="F62" s="157"/>
      <c r="G62" s="157"/>
      <c r="H62" s="157"/>
      <c r="I62" s="157"/>
      <c r="J62" s="158"/>
      <c r="K62" s="33"/>
    </row>
    <row r="63" spans="2:11" ht="15" customHeight="1" x14ac:dyDescent="0.2">
      <c r="B63" s="37" t="s">
        <v>54</v>
      </c>
      <c r="C63" s="38">
        <v>360</v>
      </c>
      <c r="D63" s="40">
        <v>1.4999999999999999E-2</v>
      </c>
      <c r="E63" s="163" t="s">
        <v>45</v>
      </c>
      <c r="F63" s="157"/>
      <c r="G63" s="157"/>
      <c r="H63" s="157"/>
      <c r="I63" s="157"/>
      <c r="J63" s="158"/>
      <c r="K63" s="33"/>
    </row>
    <row r="64" spans="2:11" ht="14.5" customHeight="1" x14ac:dyDescent="0.2">
      <c r="B64" s="37" t="s">
        <v>55</v>
      </c>
      <c r="C64" s="38">
        <v>1000</v>
      </c>
      <c r="D64" s="40">
        <v>5.0000000000000001E-3</v>
      </c>
      <c r="E64" s="163" t="s">
        <v>45</v>
      </c>
      <c r="F64" s="157"/>
      <c r="G64" s="157"/>
      <c r="H64" s="157"/>
      <c r="I64" s="157"/>
      <c r="J64" s="158"/>
      <c r="K64" s="33"/>
    </row>
    <row r="66" spans="2:11" x14ac:dyDescent="0.2">
      <c r="B66" s="88" t="s">
        <v>56</v>
      </c>
      <c r="F66" s="7"/>
      <c r="G66" s="7"/>
      <c r="H66" s="7"/>
      <c r="I66" s="7"/>
      <c r="J66" s="7"/>
      <c r="K66" s="7"/>
    </row>
    <row r="67" spans="2:11" x14ac:dyDescent="0.2">
      <c r="F67" s="7"/>
      <c r="G67" s="7"/>
      <c r="H67" s="7"/>
      <c r="I67" s="7"/>
      <c r="J67" s="7"/>
      <c r="K67" s="7"/>
    </row>
    <row r="68" spans="2:11" ht="24.75" customHeight="1" x14ac:dyDescent="0.2">
      <c r="B68" s="165" t="s">
        <v>57</v>
      </c>
      <c r="C68" s="150"/>
      <c r="D68" s="150"/>
      <c r="E68" s="150"/>
      <c r="F68" s="150"/>
      <c r="G68" s="150"/>
      <c r="H68" s="150"/>
      <c r="I68" s="150"/>
      <c r="J68" s="150"/>
      <c r="K68" s="7"/>
    </row>
    <row r="69" spans="2:11" x14ac:dyDescent="0.2">
      <c r="F69" s="7"/>
      <c r="G69" s="7"/>
      <c r="H69" s="7"/>
      <c r="I69" s="7"/>
      <c r="J69" s="7"/>
      <c r="K69" s="7"/>
    </row>
    <row r="70" spans="2:11" ht="15" customHeight="1" x14ac:dyDescent="0.2">
      <c r="B70" s="134" t="s">
        <v>58</v>
      </c>
      <c r="C70" s="42">
        <v>0.43</v>
      </c>
      <c r="D70" s="16"/>
      <c r="I70" s="7"/>
      <c r="J70" s="7"/>
      <c r="K70" s="7"/>
    </row>
    <row r="71" spans="2:11" x14ac:dyDescent="0.2">
      <c r="B71" s="134" t="s">
        <v>59</v>
      </c>
      <c r="C71" s="42">
        <v>0.22</v>
      </c>
      <c r="D71" s="16"/>
      <c r="I71" s="7"/>
      <c r="J71" s="7"/>
      <c r="K71" s="7"/>
    </row>
    <row r="72" spans="2:11" x14ac:dyDescent="0.2">
      <c r="B72" s="134" t="s">
        <v>60</v>
      </c>
      <c r="C72" s="43">
        <v>693</v>
      </c>
      <c r="D72" s="16"/>
      <c r="I72" s="7"/>
      <c r="J72" s="7"/>
      <c r="K72" s="7"/>
    </row>
    <row r="74" spans="2:11" x14ac:dyDescent="0.2">
      <c r="B74" s="88" t="s">
        <v>61</v>
      </c>
    </row>
    <row r="75" spans="2:11" x14ac:dyDescent="0.2">
      <c r="B75" s="8"/>
    </row>
    <row r="76" spans="2:11" ht="24.75" customHeight="1" x14ac:dyDescent="0.2">
      <c r="B76" s="165" t="s">
        <v>62</v>
      </c>
      <c r="C76" s="150"/>
      <c r="D76" s="150"/>
      <c r="E76" s="150"/>
      <c r="F76" s="150"/>
      <c r="G76" s="150"/>
      <c r="H76" s="150"/>
      <c r="I76" s="150"/>
      <c r="J76" s="150"/>
    </row>
    <row r="77" spans="2:11" x14ac:dyDescent="0.2">
      <c r="B77" s="8"/>
    </row>
    <row r="78" spans="2:11" ht="32" customHeight="1" x14ac:dyDescent="0.2">
      <c r="B78" s="44" t="s">
        <v>63</v>
      </c>
      <c r="C78" s="45" t="s">
        <v>64</v>
      </c>
      <c r="D78" s="45" t="s">
        <v>65</v>
      </c>
    </row>
    <row r="79" spans="2:11" x14ac:dyDescent="0.2">
      <c r="B79" s="46" t="str">
        <f>Config!$B$14</f>
        <v>Vente d'abonnement mensuel (30 Shots)</v>
      </c>
      <c r="C79" s="47">
        <v>0.15</v>
      </c>
      <c r="D79" s="47">
        <v>5.5E-2</v>
      </c>
      <c r="E79" t="s">
        <v>66</v>
      </c>
    </row>
    <row r="80" spans="2:11" x14ac:dyDescent="0.2">
      <c r="B80" s="46" t="str">
        <f>Config!$B$15</f>
        <v>Vente de pack découverte (9 Shots)</v>
      </c>
      <c r="C80" s="47">
        <v>0.15</v>
      </c>
      <c r="D80" s="47">
        <v>5.5E-2</v>
      </c>
    </row>
    <row r="81" spans="2:10" x14ac:dyDescent="0.2">
      <c r="B81" s="46" t="str">
        <f>Config!$B$16</f>
        <v xml:space="preserve">Vente de shots à l'unité </v>
      </c>
      <c r="C81" s="47">
        <v>0.15</v>
      </c>
      <c r="D81" s="47">
        <v>5.5E-2</v>
      </c>
    </row>
    <row r="82" spans="2:10" x14ac:dyDescent="0.2">
      <c r="B82" s="46" t="str">
        <f>Config!$B$17</f>
        <v>Vente d'abonnement annuel (360 Shots)</v>
      </c>
      <c r="C82" s="47">
        <v>0.15</v>
      </c>
      <c r="D82" s="47">
        <v>5.5E-2</v>
      </c>
    </row>
    <row r="83" spans="2:10" x14ac:dyDescent="0.2">
      <c r="B83" s="46">
        <f>Config!$B$18</f>
        <v>0</v>
      </c>
      <c r="C83" s="47">
        <v>0.15</v>
      </c>
      <c r="D83" s="47">
        <v>5.5E-2</v>
      </c>
    </row>
    <row r="84" spans="2:10" x14ac:dyDescent="0.2">
      <c r="B84" s="46">
        <f>Config!$B$19</f>
        <v>0</v>
      </c>
      <c r="C84" s="47">
        <v>0.15</v>
      </c>
      <c r="D84" s="47">
        <v>5.5E-2</v>
      </c>
    </row>
    <row r="85" spans="2:10" x14ac:dyDescent="0.2">
      <c r="B85" s="46">
        <f>Config!$B$20</f>
        <v>0</v>
      </c>
      <c r="C85" s="47">
        <v>0.15</v>
      </c>
      <c r="D85" s="47">
        <v>5.5E-2</v>
      </c>
    </row>
    <row r="86" spans="2:10" x14ac:dyDescent="0.2">
      <c r="B86" s="46">
        <f>Config!$B$21</f>
        <v>0</v>
      </c>
      <c r="C86" s="47">
        <v>0.15</v>
      </c>
      <c r="D86" s="47">
        <v>5.5E-2</v>
      </c>
    </row>
    <row r="87" spans="2:10" x14ac:dyDescent="0.2">
      <c r="B87" s="46">
        <f>Config!$B$22</f>
        <v>0</v>
      </c>
      <c r="C87" s="47">
        <v>0.15</v>
      </c>
      <c r="D87" s="47">
        <v>5.5E-2</v>
      </c>
    </row>
    <row r="88" spans="2:10" x14ac:dyDescent="0.2">
      <c r="B88" s="46">
        <f>Config!$B$23</f>
        <v>0</v>
      </c>
      <c r="C88" s="47">
        <v>0.15</v>
      </c>
      <c r="D88" s="47">
        <v>5.5E-2</v>
      </c>
    </row>
    <row r="89" spans="2:10" x14ac:dyDescent="0.2">
      <c r="B89" s="46">
        <f>Config!$B$24</f>
        <v>0</v>
      </c>
      <c r="C89" s="47">
        <v>0.15</v>
      </c>
      <c r="D89" s="47">
        <v>5.5E-2</v>
      </c>
    </row>
    <row r="90" spans="2:10" x14ac:dyDescent="0.2">
      <c r="B90" s="46">
        <f>Config!$B$25</f>
        <v>0</v>
      </c>
      <c r="C90" s="47">
        <v>0.15</v>
      </c>
      <c r="D90" s="47">
        <v>5.5E-2</v>
      </c>
    </row>
    <row r="92" spans="2:10" ht="32" customHeight="1" x14ac:dyDescent="0.2">
      <c r="B92" s="48" t="s">
        <v>67</v>
      </c>
      <c r="C92" s="49">
        <v>0.2</v>
      </c>
    </row>
    <row r="94" spans="2:10" x14ac:dyDescent="0.2">
      <c r="B94" s="88" t="s">
        <v>68</v>
      </c>
      <c r="C94" s="21"/>
      <c r="D94" s="21"/>
      <c r="E94" s="21"/>
      <c r="F94" s="21"/>
      <c r="G94" s="21"/>
    </row>
    <row r="95" spans="2:10" x14ac:dyDescent="0.2">
      <c r="B95" s="22"/>
      <c r="C95" s="21"/>
      <c r="D95" s="21"/>
      <c r="E95" s="21"/>
      <c r="F95" s="21"/>
      <c r="G95" s="21"/>
    </row>
    <row r="96" spans="2:10" x14ac:dyDescent="0.2">
      <c r="B96" s="165" t="s">
        <v>69</v>
      </c>
      <c r="C96" s="150"/>
      <c r="D96" s="150"/>
      <c r="E96" s="150"/>
      <c r="F96" s="150"/>
      <c r="G96" s="150"/>
      <c r="H96" s="150"/>
      <c r="I96" s="150"/>
      <c r="J96" s="150"/>
    </row>
    <row r="97" spans="2:11" x14ac:dyDescent="0.2">
      <c r="B97" s="22"/>
      <c r="C97" s="21"/>
      <c r="D97" s="21"/>
      <c r="E97" s="21"/>
      <c r="F97" s="21"/>
      <c r="G97" s="21"/>
    </row>
    <row r="98" spans="2:11" ht="30" customHeight="1" x14ac:dyDescent="0.2">
      <c r="C98" s="137" t="s">
        <v>70</v>
      </c>
      <c r="D98" s="135" t="s">
        <v>71</v>
      </c>
      <c r="E98" s="23"/>
      <c r="F98" s="7"/>
      <c r="G98" s="24"/>
      <c r="H98" s="24"/>
      <c r="I98" s="24"/>
      <c r="J98" s="24"/>
      <c r="K98" s="24"/>
    </row>
    <row r="99" spans="2:11" x14ac:dyDescent="0.2">
      <c r="B99" s="41" t="s">
        <v>72</v>
      </c>
      <c r="C99" s="51">
        <v>3.7999999999999999E-2</v>
      </c>
      <c r="D99" s="51">
        <v>0.04</v>
      </c>
      <c r="E99" s="25"/>
      <c r="F99" s="24"/>
      <c r="G99" s="24"/>
      <c r="H99" s="24"/>
      <c r="I99" s="24"/>
      <c r="J99" s="24"/>
      <c r="K99" s="24"/>
    </row>
    <row r="100" spans="2:11" ht="31.5" hidden="1" customHeight="1" x14ac:dyDescent="0.2">
      <c r="B100" s="50" t="s">
        <v>73</v>
      </c>
      <c r="C100" s="52">
        <f>-((PMT(C99/12,C101,10,,)*C101)+10)/10</f>
        <v>5.9663554471431013E-2</v>
      </c>
      <c r="D100" s="52">
        <f>-((PMT(D99/12,D101,10,,)*D101)+10)/10</f>
        <v>0.10499132331598116</v>
      </c>
      <c r="E100" s="11"/>
      <c r="F100" s="24"/>
      <c r="G100" s="24"/>
      <c r="H100" s="24"/>
      <c r="I100" s="24"/>
      <c r="J100" s="24"/>
      <c r="K100" s="24"/>
    </row>
    <row r="101" spans="2:11" ht="16" customHeight="1" x14ac:dyDescent="0.2">
      <c r="B101" s="50" t="s">
        <v>74</v>
      </c>
      <c r="C101" s="53">
        <v>36</v>
      </c>
      <c r="D101" s="53">
        <v>60</v>
      </c>
      <c r="E101" s="26"/>
      <c r="F101" s="24"/>
      <c r="G101" s="24"/>
      <c r="H101" s="24"/>
      <c r="I101" s="24"/>
      <c r="J101" s="24"/>
      <c r="K101" s="24"/>
    </row>
    <row r="102" spans="2:11" x14ac:dyDescent="0.2">
      <c r="B102" s="3"/>
      <c r="C102" s="26"/>
      <c r="D102" s="26"/>
      <c r="E102" s="26"/>
      <c r="F102" s="24"/>
      <c r="G102" s="24"/>
      <c r="H102" s="24"/>
      <c r="I102" s="24"/>
      <c r="J102" s="24"/>
      <c r="K102" s="24"/>
    </row>
  </sheetData>
  <mergeCells count="21">
    <mergeCell ref="B96:J96"/>
    <mergeCell ref="E64:J64"/>
    <mergeCell ref="B52:J52"/>
    <mergeCell ref="B48:J48"/>
    <mergeCell ref="B68:J68"/>
    <mergeCell ref="B5:J5"/>
    <mergeCell ref="B76:J76"/>
    <mergeCell ref="E56:J56"/>
    <mergeCell ref="E58:J58"/>
    <mergeCell ref="B45:B46"/>
    <mergeCell ref="E55:J55"/>
    <mergeCell ref="E62:J62"/>
    <mergeCell ref="B11:J11"/>
    <mergeCell ref="E63:J63"/>
    <mergeCell ref="E60:J60"/>
    <mergeCell ref="B2:B3"/>
    <mergeCell ref="E59:J59"/>
    <mergeCell ref="B29:J29"/>
    <mergeCell ref="E61:J61"/>
    <mergeCell ref="E57:J57"/>
    <mergeCell ref="E54:J54"/>
  </mergeCells>
  <dataValidations count="2">
    <dataValidation type="whole" operator="greaterThan" allowBlank="1" showInputMessage="1" showErrorMessage="1" errorTitle="Durée invalide!" error="La durée doit être positive" sqref="C101:C102 E101:E102" xr:uid="{00000000-0002-0000-0200-000000000000}">
      <formula1>0</formula1>
    </dataValidation>
    <dataValidation type="whole" operator="greaterThanOrEqual" allowBlank="1" showInputMessage="1" showErrorMessage="1" errorTitle="Délai incorrect!" error="Le délai doit être supérieur ou égale à 0." sqref="D14:E25" xr:uid="{00000000-0002-0000-0200-000001000000}">
      <formula1>0</formula1>
    </dataValidation>
  </dataValidations>
  <pageMargins left="0.7" right="0.7" top="0.75" bottom="0.75" header="0.3" footer="0.3"/>
  <pageSetup paperSize="9" orientation="portrait"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tabColor theme="3" tint="0.79998168889431442"/>
  </sheetPr>
  <dimension ref="B2:AP30"/>
  <sheetViews>
    <sheetView showGridLines="0" showRowColHeaders="0" zoomScale="85" zoomScaleNormal="85" workbookViewId="0">
      <pane xSplit="2" ySplit="9" topLeftCell="V10" activePane="bottomRight" state="frozen"/>
      <selection pane="topRight" activeCell="E1" sqref="E1"/>
      <selection pane="bottomLeft" activeCell="A10" sqref="A10"/>
      <selection pane="bottomRight" activeCell="B30" sqref="B30"/>
    </sheetView>
  </sheetViews>
  <sheetFormatPr baseColWidth="10" defaultColWidth="11.5" defaultRowHeight="15" x14ac:dyDescent="0.2"/>
  <cols>
    <col min="1" max="1" width="3.1640625" customWidth="1"/>
    <col min="2" max="2" width="36.83203125" customWidth="1"/>
    <col min="3" max="3" width="13.83203125" customWidth="1"/>
    <col min="4" max="16" width="9.83203125" customWidth="1"/>
    <col min="17" max="17" width="13.83203125" customWidth="1"/>
    <col min="18" max="19" width="9.83203125" customWidth="1"/>
    <col min="20" max="20" width="10.1640625" customWidth="1"/>
    <col min="21" max="25" width="9.83203125" customWidth="1"/>
    <col min="26" max="26" width="10.1640625" customWidth="1"/>
    <col min="27" max="30" width="9.83203125" customWidth="1"/>
    <col min="31" max="31" width="13.83203125" customWidth="1"/>
    <col min="32" max="34" width="9.83203125" customWidth="1"/>
    <col min="35" max="35" width="13.83203125" customWidth="1"/>
    <col min="36" max="38" width="9.83203125" customWidth="1"/>
    <col min="39" max="39" width="13.83203125" customWidth="1"/>
    <col min="40" max="42" width="9.83203125" customWidth="1"/>
    <col min="43" max="43" width="3.6640625" customWidth="1"/>
  </cols>
  <sheetData>
    <row r="2" spans="2:42" x14ac:dyDescent="0.2">
      <c r="B2" s="164" t="s">
        <v>75</v>
      </c>
    </row>
    <row r="3" spans="2:42" x14ac:dyDescent="0.2">
      <c r="B3" s="150"/>
    </row>
    <row r="5" spans="2:42" ht="13.5" customHeight="1" x14ac:dyDescent="0.2">
      <c r="B5" s="171" t="s">
        <v>76</v>
      </c>
      <c r="C5" s="150"/>
      <c r="D5" s="150"/>
      <c r="E5" s="150"/>
      <c r="F5" s="150"/>
      <c r="G5" s="150"/>
      <c r="H5" s="150"/>
      <c r="I5" s="150"/>
      <c r="J5" s="150"/>
      <c r="K5" s="150"/>
      <c r="L5" s="150"/>
      <c r="M5" s="150"/>
      <c r="N5" s="150"/>
      <c r="O5" s="150"/>
      <c r="P5" s="150"/>
    </row>
    <row r="7" spans="2:42" ht="15" customHeight="1" x14ac:dyDescent="0.2">
      <c r="B7" s="172" t="s">
        <v>40</v>
      </c>
      <c r="C7" s="170" t="s">
        <v>77</v>
      </c>
      <c r="D7" s="157"/>
      <c r="E7" s="157"/>
      <c r="F7" s="157"/>
      <c r="G7" s="157"/>
      <c r="H7" s="157"/>
      <c r="I7" s="157"/>
      <c r="J7" s="157"/>
      <c r="K7" s="157"/>
      <c r="L7" s="157"/>
      <c r="M7" s="157"/>
      <c r="N7" s="157"/>
      <c r="O7" s="157"/>
      <c r="P7" s="158"/>
      <c r="Q7" s="170" t="s">
        <v>78</v>
      </c>
      <c r="R7" s="157"/>
      <c r="S7" s="157"/>
      <c r="T7" s="157"/>
      <c r="U7" s="157"/>
      <c r="V7" s="157"/>
      <c r="W7" s="157"/>
      <c r="X7" s="157"/>
      <c r="Y7" s="157"/>
      <c r="Z7" s="157"/>
      <c r="AA7" s="157"/>
      <c r="AB7" s="157"/>
      <c r="AC7" s="157"/>
      <c r="AD7" s="158"/>
      <c r="AE7" s="170" t="s">
        <v>79</v>
      </c>
      <c r="AF7" s="157"/>
      <c r="AG7" s="157"/>
      <c r="AH7" s="158"/>
      <c r="AI7" s="170" t="s">
        <v>80</v>
      </c>
      <c r="AJ7" s="157"/>
      <c r="AK7" s="157"/>
      <c r="AL7" s="158"/>
      <c r="AM7" s="170" t="s">
        <v>81</v>
      </c>
      <c r="AN7" s="157"/>
      <c r="AO7" s="157"/>
      <c r="AP7" s="158"/>
    </row>
    <row r="8" spans="2:42" ht="15" customHeight="1" x14ac:dyDescent="0.2">
      <c r="B8" s="173"/>
      <c r="C8" s="168" t="s">
        <v>82</v>
      </c>
      <c r="D8" s="170" t="s">
        <v>83</v>
      </c>
      <c r="E8" s="157"/>
      <c r="F8" s="157"/>
      <c r="G8" s="157"/>
      <c r="H8" s="157"/>
      <c r="I8" s="157"/>
      <c r="J8" s="157"/>
      <c r="K8" s="157"/>
      <c r="L8" s="157"/>
      <c r="M8" s="157"/>
      <c r="N8" s="157"/>
      <c r="O8" s="157"/>
      <c r="P8" s="158"/>
      <c r="Q8" s="168" t="s">
        <v>82</v>
      </c>
      <c r="R8" s="170" t="s">
        <v>83</v>
      </c>
      <c r="S8" s="157"/>
      <c r="T8" s="157"/>
      <c r="U8" s="157"/>
      <c r="V8" s="157"/>
      <c r="W8" s="157"/>
      <c r="X8" s="157"/>
      <c r="Y8" s="157"/>
      <c r="Z8" s="157"/>
      <c r="AA8" s="157"/>
      <c r="AB8" s="157"/>
      <c r="AC8" s="157"/>
      <c r="AD8" s="158"/>
      <c r="AE8" s="168" t="s">
        <v>82</v>
      </c>
      <c r="AF8" s="170" t="s">
        <v>83</v>
      </c>
      <c r="AG8" s="157"/>
      <c r="AH8" s="158"/>
      <c r="AI8" s="168" t="s">
        <v>82</v>
      </c>
      <c r="AJ8" s="170" t="s">
        <v>83</v>
      </c>
      <c r="AK8" s="157"/>
      <c r="AL8" s="158"/>
      <c r="AM8" s="168" t="s">
        <v>82</v>
      </c>
      <c r="AN8" s="170" t="s">
        <v>83</v>
      </c>
      <c r="AO8" s="157"/>
      <c r="AP8" s="158"/>
    </row>
    <row r="9" spans="2:42" ht="30" customHeight="1" x14ac:dyDescent="0.2">
      <c r="B9" s="169"/>
      <c r="C9" s="169"/>
      <c r="D9" s="55">
        <f>Config!$C$7</f>
        <v>46388</v>
      </c>
      <c r="E9" s="55">
        <f t="shared" ref="E9:O9" si="0">DATE(YEAR(D9),MONTH(D9)+1,DAY(D9))</f>
        <v>46419</v>
      </c>
      <c r="F9" s="55">
        <f t="shared" si="0"/>
        <v>46447</v>
      </c>
      <c r="G9" s="55">
        <f t="shared" si="0"/>
        <v>46478</v>
      </c>
      <c r="H9" s="55">
        <f t="shared" si="0"/>
        <v>46508</v>
      </c>
      <c r="I9" s="55">
        <f t="shared" si="0"/>
        <v>46539</v>
      </c>
      <c r="J9" s="55">
        <f t="shared" si="0"/>
        <v>46569</v>
      </c>
      <c r="K9" s="55">
        <f t="shared" si="0"/>
        <v>46600</v>
      </c>
      <c r="L9" s="55">
        <f t="shared" si="0"/>
        <v>46631</v>
      </c>
      <c r="M9" s="55">
        <f t="shared" si="0"/>
        <v>46661</v>
      </c>
      <c r="N9" s="55">
        <f t="shared" si="0"/>
        <v>46692</v>
      </c>
      <c r="O9" s="55">
        <f t="shared" si="0"/>
        <v>46722</v>
      </c>
      <c r="P9" s="138" t="s">
        <v>84</v>
      </c>
      <c r="Q9" s="169"/>
      <c r="R9" s="55">
        <f>DATE(YEAR(O9),MONTH(O9)+1,DAY(O9))</f>
        <v>46753</v>
      </c>
      <c r="S9" s="55">
        <f t="shared" ref="S9:AC9" si="1">DATE(YEAR(R9),MONTH(R9)+1,DAY(R9))</f>
        <v>46784</v>
      </c>
      <c r="T9" s="55">
        <f t="shared" si="1"/>
        <v>46813</v>
      </c>
      <c r="U9" s="55">
        <f t="shared" si="1"/>
        <v>46844</v>
      </c>
      <c r="V9" s="55">
        <f t="shared" si="1"/>
        <v>46874</v>
      </c>
      <c r="W9" s="55">
        <f t="shared" si="1"/>
        <v>46905</v>
      </c>
      <c r="X9" s="55">
        <f t="shared" si="1"/>
        <v>46935</v>
      </c>
      <c r="Y9" s="55">
        <f t="shared" si="1"/>
        <v>46966</v>
      </c>
      <c r="Z9" s="55">
        <f t="shared" si="1"/>
        <v>46997</v>
      </c>
      <c r="AA9" s="55">
        <f t="shared" si="1"/>
        <v>47027</v>
      </c>
      <c r="AB9" s="55">
        <f t="shared" si="1"/>
        <v>47058</v>
      </c>
      <c r="AC9" s="55">
        <f t="shared" si="1"/>
        <v>47088</v>
      </c>
      <c r="AD9" s="138" t="s">
        <v>84</v>
      </c>
      <c r="AE9" s="169"/>
      <c r="AF9" s="141" t="s">
        <v>85</v>
      </c>
      <c r="AG9" s="141" t="s">
        <v>86</v>
      </c>
      <c r="AH9" s="138" t="s">
        <v>84</v>
      </c>
      <c r="AI9" s="169"/>
      <c r="AJ9" s="141" t="s">
        <v>85</v>
      </c>
      <c r="AK9" s="141" t="s">
        <v>86</v>
      </c>
      <c r="AL9" s="138" t="s">
        <v>84</v>
      </c>
      <c r="AM9" s="169"/>
      <c r="AN9" s="141" t="s">
        <v>85</v>
      </c>
      <c r="AO9" s="141" t="s">
        <v>86</v>
      </c>
      <c r="AP9" s="138" t="s">
        <v>84</v>
      </c>
    </row>
    <row r="10" spans="2:42" ht="16" customHeight="1" x14ac:dyDescent="0.2">
      <c r="B10" s="56" t="s">
        <v>87</v>
      </c>
      <c r="C10" s="130">
        <v>0</v>
      </c>
      <c r="D10" s="129">
        <v>0</v>
      </c>
      <c r="E10" s="129">
        <v>0</v>
      </c>
      <c r="F10" s="129">
        <v>0</v>
      </c>
      <c r="G10" s="129">
        <v>0</v>
      </c>
      <c r="H10" s="129">
        <v>0</v>
      </c>
      <c r="I10" s="129">
        <v>0</v>
      </c>
      <c r="J10" s="129">
        <v>0</v>
      </c>
      <c r="K10" s="129">
        <v>0</v>
      </c>
      <c r="L10" s="129">
        <v>0</v>
      </c>
      <c r="M10" s="129">
        <v>0</v>
      </c>
      <c r="N10" s="129">
        <v>0</v>
      </c>
      <c r="O10" s="129">
        <v>0</v>
      </c>
      <c r="P10" s="131">
        <f t="shared" ref="P10:P29" si="2">SUM(D10:O10)/12</f>
        <v>0</v>
      </c>
      <c r="Q10" s="58">
        <v>0</v>
      </c>
      <c r="R10" s="129">
        <v>0</v>
      </c>
      <c r="S10" s="129">
        <v>0</v>
      </c>
      <c r="T10" s="129">
        <v>0</v>
      </c>
      <c r="U10" s="129">
        <v>0</v>
      </c>
      <c r="V10" s="129">
        <v>0</v>
      </c>
      <c r="W10" s="129">
        <v>0</v>
      </c>
      <c r="X10" s="129">
        <v>0</v>
      </c>
      <c r="Y10" s="129">
        <v>0</v>
      </c>
      <c r="Z10" s="129">
        <v>0</v>
      </c>
      <c r="AA10" s="129">
        <v>0</v>
      </c>
      <c r="AB10" s="129">
        <v>0</v>
      </c>
      <c r="AC10" s="129">
        <v>0</v>
      </c>
      <c r="AD10" s="131">
        <f t="shared" ref="AD10:AD29" si="3">SUM(R10:AC10)/12</f>
        <v>0</v>
      </c>
      <c r="AE10" s="58">
        <v>0</v>
      </c>
      <c r="AF10" s="129">
        <v>0</v>
      </c>
      <c r="AG10" s="129">
        <v>0</v>
      </c>
      <c r="AH10" s="131">
        <f t="shared" ref="AH10:AH29" si="4">SUM(AF10:AG10)/2</f>
        <v>0</v>
      </c>
      <c r="AI10" s="58">
        <v>0</v>
      </c>
      <c r="AJ10" s="129">
        <v>0</v>
      </c>
      <c r="AK10" s="129">
        <v>0</v>
      </c>
      <c r="AL10" s="131">
        <f t="shared" ref="AL10:AL29" si="5">SUM(AJ10:AK10)/2</f>
        <v>0</v>
      </c>
      <c r="AM10" s="58">
        <v>0</v>
      </c>
      <c r="AN10" s="129">
        <v>0</v>
      </c>
      <c r="AO10" s="129">
        <v>0</v>
      </c>
      <c r="AP10" s="131">
        <f t="shared" ref="AP10:AP29" si="6">SUM(AN10:AO10)/2</f>
        <v>0</v>
      </c>
    </row>
    <row r="11" spans="2:42" ht="16" x14ac:dyDescent="0.2">
      <c r="B11" s="56" t="s">
        <v>88</v>
      </c>
      <c r="C11" s="130">
        <v>30000</v>
      </c>
      <c r="D11" s="129">
        <v>1</v>
      </c>
      <c r="E11" s="129">
        <v>1</v>
      </c>
      <c r="F11" s="129">
        <v>1</v>
      </c>
      <c r="G11" s="129">
        <v>1</v>
      </c>
      <c r="H11" s="129">
        <v>1</v>
      </c>
      <c r="I11" s="129">
        <v>1</v>
      </c>
      <c r="J11" s="129">
        <v>1</v>
      </c>
      <c r="K11" s="129">
        <v>1</v>
      </c>
      <c r="L11" s="129">
        <v>1</v>
      </c>
      <c r="M11" s="129">
        <v>1</v>
      </c>
      <c r="N11" s="129">
        <v>1</v>
      </c>
      <c r="O11" s="129">
        <v>1</v>
      </c>
      <c r="P11" s="131">
        <f t="shared" si="2"/>
        <v>1</v>
      </c>
      <c r="Q11" s="58">
        <v>36000</v>
      </c>
      <c r="R11" s="129">
        <v>1</v>
      </c>
      <c r="S11" s="129">
        <v>1</v>
      </c>
      <c r="T11" s="129">
        <v>1</v>
      </c>
      <c r="U11" s="129">
        <v>1</v>
      </c>
      <c r="V11" s="129">
        <v>1</v>
      </c>
      <c r="W11" s="129">
        <v>1</v>
      </c>
      <c r="X11" s="129">
        <v>1</v>
      </c>
      <c r="Y11" s="129">
        <v>1</v>
      </c>
      <c r="Z11" s="129">
        <v>1</v>
      </c>
      <c r="AA11" s="129">
        <v>1</v>
      </c>
      <c r="AB11" s="129">
        <v>1</v>
      </c>
      <c r="AC11" s="129">
        <v>1</v>
      </c>
      <c r="AD11" s="131">
        <f t="shared" si="3"/>
        <v>1</v>
      </c>
      <c r="AE11" s="58">
        <v>42000</v>
      </c>
      <c r="AF11" s="129">
        <v>1</v>
      </c>
      <c r="AG11" s="129">
        <v>1</v>
      </c>
      <c r="AH11" s="131">
        <f t="shared" si="4"/>
        <v>1</v>
      </c>
      <c r="AI11" s="58">
        <v>48000</v>
      </c>
      <c r="AJ11" s="129">
        <v>1</v>
      </c>
      <c r="AK11" s="129">
        <v>1</v>
      </c>
      <c r="AL11" s="131">
        <f t="shared" si="5"/>
        <v>1</v>
      </c>
      <c r="AM11" s="58">
        <v>60000</v>
      </c>
      <c r="AN11" s="129">
        <v>1</v>
      </c>
      <c r="AO11" s="129">
        <v>1</v>
      </c>
      <c r="AP11" s="131">
        <f t="shared" si="6"/>
        <v>1</v>
      </c>
    </row>
    <row r="12" spans="2:42" ht="16" x14ac:dyDescent="0.2">
      <c r="B12" s="56" t="s">
        <v>89</v>
      </c>
      <c r="C12" s="130">
        <v>30000</v>
      </c>
      <c r="D12" s="129">
        <v>0</v>
      </c>
      <c r="E12" s="129">
        <v>0</v>
      </c>
      <c r="F12" s="129">
        <v>1</v>
      </c>
      <c r="G12" s="129">
        <v>1</v>
      </c>
      <c r="H12" s="129">
        <v>1</v>
      </c>
      <c r="I12" s="129">
        <v>1</v>
      </c>
      <c r="J12" s="129">
        <v>1</v>
      </c>
      <c r="K12" s="129">
        <v>1</v>
      </c>
      <c r="L12" s="129">
        <v>1</v>
      </c>
      <c r="M12" s="129">
        <v>1</v>
      </c>
      <c r="N12" s="129">
        <v>1</v>
      </c>
      <c r="O12" s="129">
        <v>1</v>
      </c>
      <c r="P12" s="131">
        <f t="shared" si="2"/>
        <v>0.83333333333333337</v>
      </c>
      <c r="Q12" s="58">
        <v>36000</v>
      </c>
      <c r="R12" s="129">
        <v>1</v>
      </c>
      <c r="S12" s="129">
        <v>1</v>
      </c>
      <c r="T12" s="129">
        <v>1</v>
      </c>
      <c r="U12" s="129">
        <v>1</v>
      </c>
      <c r="V12" s="129">
        <v>1</v>
      </c>
      <c r="W12" s="129">
        <v>1</v>
      </c>
      <c r="X12" s="129">
        <v>1</v>
      </c>
      <c r="Y12" s="129">
        <v>1</v>
      </c>
      <c r="Z12" s="129">
        <v>1</v>
      </c>
      <c r="AA12" s="129">
        <v>1</v>
      </c>
      <c r="AB12" s="129">
        <v>1</v>
      </c>
      <c r="AC12" s="129">
        <v>1</v>
      </c>
      <c r="AD12" s="131">
        <f t="shared" si="3"/>
        <v>1</v>
      </c>
      <c r="AE12" s="58">
        <v>42000</v>
      </c>
      <c r="AF12" s="129">
        <v>1</v>
      </c>
      <c r="AG12" s="129">
        <v>1</v>
      </c>
      <c r="AH12" s="131">
        <f t="shared" si="4"/>
        <v>1</v>
      </c>
      <c r="AI12" s="58">
        <v>48000</v>
      </c>
      <c r="AJ12" s="129">
        <v>1</v>
      </c>
      <c r="AK12" s="129">
        <v>1</v>
      </c>
      <c r="AL12" s="131">
        <f t="shared" si="5"/>
        <v>1</v>
      </c>
      <c r="AM12" s="58">
        <v>60000</v>
      </c>
      <c r="AN12" s="129">
        <v>1</v>
      </c>
      <c r="AO12" s="129">
        <v>1</v>
      </c>
      <c r="AP12" s="131">
        <f t="shared" si="6"/>
        <v>1</v>
      </c>
    </row>
    <row r="13" spans="2:42" ht="16" x14ac:dyDescent="0.2">
      <c r="B13" s="56" t="s">
        <v>90</v>
      </c>
      <c r="C13" s="130">
        <v>26000</v>
      </c>
      <c r="D13" s="129">
        <v>1</v>
      </c>
      <c r="E13" s="129">
        <v>1</v>
      </c>
      <c r="F13" s="129">
        <v>1</v>
      </c>
      <c r="G13" s="129">
        <v>1</v>
      </c>
      <c r="H13" s="129">
        <v>1</v>
      </c>
      <c r="I13" s="129">
        <v>1</v>
      </c>
      <c r="J13" s="129">
        <v>1</v>
      </c>
      <c r="K13" s="129">
        <v>1</v>
      </c>
      <c r="L13" s="129">
        <v>1</v>
      </c>
      <c r="M13" s="129">
        <v>1</v>
      </c>
      <c r="N13" s="129">
        <v>1</v>
      </c>
      <c r="O13" s="129">
        <v>1</v>
      </c>
      <c r="P13" s="131">
        <f t="shared" si="2"/>
        <v>1</v>
      </c>
      <c r="Q13" s="58">
        <v>27000</v>
      </c>
      <c r="R13" s="129">
        <v>1</v>
      </c>
      <c r="S13" s="129">
        <v>1</v>
      </c>
      <c r="T13" s="129">
        <v>1</v>
      </c>
      <c r="U13" s="129">
        <v>1</v>
      </c>
      <c r="V13" s="129">
        <v>1</v>
      </c>
      <c r="W13" s="129">
        <v>1</v>
      </c>
      <c r="X13" s="129">
        <v>1</v>
      </c>
      <c r="Y13" s="129">
        <v>1</v>
      </c>
      <c r="Z13" s="129">
        <v>1</v>
      </c>
      <c r="AA13" s="129">
        <v>1</v>
      </c>
      <c r="AB13" s="129">
        <v>1</v>
      </c>
      <c r="AC13" s="129">
        <v>1</v>
      </c>
      <c r="AD13" s="131">
        <f t="shared" si="3"/>
        <v>1</v>
      </c>
      <c r="AE13" s="58">
        <v>28000</v>
      </c>
      <c r="AF13" s="129">
        <v>1</v>
      </c>
      <c r="AG13" s="129">
        <v>1</v>
      </c>
      <c r="AH13" s="131">
        <f t="shared" si="4"/>
        <v>1</v>
      </c>
      <c r="AI13" s="58">
        <v>29000</v>
      </c>
      <c r="AJ13" s="129">
        <v>1</v>
      </c>
      <c r="AK13" s="129">
        <v>1</v>
      </c>
      <c r="AL13" s="131">
        <f t="shared" si="5"/>
        <v>1</v>
      </c>
      <c r="AM13" s="58">
        <v>32000</v>
      </c>
      <c r="AN13" s="129">
        <v>1</v>
      </c>
      <c r="AO13" s="129">
        <v>1</v>
      </c>
      <c r="AP13" s="131">
        <f t="shared" si="6"/>
        <v>1</v>
      </c>
    </row>
    <row r="14" spans="2:42" ht="16" x14ac:dyDescent="0.2">
      <c r="B14" s="56" t="s">
        <v>91</v>
      </c>
      <c r="C14" s="130">
        <v>0</v>
      </c>
      <c r="D14" s="129">
        <v>0</v>
      </c>
      <c r="E14" s="129">
        <v>0</v>
      </c>
      <c r="F14" s="129">
        <v>0</v>
      </c>
      <c r="G14" s="129">
        <v>0</v>
      </c>
      <c r="H14" s="129">
        <v>0</v>
      </c>
      <c r="I14" s="129">
        <v>0</v>
      </c>
      <c r="J14" s="129">
        <v>0</v>
      </c>
      <c r="K14" s="129">
        <v>0</v>
      </c>
      <c r="L14" s="129">
        <v>0</v>
      </c>
      <c r="M14" s="129">
        <v>0</v>
      </c>
      <c r="N14" s="129">
        <v>0</v>
      </c>
      <c r="O14" s="129">
        <v>0</v>
      </c>
      <c r="P14" s="131">
        <f t="shared" si="2"/>
        <v>0</v>
      </c>
      <c r="Q14" s="128">
        <v>21500</v>
      </c>
      <c r="R14" s="129">
        <v>0</v>
      </c>
      <c r="S14" s="129">
        <v>0</v>
      </c>
      <c r="T14" s="129">
        <v>0</v>
      </c>
      <c r="U14" s="129">
        <v>0</v>
      </c>
      <c r="V14" s="129">
        <v>0</v>
      </c>
      <c r="W14" s="129">
        <v>1</v>
      </c>
      <c r="X14" s="129">
        <v>1</v>
      </c>
      <c r="Y14" s="129">
        <v>1</v>
      </c>
      <c r="Z14" s="129">
        <v>1</v>
      </c>
      <c r="AA14" s="129">
        <v>1</v>
      </c>
      <c r="AB14" s="129">
        <v>1</v>
      </c>
      <c r="AC14" s="129">
        <v>1</v>
      </c>
      <c r="AD14" s="131">
        <f t="shared" si="3"/>
        <v>0.58333333333333337</v>
      </c>
      <c r="AE14" s="128">
        <v>22000</v>
      </c>
      <c r="AF14" s="129">
        <v>1</v>
      </c>
      <c r="AG14" s="129">
        <v>1</v>
      </c>
      <c r="AH14" s="131">
        <f t="shared" si="4"/>
        <v>1</v>
      </c>
      <c r="AI14" s="128">
        <v>22500</v>
      </c>
      <c r="AJ14" s="129">
        <v>2</v>
      </c>
      <c r="AK14" s="129">
        <v>2</v>
      </c>
      <c r="AL14" s="131">
        <f t="shared" si="5"/>
        <v>2</v>
      </c>
      <c r="AM14" s="128">
        <v>23000</v>
      </c>
      <c r="AN14" s="129">
        <v>2</v>
      </c>
      <c r="AO14" s="129">
        <v>2</v>
      </c>
      <c r="AP14" s="131">
        <f t="shared" si="6"/>
        <v>2</v>
      </c>
    </row>
    <row r="15" spans="2:42" ht="16" x14ac:dyDescent="0.2">
      <c r="B15" s="56" t="s">
        <v>92</v>
      </c>
      <c r="C15" s="130">
        <v>0</v>
      </c>
      <c r="D15" s="129">
        <v>0</v>
      </c>
      <c r="E15" s="129">
        <v>0</v>
      </c>
      <c r="F15" s="129">
        <v>0</v>
      </c>
      <c r="G15" s="129">
        <v>0</v>
      </c>
      <c r="H15" s="129">
        <v>0</v>
      </c>
      <c r="I15" s="129">
        <v>0</v>
      </c>
      <c r="J15" s="129">
        <v>0</v>
      </c>
      <c r="K15" s="129">
        <v>0</v>
      </c>
      <c r="L15" s="129">
        <v>0</v>
      </c>
      <c r="M15" s="129">
        <v>0</v>
      </c>
      <c r="N15" s="129">
        <v>0</v>
      </c>
      <c r="O15" s="129">
        <v>0</v>
      </c>
      <c r="P15" s="131">
        <f t="shared" si="2"/>
        <v>0</v>
      </c>
      <c r="Q15" s="128">
        <v>24000</v>
      </c>
      <c r="R15" s="129">
        <v>0</v>
      </c>
      <c r="S15" s="129">
        <v>0</v>
      </c>
      <c r="T15" s="129">
        <v>0</v>
      </c>
      <c r="U15" s="129">
        <v>0</v>
      </c>
      <c r="V15" s="129">
        <v>0</v>
      </c>
      <c r="W15" s="129">
        <v>0</v>
      </c>
      <c r="X15" s="129">
        <v>0</v>
      </c>
      <c r="Y15" s="129">
        <v>0</v>
      </c>
      <c r="Z15" s="129">
        <v>1</v>
      </c>
      <c r="AA15" s="129">
        <v>1</v>
      </c>
      <c r="AB15" s="129">
        <v>1</v>
      </c>
      <c r="AC15" s="129">
        <v>1</v>
      </c>
      <c r="AD15" s="131">
        <f t="shared" si="3"/>
        <v>0.33333333333333331</v>
      </c>
      <c r="AE15" s="128">
        <v>25000</v>
      </c>
      <c r="AF15" s="129">
        <v>1</v>
      </c>
      <c r="AG15" s="129">
        <v>1</v>
      </c>
      <c r="AH15" s="131">
        <f t="shared" si="4"/>
        <v>1</v>
      </c>
      <c r="AI15" s="128">
        <v>26000</v>
      </c>
      <c r="AJ15" s="129">
        <v>1</v>
      </c>
      <c r="AK15" s="129">
        <v>1</v>
      </c>
      <c r="AL15" s="131">
        <f t="shared" si="5"/>
        <v>1</v>
      </c>
      <c r="AM15" s="128">
        <v>28000</v>
      </c>
      <c r="AN15" s="129">
        <v>1</v>
      </c>
      <c r="AO15" s="129">
        <v>1</v>
      </c>
      <c r="AP15" s="131">
        <f t="shared" si="6"/>
        <v>1</v>
      </c>
    </row>
    <row r="16" spans="2:42" ht="16" x14ac:dyDescent="0.2">
      <c r="B16" s="56" t="s">
        <v>93</v>
      </c>
      <c r="C16" s="130">
        <v>0</v>
      </c>
      <c r="D16" s="129">
        <v>0</v>
      </c>
      <c r="E16" s="129">
        <v>0</v>
      </c>
      <c r="F16" s="129">
        <v>0</v>
      </c>
      <c r="G16" s="129">
        <v>0</v>
      </c>
      <c r="H16" s="129">
        <v>0</v>
      </c>
      <c r="I16" s="129">
        <v>0</v>
      </c>
      <c r="J16" s="129">
        <v>0</v>
      </c>
      <c r="K16" s="129">
        <v>0</v>
      </c>
      <c r="L16" s="129">
        <v>0</v>
      </c>
      <c r="M16" s="129">
        <v>0</v>
      </c>
      <c r="N16" s="129">
        <v>0</v>
      </c>
      <c r="O16" s="129">
        <v>0</v>
      </c>
      <c r="P16" s="131">
        <f t="shared" si="2"/>
        <v>0</v>
      </c>
      <c r="Q16" s="128">
        <v>13000</v>
      </c>
      <c r="R16" s="129">
        <v>0</v>
      </c>
      <c r="S16" s="129">
        <v>0</v>
      </c>
      <c r="T16" s="129">
        <v>0</v>
      </c>
      <c r="U16" s="129">
        <v>0</v>
      </c>
      <c r="V16" s="129">
        <v>0</v>
      </c>
      <c r="W16" s="129">
        <v>0</v>
      </c>
      <c r="X16" s="129">
        <v>0</v>
      </c>
      <c r="Y16" s="129">
        <v>0</v>
      </c>
      <c r="Z16" s="129">
        <v>1</v>
      </c>
      <c r="AA16" s="129">
        <v>1</v>
      </c>
      <c r="AB16" s="129">
        <v>1</v>
      </c>
      <c r="AC16" s="129">
        <v>1</v>
      </c>
      <c r="AD16" s="131">
        <f t="shared" si="3"/>
        <v>0.33333333333333331</v>
      </c>
      <c r="AE16" s="128">
        <v>13000</v>
      </c>
      <c r="AF16" s="129">
        <v>1</v>
      </c>
      <c r="AG16" s="129">
        <v>1</v>
      </c>
      <c r="AH16" s="131">
        <f t="shared" si="4"/>
        <v>1</v>
      </c>
      <c r="AI16" s="128">
        <v>0</v>
      </c>
      <c r="AJ16" s="129">
        <v>0</v>
      </c>
      <c r="AK16" s="129">
        <v>0</v>
      </c>
      <c r="AL16" s="131">
        <f t="shared" si="5"/>
        <v>0</v>
      </c>
      <c r="AM16" s="128">
        <v>0</v>
      </c>
      <c r="AN16" s="129">
        <v>0</v>
      </c>
      <c r="AO16" s="129">
        <v>0</v>
      </c>
      <c r="AP16" s="131">
        <f t="shared" si="6"/>
        <v>0</v>
      </c>
    </row>
    <row r="17" spans="2:42" ht="16" x14ac:dyDescent="0.2">
      <c r="B17" s="56" t="s">
        <v>94</v>
      </c>
      <c r="C17" s="130">
        <v>8316</v>
      </c>
      <c r="D17" s="129">
        <v>0</v>
      </c>
      <c r="E17" s="129">
        <v>0</v>
      </c>
      <c r="F17" s="129">
        <v>0</v>
      </c>
      <c r="G17" s="129">
        <v>0</v>
      </c>
      <c r="H17" s="129">
        <v>0</v>
      </c>
      <c r="I17" s="129">
        <v>1</v>
      </c>
      <c r="J17" s="129">
        <v>1</v>
      </c>
      <c r="K17" s="129">
        <v>1</v>
      </c>
      <c r="L17" s="129">
        <v>0</v>
      </c>
      <c r="M17" s="129">
        <v>0</v>
      </c>
      <c r="N17" s="129">
        <v>0</v>
      </c>
      <c r="O17" s="129">
        <v>1</v>
      </c>
      <c r="P17" s="131">
        <f t="shared" si="2"/>
        <v>0.33333333333333331</v>
      </c>
      <c r="Q17" s="128">
        <v>0</v>
      </c>
      <c r="R17" s="129">
        <v>0</v>
      </c>
      <c r="S17" s="129">
        <v>0</v>
      </c>
      <c r="T17" s="129">
        <v>0</v>
      </c>
      <c r="U17" s="129">
        <v>0</v>
      </c>
      <c r="V17" s="129">
        <v>0</v>
      </c>
      <c r="W17" s="129">
        <v>0</v>
      </c>
      <c r="X17" s="129">
        <v>0</v>
      </c>
      <c r="Y17" s="129">
        <v>0</v>
      </c>
      <c r="Z17" s="129">
        <v>0</v>
      </c>
      <c r="AA17" s="129">
        <v>0</v>
      </c>
      <c r="AB17" s="129">
        <v>0</v>
      </c>
      <c r="AC17" s="129">
        <v>0</v>
      </c>
      <c r="AD17" s="131">
        <f t="shared" si="3"/>
        <v>0</v>
      </c>
      <c r="AE17" s="128">
        <v>0</v>
      </c>
      <c r="AF17" s="129">
        <v>0</v>
      </c>
      <c r="AG17" s="129">
        <v>0</v>
      </c>
      <c r="AH17" s="131">
        <f t="shared" si="4"/>
        <v>0</v>
      </c>
      <c r="AI17" s="128">
        <v>0</v>
      </c>
      <c r="AJ17" s="129">
        <v>0</v>
      </c>
      <c r="AK17" s="129">
        <v>0</v>
      </c>
      <c r="AL17" s="131">
        <f t="shared" si="5"/>
        <v>0</v>
      </c>
      <c r="AM17" s="128">
        <v>0</v>
      </c>
      <c r="AN17" s="129">
        <v>0</v>
      </c>
      <c r="AO17" s="129">
        <v>0</v>
      </c>
      <c r="AP17" s="131">
        <f t="shared" si="6"/>
        <v>0</v>
      </c>
    </row>
    <row r="18" spans="2:42" ht="16" x14ac:dyDescent="0.2">
      <c r="B18" s="56" t="s">
        <v>95</v>
      </c>
      <c r="C18" s="130">
        <v>0</v>
      </c>
      <c r="D18" s="129">
        <v>0</v>
      </c>
      <c r="E18" s="129">
        <v>0</v>
      </c>
      <c r="F18" s="129">
        <v>0</v>
      </c>
      <c r="G18" s="129">
        <v>0</v>
      </c>
      <c r="H18" s="129">
        <v>0</v>
      </c>
      <c r="I18" s="129">
        <v>0</v>
      </c>
      <c r="J18" s="129">
        <v>0</v>
      </c>
      <c r="K18" s="129">
        <v>0</v>
      </c>
      <c r="L18" s="129">
        <v>0</v>
      </c>
      <c r="M18" s="129">
        <v>0</v>
      </c>
      <c r="N18" s="129">
        <v>0</v>
      </c>
      <c r="O18" s="129">
        <v>0</v>
      </c>
      <c r="P18" s="131">
        <f t="shared" si="2"/>
        <v>0</v>
      </c>
      <c r="Q18" s="128">
        <v>0</v>
      </c>
      <c r="R18" s="129">
        <v>0</v>
      </c>
      <c r="S18" s="129">
        <v>0</v>
      </c>
      <c r="T18" s="129">
        <v>0</v>
      </c>
      <c r="U18" s="129">
        <v>0</v>
      </c>
      <c r="V18" s="129">
        <v>0</v>
      </c>
      <c r="W18" s="129">
        <v>0</v>
      </c>
      <c r="X18" s="129">
        <v>0</v>
      </c>
      <c r="Y18" s="129">
        <v>0</v>
      </c>
      <c r="Z18" s="129">
        <v>0</v>
      </c>
      <c r="AA18" s="129">
        <v>0</v>
      </c>
      <c r="AB18" s="129">
        <v>0</v>
      </c>
      <c r="AC18" s="129">
        <v>0</v>
      </c>
      <c r="AD18" s="131">
        <f t="shared" si="3"/>
        <v>0</v>
      </c>
      <c r="AE18" s="128">
        <v>0</v>
      </c>
      <c r="AF18" s="129">
        <v>0</v>
      </c>
      <c r="AG18" s="129">
        <v>0</v>
      </c>
      <c r="AH18" s="131">
        <f t="shared" si="4"/>
        <v>0</v>
      </c>
      <c r="AI18" s="128">
        <v>32000</v>
      </c>
      <c r="AJ18" s="129">
        <v>1</v>
      </c>
      <c r="AK18" s="129">
        <v>1</v>
      </c>
      <c r="AL18" s="131">
        <f t="shared" si="5"/>
        <v>1</v>
      </c>
      <c r="AM18" s="128">
        <v>35000</v>
      </c>
      <c r="AN18" s="129">
        <v>1</v>
      </c>
      <c r="AO18" s="129">
        <v>1</v>
      </c>
      <c r="AP18" s="131">
        <f t="shared" si="6"/>
        <v>1</v>
      </c>
    </row>
    <row r="19" spans="2:42" ht="16" x14ac:dyDescent="0.2">
      <c r="B19" s="56" t="s">
        <v>96</v>
      </c>
      <c r="C19" s="130">
        <v>0</v>
      </c>
      <c r="D19" s="129">
        <v>0</v>
      </c>
      <c r="E19" s="129">
        <v>0</v>
      </c>
      <c r="F19" s="129">
        <v>0</v>
      </c>
      <c r="G19" s="129">
        <v>0</v>
      </c>
      <c r="H19" s="129">
        <v>0</v>
      </c>
      <c r="I19" s="129">
        <v>0</v>
      </c>
      <c r="J19" s="129">
        <v>0</v>
      </c>
      <c r="K19" s="129">
        <v>0</v>
      </c>
      <c r="L19" s="129">
        <v>0</v>
      </c>
      <c r="M19" s="129">
        <v>0</v>
      </c>
      <c r="N19" s="129">
        <v>0</v>
      </c>
      <c r="O19" s="129">
        <v>0</v>
      </c>
      <c r="P19" s="131">
        <f t="shared" si="2"/>
        <v>0</v>
      </c>
      <c r="Q19" s="128">
        <v>0</v>
      </c>
      <c r="R19" s="129">
        <v>0</v>
      </c>
      <c r="S19" s="129">
        <v>0</v>
      </c>
      <c r="T19" s="129">
        <v>0</v>
      </c>
      <c r="U19" s="129">
        <v>0</v>
      </c>
      <c r="V19" s="129">
        <v>0</v>
      </c>
      <c r="W19" s="129">
        <v>0</v>
      </c>
      <c r="X19" s="129">
        <v>0</v>
      </c>
      <c r="Y19" s="129">
        <v>0</v>
      </c>
      <c r="Z19" s="129">
        <v>0</v>
      </c>
      <c r="AA19" s="129">
        <v>0</v>
      </c>
      <c r="AB19" s="129">
        <v>0</v>
      </c>
      <c r="AC19" s="129">
        <v>0</v>
      </c>
      <c r="AD19" s="131">
        <f t="shared" si="3"/>
        <v>0</v>
      </c>
      <c r="AE19" s="128">
        <v>0</v>
      </c>
      <c r="AF19" s="57">
        <v>0</v>
      </c>
      <c r="AG19" s="57">
        <v>0</v>
      </c>
      <c r="AH19" s="131">
        <f t="shared" si="4"/>
        <v>0</v>
      </c>
      <c r="AI19" s="128">
        <v>0</v>
      </c>
      <c r="AJ19" s="57">
        <v>0</v>
      </c>
      <c r="AK19" s="57">
        <v>0</v>
      </c>
      <c r="AL19" s="131">
        <f t="shared" si="5"/>
        <v>0</v>
      </c>
      <c r="AM19" s="128">
        <v>30000</v>
      </c>
      <c r="AN19" s="129">
        <v>1</v>
      </c>
      <c r="AO19" s="129">
        <v>1</v>
      </c>
      <c r="AP19" s="131">
        <f t="shared" si="6"/>
        <v>1</v>
      </c>
    </row>
    <row r="20" spans="2:42" x14ac:dyDescent="0.2">
      <c r="B20" s="57"/>
      <c r="C20" s="130"/>
      <c r="D20" s="129"/>
      <c r="E20" s="129"/>
      <c r="F20" s="129"/>
      <c r="G20" s="129"/>
      <c r="H20" s="129"/>
      <c r="I20" s="129"/>
      <c r="J20" s="129"/>
      <c r="K20" s="129"/>
      <c r="L20" s="129"/>
      <c r="M20" s="129"/>
      <c r="N20" s="129"/>
      <c r="O20" s="129"/>
      <c r="P20" s="131">
        <f t="shared" si="2"/>
        <v>0</v>
      </c>
      <c r="Q20" s="128"/>
      <c r="R20" s="129"/>
      <c r="S20" s="129"/>
      <c r="T20" s="129"/>
      <c r="U20" s="129"/>
      <c r="V20" s="129"/>
      <c r="W20" s="129"/>
      <c r="X20" s="129"/>
      <c r="Y20" s="129"/>
      <c r="Z20" s="129"/>
      <c r="AA20" s="129"/>
      <c r="AB20" s="129"/>
      <c r="AC20" s="129"/>
      <c r="AD20" s="131">
        <f t="shared" si="3"/>
        <v>0</v>
      </c>
      <c r="AE20" s="128"/>
      <c r="AF20" s="129"/>
      <c r="AG20" s="129"/>
      <c r="AH20" s="131">
        <f t="shared" si="4"/>
        <v>0</v>
      </c>
      <c r="AI20" s="128"/>
      <c r="AJ20" s="129"/>
      <c r="AK20" s="129"/>
      <c r="AL20" s="131">
        <f t="shared" si="5"/>
        <v>0</v>
      </c>
      <c r="AM20" s="128"/>
      <c r="AN20" s="129"/>
      <c r="AO20" s="129"/>
      <c r="AP20" s="131">
        <f t="shared" si="6"/>
        <v>0</v>
      </c>
    </row>
    <row r="21" spans="2:42" x14ac:dyDescent="0.2">
      <c r="B21" s="57"/>
      <c r="C21" s="130"/>
      <c r="D21" s="129"/>
      <c r="E21" s="129"/>
      <c r="F21" s="129"/>
      <c r="G21" s="129"/>
      <c r="H21" s="129"/>
      <c r="I21" s="129"/>
      <c r="J21" s="129"/>
      <c r="K21" s="129"/>
      <c r="L21" s="129"/>
      <c r="M21" s="129"/>
      <c r="N21" s="129"/>
      <c r="O21" s="129"/>
      <c r="P21" s="131">
        <f t="shared" si="2"/>
        <v>0</v>
      </c>
      <c r="Q21" s="128"/>
      <c r="R21" s="129"/>
      <c r="S21" s="129"/>
      <c r="T21" s="129"/>
      <c r="U21" s="129"/>
      <c r="V21" s="129"/>
      <c r="W21" s="129"/>
      <c r="X21" s="129"/>
      <c r="Y21" s="129"/>
      <c r="Z21" s="129"/>
      <c r="AA21" s="129"/>
      <c r="AB21" s="129"/>
      <c r="AC21" s="129"/>
      <c r="AD21" s="131">
        <f t="shared" si="3"/>
        <v>0</v>
      </c>
      <c r="AE21" s="128"/>
      <c r="AF21" s="129"/>
      <c r="AG21" s="129"/>
      <c r="AH21" s="131">
        <f t="shared" si="4"/>
        <v>0</v>
      </c>
      <c r="AI21" s="128"/>
      <c r="AJ21" s="129"/>
      <c r="AK21" s="129"/>
      <c r="AL21" s="131">
        <f t="shared" si="5"/>
        <v>0</v>
      </c>
      <c r="AM21" s="128"/>
      <c r="AN21" s="129"/>
      <c r="AO21" s="129"/>
      <c r="AP21" s="131">
        <f t="shared" si="6"/>
        <v>0</v>
      </c>
    </row>
    <row r="22" spans="2:42" x14ac:dyDescent="0.2">
      <c r="B22" s="57"/>
      <c r="C22" s="130"/>
      <c r="D22" s="129"/>
      <c r="E22" s="129"/>
      <c r="F22" s="129"/>
      <c r="G22" s="129"/>
      <c r="H22" s="129"/>
      <c r="I22" s="129"/>
      <c r="J22" s="129"/>
      <c r="K22" s="129"/>
      <c r="L22" s="129"/>
      <c r="M22" s="129"/>
      <c r="N22" s="129"/>
      <c r="O22" s="129"/>
      <c r="P22" s="131">
        <f t="shared" si="2"/>
        <v>0</v>
      </c>
      <c r="Q22" s="128"/>
      <c r="R22" s="129"/>
      <c r="S22" s="129"/>
      <c r="T22" s="129"/>
      <c r="U22" s="129"/>
      <c r="V22" s="129"/>
      <c r="W22" s="129"/>
      <c r="X22" s="129"/>
      <c r="Y22" s="129"/>
      <c r="Z22" s="129"/>
      <c r="AA22" s="129"/>
      <c r="AB22" s="129"/>
      <c r="AC22" s="129"/>
      <c r="AD22" s="131">
        <f t="shared" si="3"/>
        <v>0</v>
      </c>
      <c r="AE22" s="128"/>
      <c r="AF22" s="129"/>
      <c r="AG22" s="129"/>
      <c r="AH22" s="131">
        <f t="shared" si="4"/>
        <v>0</v>
      </c>
      <c r="AI22" s="128"/>
      <c r="AJ22" s="129"/>
      <c r="AK22" s="129"/>
      <c r="AL22" s="131">
        <f t="shared" si="5"/>
        <v>0</v>
      </c>
      <c r="AM22" s="128"/>
      <c r="AN22" s="129"/>
      <c r="AO22" s="129"/>
      <c r="AP22" s="131">
        <f t="shared" si="6"/>
        <v>0</v>
      </c>
    </row>
    <row r="23" spans="2:42" x14ac:dyDescent="0.2">
      <c r="B23" s="57"/>
      <c r="C23" s="130"/>
      <c r="D23" s="129"/>
      <c r="E23" s="129"/>
      <c r="F23" s="129"/>
      <c r="G23" s="129"/>
      <c r="H23" s="129"/>
      <c r="I23" s="129"/>
      <c r="J23" s="129"/>
      <c r="K23" s="129"/>
      <c r="L23" s="129"/>
      <c r="M23" s="129"/>
      <c r="N23" s="129"/>
      <c r="O23" s="129"/>
      <c r="P23" s="131">
        <f t="shared" si="2"/>
        <v>0</v>
      </c>
      <c r="Q23" s="128"/>
      <c r="R23" s="129"/>
      <c r="S23" s="129"/>
      <c r="T23" s="129"/>
      <c r="U23" s="129"/>
      <c r="V23" s="129"/>
      <c r="W23" s="129"/>
      <c r="X23" s="129"/>
      <c r="Y23" s="129"/>
      <c r="Z23" s="129"/>
      <c r="AA23" s="129"/>
      <c r="AB23" s="129"/>
      <c r="AC23" s="129"/>
      <c r="AD23" s="131">
        <f t="shared" si="3"/>
        <v>0</v>
      </c>
      <c r="AE23" s="128"/>
      <c r="AF23" s="129"/>
      <c r="AG23" s="129"/>
      <c r="AH23" s="131">
        <f t="shared" si="4"/>
        <v>0</v>
      </c>
      <c r="AI23" s="128"/>
      <c r="AJ23" s="129"/>
      <c r="AK23" s="129"/>
      <c r="AL23" s="131">
        <f t="shared" si="5"/>
        <v>0</v>
      </c>
      <c r="AM23" s="128"/>
      <c r="AN23" s="129"/>
      <c r="AO23" s="129"/>
      <c r="AP23" s="131">
        <f t="shared" si="6"/>
        <v>0</v>
      </c>
    </row>
    <row r="24" spans="2:42" x14ac:dyDescent="0.2">
      <c r="B24" s="57"/>
      <c r="C24" s="130"/>
      <c r="D24" s="129"/>
      <c r="E24" s="129"/>
      <c r="F24" s="129"/>
      <c r="G24" s="129"/>
      <c r="H24" s="129"/>
      <c r="I24" s="129"/>
      <c r="J24" s="129"/>
      <c r="K24" s="129"/>
      <c r="L24" s="129"/>
      <c r="M24" s="129"/>
      <c r="N24" s="129"/>
      <c r="O24" s="129"/>
      <c r="P24" s="131">
        <f t="shared" si="2"/>
        <v>0</v>
      </c>
      <c r="Q24" s="128"/>
      <c r="R24" s="129"/>
      <c r="S24" s="129"/>
      <c r="T24" s="129"/>
      <c r="U24" s="129"/>
      <c r="V24" s="129"/>
      <c r="W24" s="129"/>
      <c r="X24" s="129"/>
      <c r="Y24" s="129"/>
      <c r="Z24" s="129"/>
      <c r="AA24" s="129"/>
      <c r="AB24" s="129"/>
      <c r="AC24" s="129"/>
      <c r="AD24" s="131">
        <f t="shared" si="3"/>
        <v>0</v>
      </c>
      <c r="AE24" s="128"/>
      <c r="AF24" s="129"/>
      <c r="AG24" s="129"/>
      <c r="AH24" s="131">
        <f t="shared" si="4"/>
        <v>0</v>
      </c>
      <c r="AI24" s="128"/>
      <c r="AJ24" s="129"/>
      <c r="AK24" s="129"/>
      <c r="AL24" s="131">
        <f t="shared" si="5"/>
        <v>0</v>
      </c>
      <c r="AM24" s="128"/>
      <c r="AN24" s="129"/>
      <c r="AO24" s="129"/>
      <c r="AP24" s="131">
        <f t="shared" si="6"/>
        <v>0</v>
      </c>
    </row>
    <row r="25" spans="2:42" x14ac:dyDescent="0.2">
      <c r="B25" s="57"/>
      <c r="C25" s="130"/>
      <c r="D25" s="129"/>
      <c r="E25" s="129"/>
      <c r="F25" s="129"/>
      <c r="G25" s="129"/>
      <c r="H25" s="129"/>
      <c r="I25" s="129"/>
      <c r="J25" s="129"/>
      <c r="K25" s="129"/>
      <c r="L25" s="129"/>
      <c r="M25" s="129"/>
      <c r="N25" s="129"/>
      <c r="O25" s="129"/>
      <c r="P25" s="131">
        <f t="shared" si="2"/>
        <v>0</v>
      </c>
      <c r="Q25" s="128"/>
      <c r="R25" s="129"/>
      <c r="S25" s="129"/>
      <c r="T25" s="129"/>
      <c r="U25" s="129"/>
      <c r="V25" s="129"/>
      <c r="W25" s="129"/>
      <c r="X25" s="129"/>
      <c r="Y25" s="129"/>
      <c r="Z25" s="129"/>
      <c r="AA25" s="129"/>
      <c r="AB25" s="129"/>
      <c r="AC25" s="129"/>
      <c r="AD25" s="131">
        <f t="shared" si="3"/>
        <v>0</v>
      </c>
      <c r="AE25" s="128"/>
      <c r="AF25" s="129"/>
      <c r="AG25" s="129"/>
      <c r="AH25" s="131">
        <f t="shared" si="4"/>
        <v>0</v>
      </c>
      <c r="AI25" s="128"/>
      <c r="AJ25" s="129"/>
      <c r="AK25" s="129"/>
      <c r="AL25" s="131">
        <f t="shared" si="5"/>
        <v>0</v>
      </c>
      <c r="AM25" s="128"/>
      <c r="AN25" s="129"/>
      <c r="AO25" s="129"/>
      <c r="AP25" s="131">
        <f t="shared" si="6"/>
        <v>0</v>
      </c>
    </row>
    <row r="26" spans="2:42" x14ac:dyDescent="0.2">
      <c r="B26" s="57"/>
      <c r="C26" s="130"/>
      <c r="D26" s="129"/>
      <c r="E26" s="129"/>
      <c r="F26" s="129"/>
      <c r="G26" s="129"/>
      <c r="H26" s="129"/>
      <c r="I26" s="129"/>
      <c r="J26" s="129"/>
      <c r="K26" s="129"/>
      <c r="L26" s="129"/>
      <c r="M26" s="129"/>
      <c r="N26" s="129"/>
      <c r="O26" s="129"/>
      <c r="P26" s="131">
        <f t="shared" si="2"/>
        <v>0</v>
      </c>
      <c r="Q26" s="128"/>
      <c r="R26" s="129"/>
      <c r="S26" s="129"/>
      <c r="T26" s="129"/>
      <c r="U26" s="129"/>
      <c r="V26" s="129"/>
      <c r="W26" s="129"/>
      <c r="X26" s="129"/>
      <c r="Y26" s="129"/>
      <c r="Z26" s="129"/>
      <c r="AA26" s="129"/>
      <c r="AB26" s="129"/>
      <c r="AC26" s="129"/>
      <c r="AD26" s="131">
        <f t="shared" si="3"/>
        <v>0</v>
      </c>
      <c r="AE26" s="128"/>
      <c r="AF26" s="129"/>
      <c r="AG26" s="129"/>
      <c r="AH26" s="131">
        <f t="shared" si="4"/>
        <v>0</v>
      </c>
      <c r="AI26" s="128"/>
      <c r="AJ26" s="129"/>
      <c r="AK26" s="129"/>
      <c r="AL26" s="131">
        <f t="shared" si="5"/>
        <v>0</v>
      </c>
      <c r="AM26" s="128"/>
      <c r="AN26" s="129"/>
      <c r="AO26" s="129"/>
      <c r="AP26" s="131">
        <f t="shared" si="6"/>
        <v>0</v>
      </c>
    </row>
    <row r="27" spans="2:42" x14ac:dyDescent="0.2">
      <c r="B27" s="57"/>
      <c r="C27" s="130"/>
      <c r="D27" s="129"/>
      <c r="E27" s="129"/>
      <c r="F27" s="129"/>
      <c r="G27" s="129"/>
      <c r="H27" s="129"/>
      <c r="I27" s="129"/>
      <c r="J27" s="129"/>
      <c r="K27" s="129"/>
      <c r="L27" s="129"/>
      <c r="M27" s="129"/>
      <c r="N27" s="129"/>
      <c r="O27" s="129"/>
      <c r="P27" s="131">
        <f t="shared" si="2"/>
        <v>0</v>
      </c>
      <c r="Q27" s="128"/>
      <c r="R27" s="129"/>
      <c r="S27" s="129"/>
      <c r="T27" s="129"/>
      <c r="U27" s="129"/>
      <c r="V27" s="129"/>
      <c r="W27" s="129"/>
      <c r="X27" s="129"/>
      <c r="Y27" s="129"/>
      <c r="Z27" s="129"/>
      <c r="AA27" s="129"/>
      <c r="AB27" s="129"/>
      <c r="AC27" s="129"/>
      <c r="AD27" s="131">
        <f t="shared" si="3"/>
        <v>0</v>
      </c>
      <c r="AE27" s="128"/>
      <c r="AF27" s="129"/>
      <c r="AG27" s="129"/>
      <c r="AH27" s="131">
        <f t="shared" si="4"/>
        <v>0</v>
      </c>
      <c r="AI27" s="128"/>
      <c r="AJ27" s="129"/>
      <c r="AK27" s="129"/>
      <c r="AL27" s="131">
        <f t="shared" si="5"/>
        <v>0</v>
      </c>
      <c r="AM27" s="128"/>
      <c r="AN27" s="129"/>
      <c r="AO27" s="129"/>
      <c r="AP27" s="131">
        <f t="shared" si="6"/>
        <v>0</v>
      </c>
    </row>
    <row r="28" spans="2:42" x14ac:dyDescent="0.2">
      <c r="B28" s="57"/>
      <c r="C28" s="130"/>
      <c r="D28" s="129"/>
      <c r="E28" s="129"/>
      <c r="F28" s="129"/>
      <c r="G28" s="129"/>
      <c r="H28" s="129"/>
      <c r="I28" s="129"/>
      <c r="J28" s="129"/>
      <c r="K28" s="129"/>
      <c r="L28" s="129"/>
      <c r="M28" s="129"/>
      <c r="N28" s="129"/>
      <c r="O28" s="129"/>
      <c r="P28" s="131">
        <f t="shared" si="2"/>
        <v>0</v>
      </c>
      <c r="Q28" s="128"/>
      <c r="R28" s="129"/>
      <c r="S28" s="129"/>
      <c r="T28" s="129"/>
      <c r="U28" s="129"/>
      <c r="V28" s="129"/>
      <c r="W28" s="129"/>
      <c r="X28" s="129"/>
      <c r="Y28" s="129"/>
      <c r="Z28" s="129"/>
      <c r="AA28" s="129"/>
      <c r="AB28" s="129"/>
      <c r="AC28" s="129"/>
      <c r="AD28" s="131">
        <f t="shared" si="3"/>
        <v>0</v>
      </c>
      <c r="AE28" s="128"/>
      <c r="AF28" s="129"/>
      <c r="AG28" s="129"/>
      <c r="AH28" s="131">
        <f t="shared" si="4"/>
        <v>0</v>
      </c>
      <c r="AI28" s="128"/>
      <c r="AJ28" s="129"/>
      <c r="AK28" s="129"/>
      <c r="AL28" s="131">
        <f t="shared" si="5"/>
        <v>0</v>
      </c>
      <c r="AM28" s="128"/>
      <c r="AN28" s="129"/>
      <c r="AO28" s="129"/>
      <c r="AP28" s="131">
        <f t="shared" si="6"/>
        <v>0</v>
      </c>
    </row>
    <row r="29" spans="2:42" x14ac:dyDescent="0.2">
      <c r="B29" s="57"/>
      <c r="C29" s="130"/>
      <c r="D29" s="129"/>
      <c r="E29" s="129"/>
      <c r="F29" s="129"/>
      <c r="G29" s="129"/>
      <c r="H29" s="129"/>
      <c r="I29" s="129"/>
      <c r="J29" s="129"/>
      <c r="K29" s="129"/>
      <c r="L29" s="129"/>
      <c r="M29" s="129"/>
      <c r="N29" s="129"/>
      <c r="O29" s="129"/>
      <c r="P29" s="131">
        <f t="shared" si="2"/>
        <v>0</v>
      </c>
      <c r="Q29" s="128"/>
      <c r="R29" s="129"/>
      <c r="S29" s="129"/>
      <c r="T29" s="129"/>
      <c r="U29" s="129"/>
      <c r="V29" s="129"/>
      <c r="W29" s="129"/>
      <c r="X29" s="129"/>
      <c r="Y29" s="129"/>
      <c r="Z29" s="129"/>
      <c r="AA29" s="129"/>
      <c r="AB29" s="129"/>
      <c r="AC29" s="129"/>
      <c r="AD29" s="131">
        <f t="shared" si="3"/>
        <v>0</v>
      </c>
      <c r="AE29" s="128"/>
      <c r="AF29" s="129"/>
      <c r="AG29" s="129"/>
      <c r="AH29" s="131">
        <f t="shared" si="4"/>
        <v>0</v>
      </c>
      <c r="AI29" s="128"/>
      <c r="AJ29" s="129"/>
      <c r="AK29" s="129"/>
      <c r="AL29" s="131">
        <f t="shared" si="5"/>
        <v>0</v>
      </c>
      <c r="AM29" s="128"/>
      <c r="AN29" s="129"/>
      <c r="AO29" s="129"/>
      <c r="AP29" s="131">
        <f t="shared" si="6"/>
        <v>0</v>
      </c>
    </row>
    <row r="30" spans="2:42" x14ac:dyDescent="0.2">
      <c r="B30" s="139" t="s">
        <v>97</v>
      </c>
      <c r="C30" s="148">
        <f>SUM(C10:C19)</f>
        <v>94316</v>
      </c>
      <c r="D30" s="132">
        <f t="shared" ref="D30:AH30" si="7">SUM(D10:D29)</f>
        <v>2</v>
      </c>
      <c r="E30" s="132">
        <f t="shared" si="7"/>
        <v>2</v>
      </c>
      <c r="F30" s="132">
        <f t="shared" si="7"/>
        <v>3</v>
      </c>
      <c r="G30" s="132">
        <f t="shared" si="7"/>
        <v>3</v>
      </c>
      <c r="H30" s="132">
        <f t="shared" si="7"/>
        <v>3</v>
      </c>
      <c r="I30" s="132">
        <f t="shared" si="7"/>
        <v>4</v>
      </c>
      <c r="J30" s="132">
        <f t="shared" si="7"/>
        <v>4</v>
      </c>
      <c r="K30" s="132">
        <f t="shared" si="7"/>
        <v>4</v>
      </c>
      <c r="L30" s="132">
        <f t="shared" si="7"/>
        <v>3</v>
      </c>
      <c r="M30" s="132">
        <f t="shared" si="7"/>
        <v>3</v>
      </c>
      <c r="N30" s="132">
        <f t="shared" si="7"/>
        <v>3</v>
      </c>
      <c r="O30" s="132">
        <f t="shared" si="7"/>
        <v>4</v>
      </c>
      <c r="P30" s="131">
        <f t="shared" si="7"/>
        <v>3.166666666666667</v>
      </c>
      <c r="Q30" s="60">
        <f t="shared" si="7"/>
        <v>157500</v>
      </c>
      <c r="R30" s="132">
        <f t="shared" si="7"/>
        <v>3</v>
      </c>
      <c r="S30" s="132">
        <f t="shared" si="7"/>
        <v>3</v>
      </c>
      <c r="T30" s="132">
        <f t="shared" si="7"/>
        <v>3</v>
      </c>
      <c r="U30" s="132">
        <f t="shared" si="7"/>
        <v>3</v>
      </c>
      <c r="V30" s="132">
        <f t="shared" si="7"/>
        <v>3</v>
      </c>
      <c r="W30" s="132">
        <f t="shared" si="7"/>
        <v>4</v>
      </c>
      <c r="X30" s="132">
        <f t="shared" si="7"/>
        <v>4</v>
      </c>
      <c r="Y30" s="132">
        <f t="shared" si="7"/>
        <v>4</v>
      </c>
      <c r="Z30" s="132">
        <f t="shared" si="7"/>
        <v>6</v>
      </c>
      <c r="AA30" s="132">
        <f t="shared" si="7"/>
        <v>6</v>
      </c>
      <c r="AB30" s="132">
        <f t="shared" si="7"/>
        <v>6</v>
      </c>
      <c r="AC30" s="132">
        <f t="shared" si="7"/>
        <v>6</v>
      </c>
      <c r="AD30" s="131">
        <f t="shared" si="7"/>
        <v>4.25</v>
      </c>
      <c r="AE30" s="131">
        <f t="shared" si="7"/>
        <v>172000</v>
      </c>
      <c r="AF30" s="132">
        <f t="shared" si="7"/>
        <v>6</v>
      </c>
      <c r="AG30" s="132">
        <f t="shared" si="7"/>
        <v>6</v>
      </c>
      <c r="AH30" s="131">
        <f t="shared" si="7"/>
        <v>6</v>
      </c>
      <c r="AI30" s="131">
        <f>SUM(AI10:AI21)</f>
        <v>205500</v>
      </c>
      <c r="AJ30" s="132">
        <f>SUM(AJ10:AJ29)</f>
        <v>7</v>
      </c>
      <c r="AK30" s="132">
        <f>SUM(AK10:AK29)</f>
        <v>7</v>
      </c>
      <c r="AL30" s="131">
        <f>SUM(AL10:AL29)</f>
        <v>7</v>
      </c>
      <c r="AM30" s="131">
        <f>SUM(AM10:AM28)</f>
        <v>268000</v>
      </c>
      <c r="AN30" s="132">
        <f>SUM(AN10:AN29)</f>
        <v>8</v>
      </c>
      <c r="AO30" s="132">
        <f>SUM(AO10:AO29)</f>
        <v>8</v>
      </c>
      <c r="AP30" s="131">
        <f>SUM(AP10:AP29)</f>
        <v>8</v>
      </c>
    </row>
  </sheetData>
  <mergeCells count="18">
    <mergeCell ref="B2:B3"/>
    <mergeCell ref="B7:B9"/>
    <mergeCell ref="B5:P5"/>
    <mergeCell ref="AE7:AH7"/>
    <mergeCell ref="AN8:AP8"/>
    <mergeCell ref="AI7:AL7"/>
    <mergeCell ref="D8:P8"/>
    <mergeCell ref="AF8:AH8"/>
    <mergeCell ref="AI8:AI9"/>
    <mergeCell ref="AJ8:AL8"/>
    <mergeCell ref="AE8:AE9"/>
    <mergeCell ref="C8:C9"/>
    <mergeCell ref="AM7:AP7"/>
    <mergeCell ref="R8:AD8"/>
    <mergeCell ref="AM8:AM9"/>
    <mergeCell ref="C7:P7"/>
    <mergeCell ref="Q8:Q9"/>
    <mergeCell ref="Q7:AD7"/>
  </mergeCells>
  <dataValidations count="1">
    <dataValidation type="whole" operator="greaterThanOrEqual" allowBlank="1" showInputMessage="1" showErrorMessage="1" sqref="D10:O13 D16:O29 Q10:AC10 AE10:AG10 AJ10:AK10 AN10:AO10" xr:uid="{00000000-0002-0000-0300-000000000000}">
      <formula1>0</formula1>
    </dataValidation>
  </dataValidations>
  <pageMargins left="0.7" right="0.7" top="0.75" bottom="0.75" header="0.3" footer="0.3"/>
  <pageSetup paperSize="9" orientation="portrait"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7">
    <tabColor theme="3" tint="0.79998168889431442"/>
  </sheetPr>
  <dimension ref="B2:BK42"/>
  <sheetViews>
    <sheetView showGridLines="0" zoomScale="85" zoomScaleNormal="85" workbookViewId="0">
      <pane xSplit="2" topLeftCell="C1" activePane="topRight" state="frozen"/>
      <selection activeCell="I35" sqref="I35"/>
      <selection pane="topRight" activeCell="K9" sqref="K9"/>
    </sheetView>
  </sheetViews>
  <sheetFormatPr baseColWidth="10" defaultColWidth="11.5" defaultRowHeight="15" x14ac:dyDescent="0.2"/>
  <cols>
    <col min="1" max="1" width="3.5" customWidth="1"/>
    <col min="2" max="2" width="35.6640625" style="8" customWidth="1"/>
    <col min="3" max="3" width="12.5" customWidth="1"/>
    <col min="63" max="63" width="3.5" customWidth="1"/>
  </cols>
  <sheetData>
    <row r="2" spans="2:63" x14ac:dyDescent="0.2">
      <c r="B2" s="168" t="s">
        <v>98</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row>
    <row r="3" spans="2:63" x14ac:dyDescent="0.2">
      <c r="B3" s="169"/>
      <c r="C3" s="116"/>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row>
    <row r="4" spans="2:63" x14ac:dyDescent="0.2">
      <c r="B4" s="115"/>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row>
    <row r="5" spans="2:63" x14ac:dyDescent="0.2">
      <c r="B5" s="175" t="s">
        <v>99</v>
      </c>
      <c r="C5" s="157"/>
      <c r="D5" s="157"/>
      <c r="E5" s="157"/>
      <c r="F5" s="157"/>
      <c r="G5" s="157"/>
      <c r="H5" s="157"/>
      <c r="I5" s="157"/>
      <c r="J5" s="157"/>
      <c r="K5" s="157"/>
      <c r="L5" s="157"/>
      <c r="M5" s="157"/>
      <c r="N5" s="157"/>
      <c r="O5" s="158"/>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row>
    <row r="6" spans="2:63" x14ac:dyDescent="0.2">
      <c r="B6" s="115"/>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row>
    <row r="7" spans="2:63" x14ac:dyDescent="0.2">
      <c r="B7" s="71"/>
      <c r="C7" s="174" t="s">
        <v>77</v>
      </c>
      <c r="D7" s="157"/>
      <c r="E7" s="157"/>
      <c r="F7" s="157"/>
      <c r="G7" s="157"/>
      <c r="H7" s="157"/>
      <c r="I7" s="157"/>
      <c r="J7" s="157"/>
      <c r="K7" s="157"/>
      <c r="L7" s="157"/>
      <c r="M7" s="157"/>
      <c r="N7" s="158"/>
      <c r="O7" s="174" t="s">
        <v>78</v>
      </c>
      <c r="P7" s="157"/>
      <c r="Q7" s="157"/>
      <c r="R7" s="157"/>
      <c r="S7" s="157"/>
      <c r="T7" s="157"/>
      <c r="U7" s="157"/>
      <c r="V7" s="157"/>
      <c r="W7" s="157"/>
      <c r="X7" s="157"/>
      <c r="Y7" s="157"/>
      <c r="Z7" s="158"/>
      <c r="AA7" s="174" t="s">
        <v>79</v>
      </c>
      <c r="AB7" s="157"/>
      <c r="AC7" s="157"/>
      <c r="AD7" s="157"/>
      <c r="AE7" s="157"/>
      <c r="AF7" s="157"/>
      <c r="AG7" s="157"/>
      <c r="AH7" s="157"/>
      <c r="AI7" s="157"/>
      <c r="AJ7" s="157"/>
      <c r="AK7" s="157"/>
      <c r="AL7" s="158"/>
      <c r="AM7" s="174" t="s">
        <v>80</v>
      </c>
      <c r="AN7" s="157"/>
      <c r="AO7" s="157"/>
      <c r="AP7" s="157"/>
      <c r="AQ7" s="157"/>
      <c r="AR7" s="157"/>
      <c r="AS7" s="157"/>
      <c r="AT7" s="157"/>
      <c r="AU7" s="157"/>
      <c r="AV7" s="157"/>
      <c r="AW7" s="157"/>
      <c r="AX7" s="158"/>
      <c r="AY7" s="174" t="s">
        <v>81</v>
      </c>
      <c r="AZ7" s="157"/>
      <c r="BA7" s="157"/>
      <c r="BB7" s="157"/>
      <c r="BC7" s="157"/>
      <c r="BD7" s="157"/>
      <c r="BE7" s="157"/>
      <c r="BF7" s="157"/>
      <c r="BG7" s="157"/>
      <c r="BH7" s="157"/>
      <c r="BI7" s="157"/>
      <c r="BJ7" s="158"/>
      <c r="BK7" s="70"/>
    </row>
    <row r="8" spans="2:63" x14ac:dyDescent="0.2">
      <c r="B8" s="144" t="s">
        <v>100</v>
      </c>
      <c r="C8" s="55">
        <f>Config!$C$7</f>
        <v>46388</v>
      </c>
      <c r="D8" s="55">
        <f t="shared" ref="D8:AI8" si="0">DATE(YEAR(C8),MONTH(C8)+1,DAY(C8))</f>
        <v>46419</v>
      </c>
      <c r="E8" s="55">
        <f t="shared" si="0"/>
        <v>46447</v>
      </c>
      <c r="F8" s="55">
        <f t="shared" si="0"/>
        <v>46478</v>
      </c>
      <c r="G8" s="55">
        <f t="shared" si="0"/>
        <v>46508</v>
      </c>
      <c r="H8" s="55">
        <f t="shared" si="0"/>
        <v>46539</v>
      </c>
      <c r="I8" s="55">
        <f t="shared" si="0"/>
        <v>46569</v>
      </c>
      <c r="J8" s="55">
        <f t="shared" si="0"/>
        <v>46600</v>
      </c>
      <c r="K8" s="55">
        <f t="shared" si="0"/>
        <v>46631</v>
      </c>
      <c r="L8" s="55">
        <f t="shared" si="0"/>
        <v>46661</v>
      </c>
      <c r="M8" s="55">
        <f t="shared" si="0"/>
        <v>46692</v>
      </c>
      <c r="N8" s="55">
        <f t="shared" si="0"/>
        <v>46722</v>
      </c>
      <c r="O8" s="55">
        <f t="shared" si="0"/>
        <v>46753</v>
      </c>
      <c r="P8" s="55">
        <f t="shared" si="0"/>
        <v>46784</v>
      </c>
      <c r="Q8" s="55">
        <f t="shared" si="0"/>
        <v>46813</v>
      </c>
      <c r="R8" s="55">
        <f t="shared" si="0"/>
        <v>46844</v>
      </c>
      <c r="S8" s="55">
        <f t="shared" si="0"/>
        <v>46874</v>
      </c>
      <c r="T8" s="55">
        <f t="shared" si="0"/>
        <v>46905</v>
      </c>
      <c r="U8" s="55">
        <f t="shared" si="0"/>
        <v>46935</v>
      </c>
      <c r="V8" s="55">
        <f t="shared" si="0"/>
        <v>46966</v>
      </c>
      <c r="W8" s="55">
        <f t="shared" si="0"/>
        <v>46997</v>
      </c>
      <c r="X8" s="55">
        <f t="shared" si="0"/>
        <v>47027</v>
      </c>
      <c r="Y8" s="55">
        <f t="shared" si="0"/>
        <v>47058</v>
      </c>
      <c r="Z8" s="55">
        <f t="shared" si="0"/>
        <v>47088</v>
      </c>
      <c r="AA8" s="55">
        <f t="shared" si="0"/>
        <v>47119</v>
      </c>
      <c r="AB8" s="55">
        <f t="shared" si="0"/>
        <v>47150</v>
      </c>
      <c r="AC8" s="55">
        <f t="shared" si="0"/>
        <v>47178</v>
      </c>
      <c r="AD8" s="55">
        <f t="shared" si="0"/>
        <v>47209</v>
      </c>
      <c r="AE8" s="55">
        <f t="shared" si="0"/>
        <v>47239</v>
      </c>
      <c r="AF8" s="55">
        <f t="shared" si="0"/>
        <v>47270</v>
      </c>
      <c r="AG8" s="55">
        <f t="shared" si="0"/>
        <v>47300</v>
      </c>
      <c r="AH8" s="55">
        <f t="shared" si="0"/>
        <v>47331</v>
      </c>
      <c r="AI8" s="55">
        <f t="shared" si="0"/>
        <v>47362</v>
      </c>
      <c r="AJ8" s="55">
        <f t="shared" ref="AJ8:BJ8" si="1">DATE(YEAR(AI8),MONTH(AI8)+1,DAY(AI8))</f>
        <v>47392</v>
      </c>
      <c r="AK8" s="55">
        <f t="shared" si="1"/>
        <v>47423</v>
      </c>
      <c r="AL8" s="55">
        <f t="shared" si="1"/>
        <v>47453</v>
      </c>
      <c r="AM8" s="55">
        <f t="shared" si="1"/>
        <v>47484</v>
      </c>
      <c r="AN8" s="55">
        <f t="shared" si="1"/>
        <v>47515</v>
      </c>
      <c r="AO8" s="55">
        <f t="shared" si="1"/>
        <v>47543</v>
      </c>
      <c r="AP8" s="55">
        <f t="shared" si="1"/>
        <v>47574</v>
      </c>
      <c r="AQ8" s="55">
        <f t="shared" si="1"/>
        <v>47604</v>
      </c>
      <c r="AR8" s="55">
        <f t="shared" si="1"/>
        <v>47635</v>
      </c>
      <c r="AS8" s="55">
        <f t="shared" si="1"/>
        <v>47665</v>
      </c>
      <c r="AT8" s="55">
        <f t="shared" si="1"/>
        <v>47696</v>
      </c>
      <c r="AU8" s="55">
        <f t="shared" si="1"/>
        <v>47727</v>
      </c>
      <c r="AV8" s="55">
        <f t="shared" si="1"/>
        <v>47757</v>
      </c>
      <c r="AW8" s="55">
        <f t="shared" si="1"/>
        <v>47788</v>
      </c>
      <c r="AX8" s="55">
        <f t="shared" si="1"/>
        <v>47818</v>
      </c>
      <c r="AY8" s="55">
        <f t="shared" si="1"/>
        <v>47849</v>
      </c>
      <c r="AZ8" s="55">
        <f t="shared" si="1"/>
        <v>47880</v>
      </c>
      <c r="BA8" s="55">
        <f t="shared" si="1"/>
        <v>47908</v>
      </c>
      <c r="BB8" s="55">
        <f t="shared" si="1"/>
        <v>47939</v>
      </c>
      <c r="BC8" s="55">
        <f t="shared" si="1"/>
        <v>47969</v>
      </c>
      <c r="BD8" s="55">
        <f t="shared" si="1"/>
        <v>48000</v>
      </c>
      <c r="BE8" s="55">
        <f t="shared" si="1"/>
        <v>48030</v>
      </c>
      <c r="BF8" s="55">
        <f t="shared" si="1"/>
        <v>48061</v>
      </c>
      <c r="BG8" s="55">
        <f t="shared" si="1"/>
        <v>48092</v>
      </c>
      <c r="BH8" s="55">
        <f t="shared" si="1"/>
        <v>48122</v>
      </c>
      <c r="BI8" s="55">
        <f t="shared" si="1"/>
        <v>48153</v>
      </c>
      <c r="BJ8" s="55">
        <f t="shared" si="1"/>
        <v>48183</v>
      </c>
      <c r="BK8" s="70"/>
    </row>
    <row r="9" spans="2:63" x14ac:dyDescent="0.2">
      <c r="B9" s="46" t="str">
        <f>Config!$B$14</f>
        <v>Vente d'abonnement mensuel (30 Shots)</v>
      </c>
      <c r="C9" s="67">
        <f>((Config!$F32*Commandes!C9)+IF(ROUND((C$8-Config!$C$7)/31,0)&gt;=(Config!$D32+Config!$E32),INDEX(Commandes!$C9:'Commandes'!$BJ9,,COLUMN(C$8)-COLUMN($C$8)+1-(Config!$D32+Config!$E32)),0)*(1-Config!$F32))*Config!$C32</f>
        <v>0</v>
      </c>
      <c r="D9" s="67">
        <f>((Config!$F32*Commandes!D9)+IF(ROUND((D$8-Config!$C$7)/31,0)&gt;=(Config!$D32+Config!$E32),INDEX(Commandes!$C9:'Commandes'!$BJ9,,COLUMN(D$8)-COLUMN($C$8)+1-(Config!$D32+Config!$E32)),0)*(1-Config!$F32))*Config!$C32</f>
        <v>0</v>
      </c>
      <c r="E9" s="67">
        <f>((Config!$F32*Commandes!E9)+IF(ROUND((E$8-Config!$C$7)/31,0)&gt;=(Config!$D32+Config!$E32),INDEX(Commandes!$C9:'Commandes'!$BJ9,,COLUMN(E$8)-COLUMN($C$8)+1-(Config!$D32+Config!$E32)),0)*(1-Config!$F32))*Config!$C32</f>
        <v>315</v>
      </c>
      <c r="F9" s="67">
        <f>((Config!$F32*Commandes!F9)+IF(ROUND((F$8-Config!$C$7)/31,0)&gt;=(Config!$D32+Config!$E32),INDEX(Commandes!$C9:'Commandes'!$BJ9,,COLUMN(F$8)-COLUMN($C$8)+1-(Config!$D32+Config!$E32)),0)*(1-Config!$F32))*Config!$C32</f>
        <v>787.5</v>
      </c>
      <c r="G9" s="67">
        <f>((Config!$F32*Commandes!G9)+IF(ROUND((G$8-Config!$C$7)/31,0)&gt;=(Config!$D32+Config!$E32),INDEX(Commandes!$C9:'Commandes'!$BJ9,,COLUMN(G$8)-COLUMN($C$8)+1-(Config!$D32+Config!$E32)),0)*(1-Config!$F32))*Config!$C32</f>
        <v>1417.5</v>
      </c>
      <c r="H9" s="67">
        <f>((Config!$F32*Commandes!H9)+IF(ROUND((H$8-Config!$C$7)/31,0)&gt;=(Config!$D32+Config!$E32),INDEX(Commandes!$C9:'Commandes'!$BJ9,,COLUMN(H$8)-COLUMN($C$8)+1-(Config!$D32+Config!$E32)),0)*(1-Config!$F32))*Config!$C32</f>
        <v>2205</v>
      </c>
      <c r="I9" s="67">
        <f>((Config!$F32*Commandes!I9)+IF(ROUND((I$8-Config!$C$7)/31,0)&gt;=(Config!$D32+Config!$E32),INDEX(Commandes!$C9:'Commandes'!$BJ9,,COLUMN(I$8)-COLUMN($C$8)+1-(Config!$D32+Config!$E32)),0)*(1-Config!$F32))*Config!$C32</f>
        <v>3150</v>
      </c>
      <c r="J9" s="67">
        <f>((Config!$F32*Commandes!J9)+IF(ROUND((J$8-Config!$C$7)/31,0)&gt;=(Config!$D32+Config!$E32),INDEX(Commandes!$C9:'Commandes'!$BJ9,,COLUMN(J$8)-COLUMN($C$8)+1-(Config!$D32+Config!$E32)),0)*(1-Config!$F32))*Config!$C32</f>
        <v>3780</v>
      </c>
      <c r="K9" s="67">
        <f>((Config!$F32*Commandes!K9)+IF(ROUND((K$8-Config!$C$7)/31,0)&gt;=(Config!$D32+Config!$E32),INDEX(Commandes!$C9:'Commandes'!$BJ9,,COLUMN(K$8)-COLUMN($C$8)+1-(Config!$D32+Config!$E32)),0)*(1-Config!$F32))*Config!$C32</f>
        <v>4410</v>
      </c>
      <c r="L9" s="67">
        <f>((Config!$F32*Commandes!L9)+IF(ROUND((L$8-Config!$C$7)/31,0)&gt;=(Config!$D32+Config!$E32),INDEX(Commandes!$C9:'Commandes'!$BJ9,,COLUMN(L$8)-COLUMN($C$8)+1-(Config!$D32+Config!$E32)),0)*(1-Config!$F32))*Config!$C32</f>
        <v>5670</v>
      </c>
      <c r="M9" s="67">
        <f>((Config!$F32*Commandes!M9)+IF(ROUND((M$8-Config!$C$7)/31,0)&gt;=(Config!$D32+Config!$E32),INDEX(Commandes!$C9:'Commandes'!$BJ9,,COLUMN(M$8)-COLUMN($C$8)+1-(Config!$D32+Config!$E32)),0)*(1-Config!$F32))*Config!$C32</f>
        <v>6615</v>
      </c>
      <c r="N9" s="67">
        <f>((Config!$F32*Commandes!N9)+IF(ROUND((N$8-Config!$C$7)/31,0)&gt;=(Config!$D32+Config!$E32),INDEX(Commandes!$C9:'Commandes'!$BJ9,,COLUMN(N$8)-COLUMN($C$8)+1-(Config!$D32+Config!$E32)),0)*(1-Config!$F32))*Config!$C32</f>
        <v>7560</v>
      </c>
      <c r="O9" s="67">
        <f>((Config!$F32*Commandes!O9)+IF(ROUND((O$8-Config!$C$7)/31,0)&gt;=(Config!$D32+Config!$E32),INDEX(Commandes!$C9:'Commandes'!$BJ9,,COLUMN(O$8)-COLUMN($C$8)+1-(Config!$D32+Config!$E32)),0)*(1-Config!$F32))*Config!$C32</f>
        <v>8820</v>
      </c>
      <c r="P9" s="67">
        <f>((Config!$F32*Commandes!P9)+IF(ROUND((P$8-Config!$C$7)/31,0)&gt;=(Config!$D32+Config!$E32),INDEX(Commandes!$C9:'Commandes'!$BJ9,,COLUMN(P$8)-COLUMN($C$8)+1-(Config!$D32+Config!$E32)),0)*(1-Config!$F32))*Config!$C32</f>
        <v>9450</v>
      </c>
      <c r="Q9" s="67">
        <f>((Config!$F32*Commandes!Q9)+IF(ROUND((Q$8-Config!$C$7)/31,0)&gt;=(Config!$D32+Config!$E32),INDEX(Commandes!$C9:'Commandes'!$BJ9,,COLUMN(Q$8)-COLUMN($C$8)+1-(Config!$D32+Config!$E32)),0)*(1-Config!$F32))*Config!$C32</f>
        <v>10395</v>
      </c>
      <c r="R9" s="67">
        <f>((Config!$F32*Commandes!R9)+IF(ROUND((R$8-Config!$C$7)/31,0)&gt;=(Config!$D32+Config!$E32),INDEX(Commandes!$C9:'Commandes'!$BJ9,,COLUMN(R$8)-COLUMN($C$8)+1-(Config!$D32+Config!$E32)),0)*(1-Config!$F32))*Config!$C32</f>
        <v>11340</v>
      </c>
      <c r="S9" s="67">
        <f>((Config!$F32*Commandes!S9)+IF(ROUND((S$8-Config!$C$7)/31,0)&gt;=(Config!$D32+Config!$E32),INDEX(Commandes!$C9:'Commandes'!$BJ9,,COLUMN(S$8)-COLUMN($C$8)+1-(Config!$D32+Config!$E32)),0)*(1-Config!$F32))*Config!$C32</f>
        <v>12600</v>
      </c>
      <c r="T9" s="67">
        <f>((Config!$F32*Commandes!T9)+IF(ROUND((T$8-Config!$C$7)/31,0)&gt;=(Config!$D32+Config!$E32),INDEX(Commandes!$C9:'Commandes'!$BJ9,,COLUMN(T$8)-COLUMN($C$8)+1-(Config!$D32+Config!$E32)),0)*(1-Config!$F32))*Config!$C32</f>
        <v>14175</v>
      </c>
      <c r="U9" s="67">
        <f>((Config!$F32*Commandes!U9)+IF(ROUND((U$8-Config!$C$7)/31,0)&gt;=(Config!$D32+Config!$E32),INDEX(Commandes!$C9:'Commandes'!$BJ9,,COLUMN(U$8)-COLUMN($C$8)+1-(Config!$D32+Config!$E32)),0)*(1-Config!$F32))*Config!$C32</f>
        <v>15750</v>
      </c>
      <c r="V9" s="67">
        <f>((Config!$F32*Commandes!V9)+IF(ROUND((V$8-Config!$C$7)/31,0)&gt;=(Config!$D32+Config!$E32),INDEX(Commandes!$C9:'Commandes'!$BJ9,,COLUMN(V$8)-COLUMN($C$8)+1-(Config!$D32+Config!$E32)),0)*(1-Config!$F32))*Config!$C32</f>
        <v>17010</v>
      </c>
      <c r="W9" s="67">
        <f>((Config!$F32*Commandes!W9)+IF(ROUND((W$8-Config!$C$7)/31,0)&gt;=(Config!$D32+Config!$E32),INDEX(Commandes!$C9:'Commandes'!$BJ9,,COLUMN(W$8)-COLUMN($C$8)+1-(Config!$D32+Config!$E32)),0)*(1-Config!$F32))*Config!$C32</f>
        <v>17955</v>
      </c>
      <c r="X9" s="67">
        <f>((Config!$F32*Commandes!X9)+IF(ROUND((X$8-Config!$C$7)/31,0)&gt;=(Config!$D32+Config!$E32),INDEX(Commandes!$C9:'Commandes'!$BJ9,,COLUMN(X$8)-COLUMN($C$8)+1-(Config!$D32+Config!$E32)),0)*(1-Config!$F32))*Config!$C32</f>
        <v>20475</v>
      </c>
      <c r="Y9" s="67">
        <f>((Config!$F32*Commandes!Y9)+IF(ROUND((Y$8-Config!$C$7)/31,0)&gt;=(Config!$D32+Config!$E32),INDEX(Commandes!$C9:'Commandes'!$BJ9,,COLUMN(Y$8)-COLUMN($C$8)+1-(Config!$D32+Config!$E32)),0)*(1-Config!$F32))*Config!$C32</f>
        <v>22050</v>
      </c>
      <c r="Z9" s="67">
        <f>((Config!$F32*Commandes!Z9)+IF(ROUND((Z$8-Config!$C$7)/31,0)&gt;=(Config!$D32+Config!$E32),INDEX(Commandes!$C9:'Commandes'!$BJ9,,COLUMN(Z$8)-COLUMN($C$8)+1-(Config!$D32+Config!$E32)),0)*(1-Config!$F32))*Config!$C32</f>
        <v>23625</v>
      </c>
      <c r="AA9" s="67">
        <f>((Config!$F32*Commandes!AA9)+IF(ROUND((AA$8-Config!$C$7)/31,0)&gt;=(Config!$D32+Config!$E32),INDEX(Commandes!$C9:'Commandes'!$BJ9,,COLUMN(AA$8)-COLUMN($C$8)+1-(Config!$D32+Config!$E32)),0)*(1-Config!$F32))*Config!$C32</f>
        <v>25200</v>
      </c>
      <c r="AB9" s="67">
        <f>((Config!$F32*Commandes!AB9)+IF(ROUND((AB$8-Config!$C$7)/31,0)&gt;=(Config!$D32+Config!$E32),INDEX(Commandes!$C9:'Commandes'!$BJ9,,COLUMN(AB$8)-COLUMN($C$8)+1-(Config!$D32+Config!$E32)),0)*(1-Config!$F32))*Config!$C32</f>
        <v>26775</v>
      </c>
      <c r="AC9" s="67">
        <f>((Config!$F32*Commandes!AC9)+IF(ROUND((AC$8-Config!$C$7)/31,0)&gt;=(Config!$D32+Config!$E32),INDEX(Commandes!$C9:'Commandes'!$BJ9,,COLUMN(AC$8)-COLUMN($C$8)+1-(Config!$D32+Config!$E32)),0)*(1-Config!$F32))*Config!$C32</f>
        <v>27720</v>
      </c>
      <c r="AD9" s="67">
        <f>((Config!$F32*Commandes!AD9)+IF(ROUND((AD$8-Config!$C$7)/31,0)&gt;=(Config!$D32+Config!$E32),INDEX(Commandes!$C9:'Commandes'!$BJ9,,COLUMN(AD$8)-COLUMN($C$8)+1-(Config!$D32+Config!$E32)),0)*(1-Config!$F32))*Config!$C32</f>
        <v>28665</v>
      </c>
      <c r="AE9" s="67">
        <f>((Config!$F32*Commandes!AE9)+IF(ROUND((AE$8-Config!$C$7)/31,0)&gt;=(Config!$D32+Config!$E32),INDEX(Commandes!$C9:'Commandes'!$BJ9,,COLUMN(AE$8)-COLUMN($C$8)+1-(Config!$D32+Config!$E32)),0)*(1-Config!$F32))*Config!$C32</f>
        <v>29925</v>
      </c>
      <c r="AF9" s="67">
        <f>((Config!$F32*Commandes!AF9)+IF(ROUND((AF$8-Config!$C$7)/31,0)&gt;=(Config!$D32+Config!$E32),INDEX(Commandes!$C9:'Commandes'!$BJ9,,COLUMN(AF$8)-COLUMN($C$8)+1-(Config!$D32+Config!$E32)),0)*(1-Config!$F32))*Config!$C32</f>
        <v>31500</v>
      </c>
      <c r="AG9" s="67">
        <f>((Config!$F32*Commandes!AG9)+IF(ROUND((AG$8-Config!$C$7)/31,0)&gt;=(Config!$D32+Config!$E32),INDEX(Commandes!$C9:'Commandes'!$BJ9,,COLUMN(AG$8)-COLUMN($C$8)+1-(Config!$D32+Config!$E32)),0)*(1-Config!$F32))*Config!$C32</f>
        <v>33075</v>
      </c>
      <c r="AH9" s="67">
        <f>((Config!$F32*Commandes!AH9)+IF(ROUND((AH$8-Config!$C$7)/31,0)&gt;=(Config!$D32+Config!$E32),INDEX(Commandes!$C9:'Commandes'!$BJ9,,COLUMN(AH$8)-COLUMN($C$8)+1-(Config!$D32+Config!$E32)),0)*(1-Config!$F32))*Config!$C32</f>
        <v>34020</v>
      </c>
      <c r="AI9" s="67">
        <f>((Config!$F32*Commandes!AI9)+IF(ROUND((AI$8-Config!$C$7)/31,0)&gt;=(Config!$D32+Config!$E32),INDEX(Commandes!$C9:'Commandes'!$BJ9,,COLUMN(AI$8)-COLUMN($C$8)+1-(Config!$D32+Config!$E32)),0)*(1-Config!$F32))*Config!$C32</f>
        <v>34650</v>
      </c>
      <c r="AJ9" s="67">
        <f>((Config!$F32*Commandes!AJ9)+IF(ROUND((AJ$8-Config!$C$7)/31,0)&gt;=(Config!$D32+Config!$E32),INDEX(Commandes!$C9:'Commandes'!$BJ9,,COLUMN(AJ$8)-COLUMN($C$8)+1-(Config!$D32+Config!$E32)),0)*(1-Config!$F32))*Config!$C32</f>
        <v>36225</v>
      </c>
      <c r="AK9" s="67">
        <f>((Config!$F32*Commandes!AK9)+IF(ROUND((AK$8-Config!$C$7)/31,0)&gt;=(Config!$D32+Config!$E32),INDEX(Commandes!$C9:'Commandes'!$BJ9,,COLUMN(AK$8)-COLUMN($C$8)+1-(Config!$D32+Config!$E32)),0)*(1-Config!$F32))*Config!$C32</f>
        <v>37800</v>
      </c>
      <c r="AL9" s="67">
        <f>((Config!$F32*Commandes!AL9)+IF(ROUND((AL$8-Config!$C$7)/31,0)&gt;=(Config!$D32+Config!$E32),INDEX(Commandes!$C9:'Commandes'!$BJ9,,COLUMN(AL$8)-COLUMN($C$8)+1-(Config!$D32+Config!$E32)),0)*(1-Config!$F32))*Config!$C32</f>
        <v>39375</v>
      </c>
      <c r="AM9" s="67">
        <f>((Config!$F32*Commandes!AM9)+IF(ROUND((AM$8-Config!$C$7)/31,0)&gt;=(Config!$D32+Config!$E32),INDEX(Commandes!$C9:'Commandes'!$BJ9,,COLUMN(AM$8)-COLUMN($C$8)+1-(Config!$D32+Config!$E32)),0)*(1-Config!$F32))*Config!$C32</f>
        <v>40950</v>
      </c>
      <c r="AN9" s="67">
        <f>((Config!$F32*Commandes!AN9)+IF(ROUND((AN$8-Config!$C$7)/31,0)&gt;=(Config!$D32+Config!$E32),INDEX(Commandes!$C9:'Commandes'!$BJ9,,COLUMN(AN$8)-COLUMN($C$8)+1-(Config!$D32+Config!$E32)),0)*(1-Config!$F32))*Config!$C32</f>
        <v>42525</v>
      </c>
      <c r="AO9" s="67">
        <f>((Config!$F32*Commandes!AO9)+IF(ROUND((AO$8-Config!$C$7)/31,0)&gt;=(Config!$D32+Config!$E32),INDEX(Commandes!$C9:'Commandes'!$BJ9,,COLUMN(AO$8)-COLUMN($C$8)+1-(Config!$D32+Config!$E32)),0)*(1-Config!$F32))*Config!$C32</f>
        <v>43470</v>
      </c>
      <c r="AP9" s="67">
        <f>((Config!$F32*Commandes!AP9)+IF(ROUND((AP$8-Config!$C$7)/31,0)&gt;=(Config!$D32+Config!$E32),INDEX(Commandes!$C9:'Commandes'!$BJ9,,COLUMN(AP$8)-COLUMN($C$8)+1-(Config!$D32+Config!$E32)),0)*(1-Config!$F32))*Config!$C32</f>
        <v>44730</v>
      </c>
      <c r="AQ9" s="67">
        <f>((Config!$F32*Commandes!AQ9)+IF(ROUND((AQ$8-Config!$C$7)/31,0)&gt;=(Config!$D32+Config!$E32),INDEX(Commandes!$C9:'Commandes'!$BJ9,,COLUMN(AQ$8)-COLUMN($C$8)+1-(Config!$D32+Config!$E32)),0)*(1-Config!$F32))*Config!$C32</f>
        <v>46620</v>
      </c>
      <c r="AR9" s="67">
        <f>((Config!$F32*Commandes!AR9)+IF(ROUND((AR$8-Config!$C$7)/31,0)&gt;=(Config!$D32+Config!$E32),INDEX(Commandes!$C9:'Commandes'!$BJ9,,COLUMN(AR$8)-COLUMN($C$8)+1-(Config!$D32+Config!$E32)),0)*(1-Config!$F32))*Config!$C32</f>
        <v>48825</v>
      </c>
      <c r="AS9" s="67">
        <f>((Config!$F32*Commandes!AS9)+IF(ROUND((AS$8-Config!$C$7)/31,0)&gt;=(Config!$D32+Config!$E32),INDEX(Commandes!$C9:'Commandes'!$BJ9,,COLUMN(AS$8)-COLUMN($C$8)+1-(Config!$D32+Config!$E32)),0)*(1-Config!$F32))*Config!$C32</f>
        <v>51975</v>
      </c>
      <c r="AT9" s="67">
        <f>((Config!$F32*Commandes!AT9)+IF(ROUND((AT$8-Config!$C$7)/31,0)&gt;=(Config!$D32+Config!$E32),INDEX(Commandes!$C9:'Commandes'!$BJ9,,COLUMN(AT$8)-COLUMN($C$8)+1-(Config!$D32+Config!$E32)),0)*(1-Config!$F32))*Config!$C32</f>
        <v>53550</v>
      </c>
      <c r="AU9" s="67">
        <f>((Config!$F32*Commandes!AU9)+IF(ROUND((AU$8-Config!$C$7)/31,0)&gt;=(Config!$D32+Config!$E32),INDEX(Commandes!$C9:'Commandes'!$BJ9,,COLUMN(AU$8)-COLUMN($C$8)+1-(Config!$D32+Config!$E32)),0)*(1-Config!$F32))*Config!$C32</f>
        <v>55125</v>
      </c>
      <c r="AV9" s="67">
        <f>((Config!$F32*Commandes!AV9)+IF(ROUND((AV$8-Config!$C$7)/31,0)&gt;=(Config!$D32+Config!$E32),INDEX(Commandes!$C9:'Commandes'!$BJ9,,COLUMN(AV$8)-COLUMN($C$8)+1-(Config!$D32+Config!$E32)),0)*(1-Config!$F32))*Config!$C32</f>
        <v>58275</v>
      </c>
      <c r="AW9" s="67">
        <f>((Config!$F32*Commandes!AW9)+IF(ROUND((AW$8-Config!$C$7)/31,0)&gt;=(Config!$D32+Config!$E32),INDEX(Commandes!$C9:'Commandes'!$BJ9,,COLUMN(AW$8)-COLUMN($C$8)+1-(Config!$D32+Config!$E32)),0)*(1-Config!$F32))*Config!$C32</f>
        <v>61425</v>
      </c>
      <c r="AX9" s="67">
        <f>((Config!$F32*Commandes!AX9)+IF(ROUND((AX$8-Config!$C$7)/31,0)&gt;=(Config!$D32+Config!$E32),INDEX(Commandes!$C9:'Commandes'!$BJ9,,COLUMN(AX$8)-COLUMN($C$8)+1-(Config!$D32+Config!$E32)),0)*(1-Config!$F32))*Config!$C32</f>
        <v>64575</v>
      </c>
      <c r="AY9" s="67">
        <f>((Config!$F32*Commandes!AY9)+IF(ROUND((AY$8-Config!$C$7)/31,0)&gt;=(Config!$D32+Config!$E32),INDEX(Commandes!$C9:'Commandes'!$BJ9,,COLUMN(AY$8)-COLUMN($C$8)+1-(Config!$D32+Config!$E32)),0)*(1-Config!$F32))*Config!$C32</f>
        <v>67725</v>
      </c>
      <c r="AZ9" s="67">
        <f>((Config!$F32*Commandes!AZ9)+IF(ROUND((AZ$8-Config!$C$7)/31,0)&gt;=(Config!$D32+Config!$E32),INDEX(Commandes!$C9:'Commandes'!$BJ9,,COLUMN(AZ$8)-COLUMN($C$8)+1-(Config!$D32+Config!$E32)),0)*(1-Config!$F32))*Config!$C32</f>
        <v>69300</v>
      </c>
      <c r="BA9" s="67">
        <f>((Config!$F32*Commandes!BA9)+IF(ROUND((BA$8-Config!$C$7)/31,0)&gt;=(Config!$D32+Config!$E32),INDEX(Commandes!$C9:'Commandes'!$BJ9,,COLUMN(BA$8)-COLUMN($C$8)+1-(Config!$D32+Config!$E32)),0)*(1-Config!$F32))*Config!$C32</f>
        <v>70875</v>
      </c>
      <c r="BB9" s="67">
        <f>((Config!$F32*Commandes!BB9)+IF(ROUND((BB$8-Config!$C$7)/31,0)&gt;=(Config!$D32+Config!$E32),INDEX(Commandes!$C9:'Commandes'!$BJ9,,COLUMN(BB$8)-COLUMN($C$8)+1-(Config!$D32+Config!$E32)),0)*(1-Config!$F32))*Config!$C32</f>
        <v>72450</v>
      </c>
      <c r="BC9" s="67">
        <f>((Config!$F32*Commandes!BC9)+IF(ROUND((BC$8-Config!$C$7)/31,0)&gt;=(Config!$D32+Config!$E32),INDEX(Commandes!$C9:'Commandes'!$BJ9,,COLUMN(BC$8)-COLUMN($C$8)+1-(Config!$D32+Config!$E32)),0)*(1-Config!$F32))*Config!$C32</f>
        <v>75600</v>
      </c>
      <c r="BD9" s="67">
        <f>((Config!$F32*Commandes!BD9)+IF(ROUND((BD$8-Config!$C$7)/31,0)&gt;=(Config!$D32+Config!$E32),INDEX(Commandes!$C9:'Commandes'!$BJ9,,COLUMN(BD$8)-COLUMN($C$8)+1-(Config!$D32+Config!$E32)),0)*(1-Config!$F32))*Config!$C32</f>
        <v>78750</v>
      </c>
      <c r="BE9" s="67">
        <f>((Config!$F32*Commandes!BE9)+IF(ROUND((BE$8-Config!$C$7)/31,0)&gt;=(Config!$D32+Config!$E32),INDEX(Commandes!$C9:'Commandes'!$BJ9,,COLUMN(BE$8)-COLUMN($C$8)+1-(Config!$D32+Config!$E32)),0)*(1-Config!$F32))*Config!$C32</f>
        <v>83475</v>
      </c>
      <c r="BF9" s="67">
        <f>((Config!$F32*Commandes!BF9)+IF(ROUND((BF$8-Config!$C$7)/31,0)&gt;=(Config!$D32+Config!$E32),INDEX(Commandes!$C9:'Commandes'!$BJ9,,COLUMN(BF$8)-COLUMN($C$8)+1-(Config!$D32+Config!$E32)),0)*(1-Config!$F32))*Config!$C32</f>
        <v>86625</v>
      </c>
      <c r="BG9" s="67">
        <f>((Config!$F32*Commandes!BG9)+IF(ROUND((BG$8-Config!$C$7)/31,0)&gt;=(Config!$D32+Config!$E32),INDEX(Commandes!$C9:'Commandes'!$BJ9,,COLUMN(BG$8)-COLUMN($C$8)+1-(Config!$D32+Config!$E32)),0)*(1-Config!$F32))*Config!$C32</f>
        <v>89775</v>
      </c>
      <c r="BH9" s="67">
        <f>((Config!$F32*Commandes!BH9)+IF(ROUND((BH$8-Config!$C$7)/31,0)&gt;=(Config!$D32+Config!$E32),INDEX(Commandes!$C9:'Commandes'!$BJ9,,COLUMN(BH$8)-COLUMN($C$8)+1-(Config!$D32+Config!$E32)),0)*(1-Config!$F32))*Config!$C32</f>
        <v>94500</v>
      </c>
      <c r="BI9" s="67">
        <f>((Config!$F32*Commandes!BI9)+IF(ROUND((BI$8-Config!$C$7)/31,0)&gt;=(Config!$D32+Config!$E32),INDEX(Commandes!$C9:'Commandes'!$BJ9,,COLUMN(BI$8)-COLUMN($C$8)+1-(Config!$D32+Config!$E32)),0)*(1-Config!$F32))*Config!$C32</f>
        <v>99225</v>
      </c>
      <c r="BJ9" s="67">
        <f>((Config!$F32*Commandes!BJ9)+IF(ROUND((BJ$8-Config!$C$7)/31,0)&gt;=(Config!$D32+Config!$E32),INDEX(Commandes!$C9:'Commandes'!$BJ9,,COLUMN(BJ$8)-COLUMN($C$8)+1-(Config!$D32+Config!$E32)),0)*(1-Config!$F32))*Config!$C32</f>
        <v>103950</v>
      </c>
      <c r="BK9" s="70"/>
    </row>
    <row r="10" spans="2:63" x14ac:dyDescent="0.2">
      <c r="B10" s="46" t="str">
        <f>Config!$B$15</f>
        <v>Vente de pack découverte (9 Shots)</v>
      </c>
      <c r="C10" s="67">
        <f>((Config!$F33*Commandes!C10)+IF(ROUND((C$8-Config!$C$7)/31,0)&gt;=(Config!$D33+Config!$E33),INDEX(Commandes!$C10:'Commandes'!$BJ10,,COLUMN(C$8)-COLUMN($C$8)+1-(Config!$D33+Config!$E33)),0)*(1-Config!$F33))*Config!$C33</f>
        <v>0</v>
      </c>
      <c r="D10" s="67">
        <f>((Config!$F33*Commandes!D10)+IF(ROUND((D$8-Config!$C$7)/31,0)&gt;=(Config!$D33+Config!$E33),INDEX(Commandes!$C10:'Commandes'!$BJ10,,COLUMN(D$8)-COLUMN($C$8)+1-(Config!$D33+Config!$E33)),0)*(1-Config!$F33))*Config!$C33</f>
        <v>425</v>
      </c>
      <c r="E10" s="67">
        <f>((Config!$F33*Commandes!E10)+IF(ROUND((E$8-Config!$C$7)/31,0)&gt;=(Config!$D33+Config!$E33),INDEX(Commandes!$C10:'Commandes'!$BJ10,,COLUMN(E$8)-COLUMN($C$8)+1-(Config!$D33+Config!$E33)),0)*(1-Config!$F33))*Config!$C33</f>
        <v>680</v>
      </c>
      <c r="F10" s="67">
        <f>((Config!$F33*Commandes!F10)+IF(ROUND((F$8-Config!$C$7)/31,0)&gt;=(Config!$D33+Config!$E33),INDEX(Commandes!$C10:'Commandes'!$BJ10,,COLUMN(F$8)-COLUMN($C$8)+1-(Config!$D33+Config!$E33)),0)*(1-Config!$F33))*Config!$C33</f>
        <v>1020</v>
      </c>
      <c r="G10" s="67">
        <f>((Config!$F33*Commandes!G10)+IF(ROUND((G$8-Config!$C$7)/31,0)&gt;=(Config!$D33+Config!$E33),INDEX(Commandes!$C10:'Commandes'!$BJ10,,COLUMN(G$8)-COLUMN($C$8)+1-(Config!$D33+Config!$E33)),0)*(1-Config!$F33))*Config!$C33</f>
        <v>1700</v>
      </c>
      <c r="H10" s="67">
        <f>((Config!$F33*Commandes!H10)+IF(ROUND((H$8-Config!$C$7)/31,0)&gt;=(Config!$D33+Config!$E33),INDEX(Commandes!$C10:'Commandes'!$BJ10,,COLUMN(H$8)-COLUMN($C$8)+1-(Config!$D33+Config!$E33)),0)*(1-Config!$F33))*Config!$C33</f>
        <v>2550</v>
      </c>
      <c r="I10" s="67">
        <f>((Config!$F33*Commandes!I10)+IF(ROUND((I$8-Config!$C$7)/31,0)&gt;=(Config!$D33+Config!$E33),INDEX(Commandes!$C10:'Commandes'!$BJ10,,COLUMN(I$8)-COLUMN($C$8)+1-(Config!$D33+Config!$E33)),0)*(1-Config!$F33))*Config!$C33</f>
        <v>2975</v>
      </c>
      <c r="J10" s="67">
        <f>((Config!$F33*Commandes!J10)+IF(ROUND((J$8-Config!$C$7)/31,0)&gt;=(Config!$D33+Config!$E33),INDEX(Commandes!$C10:'Commandes'!$BJ10,,COLUMN(J$8)-COLUMN($C$8)+1-(Config!$D33+Config!$E33)),0)*(1-Config!$F33))*Config!$C33</f>
        <v>2550</v>
      </c>
      <c r="K10" s="67">
        <f>((Config!$F33*Commandes!K10)+IF(ROUND((K$8-Config!$C$7)/31,0)&gt;=(Config!$D33+Config!$E33),INDEX(Commandes!$C10:'Commandes'!$BJ10,,COLUMN(K$8)-COLUMN($C$8)+1-(Config!$D33+Config!$E33)),0)*(1-Config!$F33))*Config!$C33</f>
        <v>1700</v>
      </c>
      <c r="L10" s="67">
        <f>((Config!$F33*Commandes!L10)+IF(ROUND((L$8-Config!$C$7)/31,0)&gt;=(Config!$D33+Config!$E33),INDEX(Commandes!$C10:'Commandes'!$BJ10,,COLUMN(L$8)-COLUMN($C$8)+1-(Config!$D33+Config!$E33)),0)*(1-Config!$F33))*Config!$C33</f>
        <v>3400</v>
      </c>
      <c r="M10" s="67">
        <f>((Config!$F33*Commandes!M10)+IF(ROUND((M$8-Config!$C$7)/31,0)&gt;=(Config!$D33+Config!$E33),INDEX(Commandes!$C10:'Commandes'!$BJ10,,COLUMN(M$8)-COLUMN($C$8)+1-(Config!$D33+Config!$E33)),0)*(1-Config!$F33))*Config!$C33</f>
        <v>2975</v>
      </c>
      <c r="N10" s="67">
        <f>((Config!$F33*Commandes!N10)+IF(ROUND((N$8-Config!$C$7)/31,0)&gt;=(Config!$D33+Config!$E33),INDEX(Commandes!$C10:'Commandes'!$BJ10,,COLUMN(N$8)-COLUMN($C$8)+1-(Config!$D33+Config!$E33)),0)*(1-Config!$F33))*Config!$C33</f>
        <v>2975</v>
      </c>
      <c r="O10" s="67">
        <f>((Config!$F33*Commandes!O10)+IF(ROUND((O$8-Config!$C$7)/31,0)&gt;=(Config!$D33+Config!$E33),INDEX(Commandes!$C10:'Commandes'!$BJ10,,COLUMN(O$8)-COLUMN($C$8)+1-(Config!$D33+Config!$E33)),0)*(1-Config!$F33))*Config!$C33</f>
        <v>4250</v>
      </c>
      <c r="P10" s="67">
        <f>((Config!$F33*Commandes!P10)+IF(ROUND((P$8-Config!$C$7)/31,0)&gt;=(Config!$D33+Config!$E33),INDEX(Commandes!$C10:'Commandes'!$BJ10,,COLUMN(P$8)-COLUMN($C$8)+1-(Config!$D33+Config!$E33)),0)*(1-Config!$F33))*Config!$C33</f>
        <v>3825</v>
      </c>
      <c r="Q10" s="67">
        <f>((Config!$F33*Commandes!Q10)+IF(ROUND((Q$8-Config!$C$7)/31,0)&gt;=(Config!$D33+Config!$E33),INDEX(Commandes!$C10:'Commandes'!$BJ10,,COLUMN(Q$8)-COLUMN($C$8)+1-(Config!$D33+Config!$E33)),0)*(1-Config!$F33))*Config!$C33</f>
        <v>3400</v>
      </c>
      <c r="R10" s="67">
        <f>((Config!$F33*Commandes!R10)+IF(ROUND((R$8-Config!$C$7)/31,0)&gt;=(Config!$D33+Config!$E33),INDEX(Commandes!$C10:'Commandes'!$BJ10,,COLUMN(R$8)-COLUMN($C$8)+1-(Config!$D33+Config!$E33)),0)*(1-Config!$F33))*Config!$C33</f>
        <v>3825</v>
      </c>
      <c r="S10" s="67">
        <f>((Config!$F33*Commandes!S10)+IF(ROUND((S$8-Config!$C$7)/31,0)&gt;=(Config!$D33+Config!$E33),INDEX(Commandes!$C10:'Commandes'!$BJ10,,COLUMN(S$8)-COLUMN($C$8)+1-(Config!$D33+Config!$E33)),0)*(1-Config!$F33))*Config!$C33</f>
        <v>4675</v>
      </c>
      <c r="T10" s="67">
        <f>((Config!$F33*Commandes!T10)+IF(ROUND((T$8-Config!$C$7)/31,0)&gt;=(Config!$D33+Config!$E33),INDEX(Commandes!$C10:'Commandes'!$BJ10,,COLUMN(T$8)-COLUMN($C$8)+1-(Config!$D33+Config!$E33)),0)*(1-Config!$F33))*Config!$C33</f>
        <v>5525</v>
      </c>
      <c r="U10" s="67">
        <f>((Config!$F33*Commandes!U10)+IF(ROUND((U$8-Config!$C$7)/31,0)&gt;=(Config!$D33+Config!$E33),INDEX(Commandes!$C10:'Commandes'!$BJ10,,COLUMN(U$8)-COLUMN($C$8)+1-(Config!$D33+Config!$E33)),0)*(1-Config!$F33))*Config!$C33</f>
        <v>5950</v>
      </c>
      <c r="V10" s="67">
        <f>((Config!$F33*Commandes!V10)+IF(ROUND((V$8-Config!$C$7)/31,0)&gt;=(Config!$D33+Config!$E33),INDEX(Commandes!$C10:'Commandes'!$BJ10,,COLUMN(V$8)-COLUMN($C$8)+1-(Config!$D33+Config!$E33)),0)*(1-Config!$F33))*Config!$C33</f>
        <v>5100</v>
      </c>
      <c r="W10" s="67">
        <f>((Config!$F33*Commandes!W10)+IF(ROUND((W$8-Config!$C$7)/31,0)&gt;=(Config!$D33+Config!$E33),INDEX(Commandes!$C10:'Commandes'!$BJ10,,COLUMN(W$8)-COLUMN($C$8)+1-(Config!$D33+Config!$E33)),0)*(1-Config!$F33))*Config!$C33</f>
        <v>4250</v>
      </c>
      <c r="X10" s="67">
        <f>((Config!$F33*Commandes!X10)+IF(ROUND((X$8-Config!$C$7)/31,0)&gt;=(Config!$D33+Config!$E33),INDEX(Commandes!$C10:'Commandes'!$BJ10,,COLUMN(X$8)-COLUMN($C$8)+1-(Config!$D33+Config!$E33)),0)*(1-Config!$F33))*Config!$C33</f>
        <v>6800</v>
      </c>
      <c r="Y10" s="67">
        <f>((Config!$F33*Commandes!Y10)+IF(ROUND((Y$8-Config!$C$7)/31,0)&gt;=(Config!$D33+Config!$E33),INDEX(Commandes!$C10:'Commandes'!$BJ10,,COLUMN(Y$8)-COLUMN($C$8)+1-(Config!$D33+Config!$E33)),0)*(1-Config!$F33))*Config!$C33</f>
        <v>5950</v>
      </c>
      <c r="Z10" s="67">
        <f>((Config!$F33*Commandes!Z10)+IF(ROUND((Z$8-Config!$C$7)/31,0)&gt;=(Config!$D33+Config!$E33),INDEX(Commandes!$C10:'Commandes'!$BJ10,,COLUMN(Z$8)-COLUMN($C$8)+1-(Config!$D33+Config!$E33)),0)*(1-Config!$F33))*Config!$C33</f>
        <v>5950</v>
      </c>
      <c r="AA10" s="67">
        <f>((Config!$F33*Commandes!AA10)+IF(ROUND((AA$8-Config!$C$7)/31,0)&gt;=(Config!$D33+Config!$E33),INDEX(Commandes!$C10:'Commandes'!$BJ10,,COLUMN(AA$8)-COLUMN($C$8)+1-(Config!$D33+Config!$E33)),0)*(1-Config!$F33))*Config!$C33</f>
        <v>7650</v>
      </c>
      <c r="AB10" s="67">
        <f>((Config!$F33*Commandes!AB10)+IF(ROUND((AB$8-Config!$C$7)/31,0)&gt;=(Config!$D33+Config!$E33),INDEX(Commandes!$C10:'Commandes'!$BJ10,,COLUMN(AB$8)-COLUMN($C$8)+1-(Config!$D33+Config!$E33)),0)*(1-Config!$F33))*Config!$C33</f>
        <v>7650</v>
      </c>
      <c r="AC10" s="67">
        <f>((Config!$F33*Commandes!AC10)+IF(ROUND((AC$8-Config!$C$7)/31,0)&gt;=(Config!$D33+Config!$E33),INDEX(Commandes!$C10:'Commandes'!$BJ10,,COLUMN(AC$8)-COLUMN($C$8)+1-(Config!$D33+Config!$E33)),0)*(1-Config!$F33))*Config!$C33</f>
        <v>6800</v>
      </c>
      <c r="AD10" s="67">
        <f>((Config!$F33*Commandes!AD10)+IF(ROUND((AD$8-Config!$C$7)/31,0)&gt;=(Config!$D33+Config!$E33),INDEX(Commandes!$C10:'Commandes'!$BJ10,,COLUMN(AD$8)-COLUMN($C$8)+1-(Config!$D33+Config!$E33)),0)*(1-Config!$F33))*Config!$C33</f>
        <v>7225</v>
      </c>
      <c r="AE10" s="67">
        <f>((Config!$F33*Commandes!AE10)+IF(ROUND((AE$8-Config!$C$7)/31,0)&gt;=(Config!$D33+Config!$E33),INDEX(Commandes!$C10:'Commandes'!$BJ10,,COLUMN(AE$8)-COLUMN($C$8)+1-(Config!$D33+Config!$E33)),0)*(1-Config!$F33))*Config!$C33</f>
        <v>8075</v>
      </c>
      <c r="AF10" s="67">
        <f>((Config!$F33*Commandes!AF10)+IF(ROUND((AF$8-Config!$C$7)/31,0)&gt;=(Config!$D33+Config!$E33),INDEX(Commandes!$C10:'Commandes'!$BJ10,,COLUMN(AF$8)-COLUMN($C$8)+1-(Config!$D33+Config!$E33)),0)*(1-Config!$F33))*Config!$C33</f>
        <v>9350</v>
      </c>
      <c r="AG10" s="67">
        <f>((Config!$F33*Commandes!AG10)+IF(ROUND((AG$8-Config!$C$7)/31,0)&gt;=(Config!$D33+Config!$E33),INDEX(Commandes!$C10:'Commandes'!$BJ10,,COLUMN(AG$8)-COLUMN($C$8)+1-(Config!$D33+Config!$E33)),0)*(1-Config!$F33))*Config!$C33</f>
        <v>10200</v>
      </c>
      <c r="AH10" s="67">
        <f>((Config!$F33*Commandes!AH10)+IF(ROUND((AH$8-Config!$C$7)/31,0)&gt;=(Config!$D33+Config!$E33),INDEX(Commandes!$C10:'Commandes'!$BJ10,,COLUMN(AH$8)-COLUMN($C$8)+1-(Config!$D33+Config!$E33)),0)*(1-Config!$F33))*Config!$C33</f>
        <v>8500</v>
      </c>
      <c r="AI10" s="67">
        <f>((Config!$F33*Commandes!AI10)+IF(ROUND((AI$8-Config!$C$7)/31,0)&gt;=(Config!$D33+Config!$E33),INDEX(Commandes!$C10:'Commandes'!$BJ10,,COLUMN(AI$8)-COLUMN($C$8)+1-(Config!$D33+Config!$E33)),0)*(1-Config!$F33))*Config!$C33</f>
        <v>7650</v>
      </c>
      <c r="AJ10" s="67">
        <f>((Config!$F33*Commandes!AJ10)+IF(ROUND((AJ$8-Config!$C$7)/31,0)&gt;=(Config!$D33+Config!$E33),INDEX(Commandes!$C10:'Commandes'!$BJ10,,COLUMN(AJ$8)-COLUMN($C$8)+1-(Config!$D33+Config!$E33)),0)*(1-Config!$F33))*Config!$C33</f>
        <v>11050</v>
      </c>
      <c r="AK10" s="67">
        <f>((Config!$F33*Commandes!AK10)+IF(ROUND((AK$8-Config!$C$7)/31,0)&gt;=(Config!$D33+Config!$E33),INDEX(Commandes!$C10:'Commandes'!$BJ10,,COLUMN(AK$8)-COLUMN($C$8)+1-(Config!$D33+Config!$E33)),0)*(1-Config!$F33))*Config!$C33</f>
        <v>9350</v>
      </c>
      <c r="AL10" s="67">
        <f>((Config!$F33*Commandes!AL10)+IF(ROUND((AL$8-Config!$C$7)/31,0)&gt;=(Config!$D33+Config!$E33),INDEX(Commandes!$C10:'Commandes'!$BJ10,,COLUMN(AL$8)-COLUMN($C$8)+1-(Config!$D33+Config!$E33)),0)*(1-Config!$F33))*Config!$C33</f>
        <v>9350</v>
      </c>
      <c r="AM10" s="67">
        <f>((Config!$F33*Commandes!AM10)+IF(ROUND((AM$8-Config!$C$7)/31,0)&gt;=(Config!$D33+Config!$E33),INDEX(Commandes!$C10:'Commandes'!$BJ10,,COLUMN(AM$8)-COLUMN($C$8)+1-(Config!$D33+Config!$E33)),0)*(1-Config!$F33))*Config!$C33</f>
        <v>12750</v>
      </c>
      <c r="AN10" s="67">
        <f>((Config!$F33*Commandes!AN10)+IF(ROUND((AN$8-Config!$C$7)/31,0)&gt;=(Config!$D33+Config!$E33),INDEX(Commandes!$C10:'Commandes'!$BJ10,,COLUMN(AN$8)-COLUMN($C$8)+1-(Config!$D33+Config!$E33)),0)*(1-Config!$F33))*Config!$C33</f>
        <v>13600</v>
      </c>
      <c r="AO10" s="67">
        <f>((Config!$F33*Commandes!AO10)+IF(ROUND((AO$8-Config!$C$7)/31,0)&gt;=(Config!$D33+Config!$E33),INDEX(Commandes!$C10:'Commandes'!$BJ10,,COLUMN(AO$8)-COLUMN($C$8)+1-(Config!$D33+Config!$E33)),0)*(1-Config!$F33))*Config!$C33</f>
        <v>11900</v>
      </c>
      <c r="AP10" s="67">
        <f>((Config!$F33*Commandes!AP10)+IF(ROUND((AP$8-Config!$C$7)/31,0)&gt;=(Config!$D33+Config!$E33),INDEX(Commandes!$C10:'Commandes'!$BJ10,,COLUMN(AP$8)-COLUMN($C$8)+1-(Config!$D33+Config!$E33)),0)*(1-Config!$F33))*Config!$C33</f>
        <v>12750</v>
      </c>
      <c r="AQ10" s="67">
        <f>((Config!$F33*Commandes!AQ10)+IF(ROUND((AQ$8-Config!$C$7)/31,0)&gt;=(Config!$D33+Config!$E33),INDEX(Commandes!$C10:'Commandes'!$BJ10,,COLUMN(AQ$8)-COLUMN($C$8)+1-(Config!$D33+Config!$E33)),0)*(1-Config!$F33))*Config!$C33</f>
        <v>14450</v>
      </c>
      <c r="AR10" s="67">
        <f>((Config!$F33*Commandes!AR10)+IF(ROUND((AR$8-Config!$C$7)/31,0)&gt;=(Config!$D33+Config!$E33),INDEX(Commandes!$C10:'Commandes'!$BJ10,,COLUMN(AR$8)-COLUMN($C$8)+1-(Config!$D33+Config!$E33)),0)*(1-Config!$F33))*Config!$C33</f>
        <v>16150</v>
      </c>
      <c r="AS10" s="67">
        <f>((Config!$F33*Commandes!AS10)+IF(ROUND((AS$8-Config!$C$7)/31,0)&gt;=(Config!$D33+Config!$E33),INDEX(Commandes!$C10:'Commandes'!$BJ10,,COLUMN(AS$8)-COLUMN($C$8)+1-(Config!$D33+Config!$E33)),0)*(1-Config!$F33))*Config!$C33</f>
        <v>17000</v>
      </c>
      <c r="AT10" s="67">
        <f>((Config!$F33*Commandes!AT10)+IF(ROUND((AT$8-Config!$C$7)/31,0)&gt;=(Config!$D33+Config!$E33),INDEX(Commandes!$C10:'Commandes'!$BJ10,,COLUMN(AT$8)-COLUMN($C$8)+1-(Config!$D33+Config!$E33)),0)*(1-Config!$F33))*Config!$C33</f>
        <v>15300</v>
      </c>
      <c r="AU10" s="67">
        <f>((Config!$F33*Commandes!AU10)+IF(ROUND((AU$8-Config!$C$7)/31,0)&gt;=(Config!$D33+Config!$E33),INDEX(Commandes!$C10:'Commandes'!$BJ10,,COLUMN(AU$8)-COLUMN($C$8)+1-(Config!$D33+Config!$E33)),0)*(1-Config!$F33))*Config!$C33</f>
        <v>13600</v>
      </c>
      <c r="AV10" s="67">
        <f>((Config!$F33*Commandes!AV10)+IF(ROUND((AV$8-Config!$C$7)/31,0)&gt;=(Config!$D33+Config!$E33),INDEX(Commandes!$C10:'Commandes'!$BJ10,,COLUMN(AV$8)-COLUMN($C$8)+1-(Config!$D33+Config!$E33)),0)*(1-Config!$F33))*Config!$C33</f>
        <v>18700</v>
      </c>
      <c r="AW10" s="67">
        <f>((Config!$F33*Commandes!AW10)+IF(ROUND((AW$8-Config!$C$7)/31,0)&gt;=(Config!$D33+Config!$E33),INDEX(Commandes!$C10:'Commandes'!$BJ10,,COLUMN(AW$8)-COLUMN($C$8)+1-(Config!$D33+Config!$E33)),0)*(1-Config!$F33))*Config!$C33</f>
        <v>16150</v>
      </c>
      <c r="AX10" s="67">
        <f>((Config!$F33*Commandes!AX10)+IF(ROUND((AX$8-Config!$C$7)/31,0)&gt;=(Config!$D33+Config!$E33),INDEX(Commandes!$C10:'Commandes'!$BJ10,,COLUMN(AX$8)-COLUMN($C$8)+1-(Config!$D33+Config!$E33)),0)*(1-Config!$F33))*Config!$C33</f>
        <v>16150</v>
      </c>
      <c r="AY10" s="67">
        <f>((Config!$F33*Commandes!AY10)+IF(ROUND((AY$8-Config!$C$7)/31,0)&gt;=(Config!$D33+Config!$E33),INDEX(Commandes!$C10:'Commandes'!$BJ10,,COLUMN(AY$8)-COLUMN($C$8)+1-(Config!$D33+Config!$E33)),0)*(1-Config!$F33))*Config!$C33</f>
        <v>21250</v>
      </c>
      <c r="AZ10" s="67">
        <f>((Config!$F33*Commandes!AZ10)+IF(ROUND((AZ$8-Config!$C$7)/31,0)&gt;=(Config!$D33+Config!$E33),INDEX(Commandes!$C10:'Commandes'!$BJ10,,COLUMN(AZ$8)-COLUMN($C$8)+1-(Config!$D33+Config!$E33)),0)*(1-Config!$F33))*Config!$C33</f>
        <v>22100</v>
      </c>
      <c r="BA10" s="67">
        <f>((Config!$F33*Commandes!BA10)+IF(ROUND((BA$8-Config!$C$7)/31,0)&gt;=(Config!$D33+Config!$E33),INDEX(Commandes!$C10:'Commandes'!$BJ10,,COLUMN(BA$8)-COLUMN($C$8)+1-(Config!$D33+Config!$E33)),0)*(1-Config!$F33))*Config!$C33</f>
        <v>19550</v>
      </c>
      <c r="BB10" s="67">
        <f>((Config!$F33*Commandes!BB10)+IF(ROUND((BB$8-Config!$C$7)/31,0)&gt;=(Config!$D33+Config!$E33),INDEX(Commandes!$C10:'Commandes'!$BJ10,,COLUMN(BB$8)-COLUMN($C$8)+1-(Config!$D33+Config!$E33)),0)*(1-Config!$F33))*Config!$C33</f>
        <v>20400</v>
      </c>
      <c r="BC10" s="67">
        <f>((Config!$F33*Commandes!BC10)+IF(ROUND((BC$8-Config!$C$7)/31,0)&gt;=(Config!$D33+Config!$E33),INDEX(Commandes!$C10:'Commandes'!$BJ10,,COLUMN(BC$8)-COLUMN($C$8)+1-(Config!$D33+Config!$E33)),0)*(1-Config!$F33))*Config!$C33</f>
        <v>14450</v>
      </c>
      <c r="BD10" s="67">
        <f>((Config!$F33*Commandes!BD10)+IF(ROUND((BD$8-Config!$C$7)/31,0)&gt;=(Config!$D33+Config!$E33),INDEX(Commandes!$C10:'Commandes'!$BJ10,,COLUMN(BD$8)-COLUMN($C$8)+1-(Config!$D33+Config!$E33)),0)*(1-Config!$F33))*Config!$C33</f>
        <v>25500</v>
      </c>
      <c r="BE10" s="67">
        <f>((Config!$F33*Commandes!BE10)+IF(ROUND((BE$8-Config!$C$7)/31,0)&gt;=(Config!$D33+Config!$E33),INDEX(Commandes!$C10:'Commandes'!$BJ10,,COLUMN(BE$8)-COLUMN($C$8)+1-(Config!$D33+Config!$E33)),0)*(1-Config!$F33))*Config!$C33</f>
        <v>27200</v>
      </c>
      <c r="BF10" s="67">
        <f>((Config!$F33*Commandes!BF10)+IF(ROUND((BF$8-Config!$C$7)/31,0)&gt;=(Config!$D33+Config!$E33),INDEX(Commandes!$C10:'Commandes'!$BJ10,,COLUMN(BF$8)-COLUMN($C$8)+1-(Config!$D33+Config!$E33)),0)*(1-Config!$F33))*Config!$C33</f>
        <v>24650</v>
      </c>
      <c r="BG10" s="67">
        <f>((Config!$F33*Commandes!BG10)+IF(ROUND((BG$8-Config!$C$7)/31,0)&gt;=(Config!$D33+Config!$E33),INDEX(Commandes!$C10:'Commandes'!$BJ10,,COLUMN(BG$8)-COLUMN($C$8)+1-(Config!$D33+Config!$E33)),0)*(1-Config!$F33))*Config!$C33</f>
        <v>21250</v>
      </c>
      <c r="BH10" s="67">
        <f>((Config!$F33*Commandes!BH10)+IF(ROUND((BH$8-Config!$C$7)/31,0)&gt;=(Config!$D33+Config!$E33),INDEX(Commandes!$C10:'Commandes'!$BJ10,,COLUMN(BH$8)-COLUMN($C$8)+1-(Config!$D33+Config!$E33)),0)*(1-Config!$F33))*Config!$C33</f>
        <v>29750</v>
      </c>
      <c r="BI10" s="67">
        <f>((Config!$F33*Commandes!BI10)+IF(ROUND((BI$8-Config!$C$7)/31,0)&gt;=(Config!$D33+Config!$E33),INDEX(Commandes!$C10:'Commandes'!$BJ10,,COLUMN(BI$8)-COLUMN($C$8)+1-(Config!$D33+Config!$E33)),0)*(1-Config!$F33))*Config!$C33</f>
        <v>25500</v>
      </c>
      <c r="BJ10" s="67">
        <f>((Config!$F33*Commandes!BJ10)+IF(ROUND((BJ$8-Config!$C$7)/31,0)&gt;=(Config!$D33+Config!$E33),INDEX(Commandes!$C10:'Commandes'!$BJ10,,COLUMN(BJ$8)-COLUMN($C$8)+1-(Config!$D33+Config!$E33)),0)*(1-Config!$F33))*Config!$C33</f>
        <v>25500</v>
      </c>
      <c r="BK10" s="70"/>
    </row>
    <row r="11" spans="2:63" x14ac:dyDescent="0.2">
      <c r="B11" s="46" t="str">
        <f>Config!$B$16</f>
        <v xml:space="preserve">Vente de shots à l'unité </v>
      </c>
      <c r="C11" s="67">
        <f>((Config!$F34*Commandes!C11)+IF(ROUND((C$8-Config!$C$7)/31,0)&gt;=(Config!$D34+Config!$E34),INDEX(Commandes!$C11:'Commandes'!$BJ11,,COLUMN(C$8)-COLUMN($C$8)+1-(Config!$D34+Config!$E34)),0)*(1-Config!$F34))*Config!$C34</f>
        <v>0</v>
      </c>
      <c r="D11" s="67">
        <f>((Config!$F34*Commandes!D11)+IF(ROUND((D$8-Config!$C$7)/31,0)&gt;=(Config!$D34+Config!$E34),INDEX(Commandes!$C11:'Commandes'!$BJ11,,COLUMN(D$8)-COLUMN($C$8)+1-(Config!$D34+Config!$E34)),0)*(1-Config!$F34))*Config!$C34</f>
        <v>23</v>
      </c>
      <c r="E11" s="67">
        <f>((Config!$F34*Commandes!E11)+IF(ROUND((E$8-Config!$C$7)/31,0)&gt;=(Config!$D34+Config!$E34),INDEX(Commandes!$C11:'Commandes'!$BJ11,,COLUMN(E$8)-COLUMN($C$8)+1-(Config!$D34+Config!$E34)),0)*(1-Config!$F34))*Config!$C34</f>
        <v>34.5</v>
      </c>
      <c r="F11" s="67">
        <f>((Config!$F34*Commandes!F11)+IF(ROUND((F$8-Config!$C$7)/31,0)&gt;=(Config!$D34+Config!$E34),INDEX(Commandes!$C11:'Commandes'!$BJ11,,COLUMN(F$8)-COLUMN($C$8)+1-(Config!$D34+Config!$E34)),0)*(1-Config!$F34))*Config!$C34</f>
        <v>46</v>
      </c>
      <c r="G11" s="67">
        <f>((Config!$F34*Commandes!G11)+IF(ROUND((G$8-Config!$C$7)/31,0)&gt;=(Config!$D34+Config!$E34),INDEX(Commandes!$C11:'Commandes'!$BJ11,,COLUMN(G$8)-COLUMN($C$8)+1-(Config!$D34+Config!$E34)),0)*(1-Config!$F34))*Config!$C34</f>
        <v>57.499999999999993</v>
      </c>
      <c r="H11" s="67">
        <f>((Config!$F34*Commandes!H11)+IF(ROUND((H$8-Config!$C$7)/31,0)&gt;=(Config!$D34+Config!$E34),INDEX(Commandes!$C11:'Commandes'!$BJ11,,COLUMN(H$8)-COLUMN($C$8)+1-(Config!$D34+Config!$E34)),0)*(1-Config!$F34))*Config!$C34</f>
        <v>92</v>
      </c>
      <c r="I11" s="67">
        <f>((Config!$F34*Commandes!I11)+IF(ROUND((I$8-Config!$C$7)/31,0)&gt;=(Config!$D34+Config!$E34),INDEX(Commandes!$C11:'Commandes'!$BJ11,,COLUMN(I$8)-COLUMN($C$8)+1-(Config!$D34+Config!$E34)),0)*(1-Config!$F34))*Config!$C34</f>
        <v>114.99999999999999</v>
      </c>
      <c r="J11" s="67">
        <f>((Config!$F34*Commandes!J11)+IF(ROUND((J$8-Config!$C$7)/31,0)&gt;=(Config!$D34+Config!$E34),INDEX(Commandes!$C11:'Commandes'!$BJ11,,COLUMN(J$8)-COLUMN($C$8)+1-(Config!$D34+Config!$E34)),0)*(1-Config!$F34))*Config!$C34</f>
        <v>92</v>
      </c>
      <c r="K11" s="67">
        <f>((Config!$F34*Commandes!K11)+IF(ROUND((K$8-Config!$C$7)/31,0)&gt;=(Config!$D34+Config!$E34),INDEX(Commandes!$C11:'Commandes'!$BJ11,,COLUMN(K$8)-COLUMN($C$8)+1-(Config!$D34+Config!$E34)),0)*(1-Config!$F34))*Config!$C34</f>
        <v>69</v>
      </c>
      <c r="L11" s="67">
        <f>((Config!$F34*Commandes!L11)+IF(ROUND((L$8-Config!$C$7)/31,0)&gt;=(Config!$D34+Config!$E34),INDEX(Commandes!$C11:'Commandes'!$BJ11,,COLUMN(L$8)-COLUMN($C$8)+1-(Config!$D34+Config!$E34)),0)*(1-Config!$F34))*Config!$C34</f>
        <v>114.99999999999999</v>
      </c>
      <c r="M11" s="67">
        <f>((Config!$F34*Commandes!M11)+IF(ROUND((M$8-Config!$C$7)/31,0)&gt;=(Config!$D34+Config!$E34),INDEX(Commandes!$C11:'Commandes'!$BJ11,,COLUMN(M$8)-COLUMN($C$8)+1-(Config!$D34+Config!$E34)),0)*(1-Config!$F34))*Config!$C34</f>
        <v>92</v>
      </c>
      <c r="N11" s="67">
        <f>((Config!$F34*Commandes!N11)+IF(ROUND((N$8-Config!$C$7)/31,0)&gt;=(Config!$D34+Config!$E34),INDEX(Commandes!$C11:'Commandes'!$BJ11,,COLUMN(N$8)-COLUMN($C$8)+1-(Config!$D34+Config!$E34)),0)*(1-Config!$F34))*Config!$C34</f>
        <v>92</v>
      </c>
      <c r="O11" s="67">
        <f>((Config!$F34*Commandes!O11)+IF(ROUND((O$8-Config!$C$7)/31,0)&gt;=(Config!$D34+Config!$E34),INDEX(Commandes!$C11:'Commandes'!$BJ11,,COLUMN(O$8)-COLUMN($C$8)+1-(Config!$D34+Config!$E34)),0)*(1-Config!$F34))*Config!$C34</f>
        <v>172.5</v>
      </c>
      <c r="P11" s="67">
        <f>((Config!$F34*Commandes!P11)+IF(ROUND((P$8-Config!$C$7)/31,0)&gt;=(Config!$D34+Config!$E34),INDEX(Commandes!$C11:'Commandes'!$BJ11,,COLUMN(P$8)-COLUMN($C$8)+1-(Config!$D34+Config!$E34)),0)*(1-Config!$F34))*Config!$C34</f>
        <v>114.99999999999999</v>
      </c>
      <c r="Q11" s="67">
        <f>((Config!$F34*Commandes!Q11)+IF(ROUND((Q$8-Config!$C$7)/31,0)&gt;=(Config!$D34+Config!$E34),INDEX(Commandes!$C11:'Commandes'!$BJ11,,COLUMN(Q$8)-COLUMN($C$8)+1-(Config!$D34+Config!$E34)),0)*(1-Config!$F34))*Config!$C34</f>
        <v>114.99999999999999</v>
      </c>
      <c r="R11" s="67">
        <f>((Config!$F34*Commandes!R11)+IF(ROUND((R$8-Config!$C$7)/31,0)&gt;=(Config!$D34+Config!$E34),INDEX(Commandes!$C11:'Commandes'!$BJ11,,COLUMN(R$8)-COLUMN($C$8)+1-(Config!$D34+Config!$E34)),0)*(1-Config!$F34))*Config!$C34</f>
        <v>138</v>
      </c>
      <c r="S11" s="67">
        <f>((Config!$F34*Commandes!S11)+IF(ROUND((S$8-Config!$C$7)/31,0)&gt;=(Config!$D34+Config!$E34),INDEX(Commandes!$C11:'Commandes'!$BJ11,,COLUMN(S$8)-COLUMN($C$8)+1-(Config!$D34+Config!$E34)),0)*(1-Config!$F34))*Config!$C34</f>
        <v>172.5</v>
      </c>
      <c r="T11" s="67">
        <f>((Config!$F34*Commandes!T11)+IF(ROUND((T$8-Config!$C$7)/31,0)&gt;=(Config!$D34+Config!$E34),INDEX(Commandes!$C11:'Commandes'!$BJ11,,COLUMN(T$8)-COLUMN($C$8)+1-(Config!$D34+Config!$E34)),0)*(1-Config!$F34))*Config!$C34</f>
        <v>229.99999999999997</v>
      </c>
      <c r="U11" s="67">
        <f>((Config!$F34*Commandes!U11)+IF(ROUND((U$8-Config!$C$7)/31,0)&gt;=(Config!$D34+Config!$E34),INDEX(Commandes!$C11:'Commandes'!$BJ11,,COLUMN(U$8)-COLUMN($C$8)+1-(Config!$D34+Config!$E34)),0)*(1-Config!$F34))*Config!$C34</f>
        <v>287.5</v>
      </c>
      <c r="V11" s="67">
        <f>((Config!$F34*Commandes!V11)+IF(ROUND((V$8-Config!$C$7)/31,0)&gt;=(Config!$D34+Config!$E34),INDEX(Commandes!$C11:'Commandes'!$BJ11,,COLUMN(V$8)-COLUMN($C$8)+1-(Config!$D34+Config!$E34)),0)*(1-Config!$F34))*Config!$C34</f>
        <v>229.99999999999997</v>
      </c>
      <c r="W11" s="67">
        <f>((Config!$F34*Commandes!W11)+IF(ROUND((W$8-Config!$C$7)/31,0)&gt;=(Config!$D34+Config!$E34),INDEX(Commandes!$C11:'Commandes'!$BJ11,,COLUMN(W$8)-COLUMN($C$8)+1-(Config!$D34+Config!$E34)),0)*(1-Config!$F34))*Config!$C34</f>
        <v>172.5</v>
      </c>
      <c r="X11" s="67">
        <f>((Config!$F34*Commandes!X11)+IF(ROUND((X$8-Config!$C$7)/31,0)&gt;=(Config!$D34+Config!$E34),INDEX(Commandes!$C11:'Commandes'!$BJ11,,COLUMN(X$8)-COLUMN($C$8)+1-(Config!$D34+Config!$E34)),0)*(1-Config!$F34))*Config!$C34</f>
        <v>287.5</v>
      </c>
      <c r="Y11" s="67">
        <f>((Config!$F34*Commandes!Y11)+IF(ROUND((Y$8-Config!$C$7)/31,0)&gt;=(Config!$D34+Config!$E34),INDEX(Commandes!$C11:'Commandes'!$BJ11,,COLUMN(Y$8)-COLUMN($C$8)+1-(Config!$D34+Config!$E34)),0)*(1-Config!$F34))*Config!$C34</f>
        <v>229.99999999999997</v>
      </c>
      <c r="Z11" s="67">
        <f>((Config!$F34*Commandes!Z11)+IF(ROUND((Z$8-Config!$C$7)/31,0)&gt;=(Config!$D34+Config!$E34),INDEX(Commandes!$C11:'Commandes'!$BJ11,,COLUMN(Z$8)-COLUMN($C$8)+1-(Config!$D34+Config!$E34)),0)*(1-Config!$F34))*Config!$C34</f>
        <v>229.99999999999997</v>
      </c>
      <c r="AA11" s="67">
        <f>((Config!$F34*Commandes!AA11)+IF(ROUND((AA$8-Config!$C$7)/31,0)&gt;=(Config!$D34+Config!$E34),INDEX(Commandes!$C11:'Commandes'!$BJ11,,COLUMN(AA$8)-COLUMN($C$8)+1-(Config!$D34+Config!$E34)),0)*(1-Config!$F34))*Config!$C34</f>
        <v>345</v>
      </c>
      <c r="AB11" s="67">
        <f>((Config!$F34*Commandes!AB11)+IF(ROUND((AB$8-Config!$C$7)/31,0)&gt;=(Config!$D34+Config!$E34),INDEX(Commandes!$C11:'Commandes'!$BJ11,,COLUMN(AB$8)-COLUMN($C$8)+1-(Config!$D34+Config!$E34)),0)*(1-Config!$F34))*Config!$C34</f>
        <v>287.5</v>
      </c>
      <c r="AC11" s="67">
        <f>((Config!$F34*Commandes!AC11)+IF(ROUND((AC$8-Config!$C$7)/31,0)&gt;=(Config!$D34+Config!$E34),INDEX(Commandes!$C11:'Commandes'!$BJ11,,COLUMN(AC$8)-COLUMN($C$8)+1-(Config!$D34+Config!$E34)),0)*(1-Config!$F34))*Config!$C34</f>
        <v>229.99999999999997</v>
      </c>
      <c r="AD11" s="67">
        <f>((Config!$F34*Commandes!AD11)+IF(ROUND((AD$8-Config!$C$7)/31,0)&gt;=(Config!$D34+Config!$E34),INDEX(Commandes!$C11:'Commandes'!$BJ11,,COLUMN(AD$8)-COLUMN($C$8)+1-(Config!$D34+Config!$E34)),0)*(1-Config!$F34))*Config!$C34</f>
        <v>252.99999999999997</v>
      </c>
      <c r="AE11" s="67">
        <f>((Config!$F34*Commandes!AE11)+IF(ROUND((AE$8-Config!$C$7)/31,0)&gt;=(Config!$D34+Config!$E34),INDEX(Commandes!$C11:'Commandes'!$BJ11,,COLUMN(AE$8)-COLUMN($C$8)+1-(Config!$D34+Config!$E34)),0)*(1-Config!$F34))*Config!$C34</f>
        <v>287.5</v>
      </c>
      <c r="AF11" s="67">
        <f>((Config!$F34*Commandes!AF11)+IF(ROUND((AF$8-Config!$C$7)/31,0)&gt;=(Config!$D34+Config!$E34),INDEX(Commandes!$C11:'Commandes'!$BJ11,,COLUMN(AF$8)-COLUMN($C$8)+1-(Config!$D34+Config!$E34)),0)*(1-Config!$F34))*Config!$C34</f>
        <v>345</v>
      </c>
      <c r="AG11" s="67">
        <f>((Config!$F34*Commandes!AG11)+IF(ROUND((AG$8-Config!$C$7)/31,0)&gt;=(Config!$D34+Config!$E34),INDEX(Commandes!$C11:'Commandes'!$BJ11,,COLUMN(AG$8)-COLUMN($C$8)+1-(Config!$D34+Config!$E34)),0)*(1-Config!$F34))*Config!$C34</f>
        <v>402.49999999999994</v>
      </c>
      <c r="AH11" s="67">
        <f>((Config!$F34*Commandes!AH11)+IF(ROUND((AH$8-Config!$C$7)/31,0)&gt;=(Config!$D34+Config!$E34),INDEX(Commandes!$C11:'Commandes'!$BJ11,,COLUMN(AH$8)-COLUMN($C$8)+1-(Config!$D34+Config!$E34)),0)*(1-Config!$F34))*Config!$C34</f>
        <v>345</v>
      </c>
      <c r="AI11" s="67">
        <f>((Config!$F34*Commandes!AI11)+IF(ROUND((AI$8-Config!$C$7)/31,0)&gt;=(Config!$D34+Config!$E34),INDEX(Commandes!$C11:'Commandes'!$BJ11,,COLUMN(AI$8)-COLUMN($C$8)+1-(Config!$D34+Config!$E34)),0)*(1-Config!$F34))*Config!$C34</f>
        <v>287.5</v>
      </c>
      <c r="AJ11" s="67">
        <f>((Config!$F34*Commandes!AJ11)+IF(ROUND((AJ$8-Config!$C$7)/31,0)&gt;=(Config!$D34+Config!$E34),INDEX(Commandes!$C11:'Commandes'!$BJ11,,COLUMN(AJ$8)-COLUMN($C$8)+1-(Config!$D34+Config!$E34)),0)*(1-Config!$F34))*Config!$C34</f>
        <v>402.49999999999994</v>
      </c>
      <c r="AK11" s="67">
        <f>((Config!$F34*Commandes!AK11)+IF(ROUND((AK$8-Config!$C$7)/31,0)&gt;=(Config!$D34+Config!$E34),INDEX(Commandes!$C11:'Commandes'!$BJ11,,COLUMN(AK$8)-COLUMN($C$8)+1-(Config!$D34+Config!$E34)),0)*(1-Config!$F34))*Config!$C34</f>
        <v>345</v>
      </c>
      <c r="AL11" s="67">
        <f>((Config!$F34*Commandes!AL11)+IF(ROUND((AL$8-Config!$C$7)/31,0)&gt;=(Config!$D34+Config!$E34),INDEX(Commandes!$C11:'Commandes'!$BJ11,,COLUMN(AL$8)-COLUMN($C$8)+1-(Config!$D34+Config!$E34)),0)*(1-Config!$F34))*Config!$C34</f>
        <v>345</v>
      </c>
      <c r="AM11" s="67">
        <f>((Config!$F34*Commandes!AM11)+IF(ROUND((AM$8-Config!$C$7)/31,0)&gt;=(Config!$D34+Config!$E34),INDEX(Commandes!$C11:'Commandes'!$BJ11,,COLUMN(AM$8)-COLUMN($C$8)+1-(Config!$D34+Config!$E34)),0)*(1-Config!$F34))*Config!$C34</f>
        <v>517.5</v>
      </c>
      <c r="AN11" s="67">
        <f>((Config!$F34*Commandes!AN11)+IF(ROUND((AN$8-Config!$C$7)/31,0)&gt;=(Config!$D34+Config!$E34),INDEX(Commandes!$C11:'Commandes'!$BJ11,,COLUMN(AN$8)-COLUMN($C$8)+1-(Config!$D34+Config!$E34)),0)*(1-Config!$F34))*Config!$C34</f>
        <v>402.49999999999994</v>
      </c>
      <c r="AO11" s="67">
        <f>((Config!$F34*Commandes!AO11)+IF(ROUND((AO$8-Config!$C$7)/31,0)&gt;=(Config!$D34+Config!$E34),INDEX(Commandes!$C11:'Commandes'!$BJ11,,COLUMN(AO$8)-COLUMN($C$8)+1-(Config!$D34+Config!$E34)),0)*(1-Config!$F34))*Config!$C34</f>
        <v>345</v>
      </c>
      <c r="AP11" s="67">
        <f>((Config!$F34*Commandes!AP11)+IF(ROUND((AP$8-Config!$C$7)/31,0)&gt;=(Config!$D34+Config!$E34),INDEX(Commandes!$C11:'Commandes'!$BJ11,,COLUMN(AP$8)-COLUMN($C$8)+1-(Config!$D34+Config!$E34)),0)*(1-Config!$F34))*Config!$C34</f>
        <v>368</v>
      </c>
      <c r="AQ11" s="67">
        <f>((Config!$F34*Commandes!AQ11)+IF(ROUND((AQ$8-Config!$C$7)/31,0)&gt;=(Config!$D34+Config!$E34),INDEX(Commandes!$C11:'Commandes'!$BJ11,,COLUMN(AQ$8)-COLUMN($C$8)+1-(Config!$D34+Config!$E34)),0)*(1-Config!$F34))*Config!$C34</f>
        <v>436.99999999999994</v>
      </c>
      <c r="AR11" s="67">
        <f>((Config!$F34*Commandes!AR11)+IF(ROUND((AR$8-Config!$C$7)/31,0)&gt;=(Config!$D34+Config!$E34),INDEX(Commandes!$C11:'Commandes'!$BJ11,,COLUMN(AR$8)-COLUMN($C$8)+1-(Config!$D34+Config!$E34)),0)*(1-Config!$F34))*Config!$C34</f>
        <v>517.5</v>
      </c>
      <c r="AS11" s="67">
        <f>((Config!$F34*Commandes!AS11)+IF(ROUND((AS$8-Config!$C$7)/31,0)&gt;=(Config!$D34+Config!$E34),INDEX(Commandes!$C11:'Commandes'!$BJ11,,COLUMN(AS$8)-COLUMN($C$8)+1-(Config!$D34+Config!$E34)),0)*(1-Config!$F34))*Config!$C34</f>
        <v>575</v>
      </c>
      <c r="AT11" s="67">
        <f>((Config!$F34*Commandes!AT11)+IF(ROUND((AT$8-Config!$C$7)/31,0)&gt;=(Config!$D34+Config!$E34),INDEX(Commandes!$C11:'Commandes'!$BJ11,,COLUMN(AT$8)-COLUMN($C$8)+1-(Config!$D34+Config!$E34)),0)*(1-Config!$F34))*Config!$C34</f>
        <v>517.5</v>
      </c>
      <c r="AU11" s="67">
        <f>((Config!$F34*Commandes!AU11)+IF(ROUND((AU$8-Config!$C$7)/31,0)&gt;=(Config!$D34+Config!$E34),INDEX(Commandes!$C11:'Commandes'!$BJ11,,COLUMN(AU$8)-COLUMN($C$8)+1-(Config!$D34+Config!$E34)),0)*(1-Config!$F34))*Config!$C34</f>
        <v>459.99999999999994</v>
      </c>
      <c r="AV11" s="67">
        <f>((Config!$F34*Commandes!AV11)+IF(ROUND((AV$8-Config!$C$7)/31,0)&gt;=(Config!$D34+Config!$E34),INDEX(Commandes!$C11:'Commandes'!$BJ11,,COLUMN(AV$8)-COLUMN($C$8)+1-(Config!$D34+Config!$E34)),0)*(1-Config!$F34))*Config!$C34</f>
        <v>575</v>
      </c>
      <c r="AW11" s="67">
        <f>((Config!$F34*Commandes!AW11)+IF(ROUND((AW$8-Config!$C$7)/31,0)&gt;=(Config!$D34+Config!$E34),INDEX(Commandes!$C11:'Commandes'!$BJ11,,COLUMN(AW$8)-COLUMN($C$8)+1-(Config!$D34+Config!$E34)),0)*(1-Config!$F34))*Config!$C34</f>
        <v>517.5</v>
      </c>
      <c r="AX11" s="67">
        <f>((Config!$F34*Commandes!AX11)+IF(ROUND((AX$8-Config!$C$7)/31,0)&gt;=(Config!$D34+Config!$E34),INDEX(Commandes!$C11:'Commandes'!$BJ11,,COLUMN(AX$8)-COLUMN($C$8)+1-(Config!$D34+Config!$E34)),0)*(1-Config!$F34))*Config!$C34</f>
        <v>517.5</v>
      </c>
      <c r="AY11" s="67">
        <f>((Config!$F34*Commandes!AY11)+IF(ROUND((AY$8-Config!$C$7)/31,0)&gt;=(Config!$D34+Config!$E34),INDEX(Commandes!$C11:'Commandes'!$BJ11,,COLUMN(AY$8)-COLUMN($C$8)+1-(Config!$D34+Config!$E34)),0)*(1-Config!$F34))*Config!$C34</f>
        <v>747.49999999999989</v>
      </c>
      <c r="AZ11" s="67">
        <f>((Config!$F34*Commandes!AZ11)+IF(ROUND((AZ$8-Config!$C$7)/31,0)&gt;=(Config!$D34+Config!$E34),INDEX(Commandes!$C11:'Commandes'!$BJ11,,COLUMN(AZ$8)-COLUMN($C$8)+1-(Config!$D34+Config!$E34)),0)*(1-Config!$F34))*Config!$C34</f>
        <v>575</v>
      </c>
      <c r="BA11" s="67">
        <f>((Config!$F34*Commandes!BA11)+IF(ROUND((BA$8-Config!$C$7)/31,0)&gt;=(Config!$D34+Config!$E34),INDEX(Commandes!$C11:'Commandes'!$BJ11,,COLUMN(BA$8)-COLUMN($C$8)+1-(Config!$D34+Config!$E34)),0)*(1-Config!$F34))*Config!$C34</f>
        <v>517.5</v>
      </c>
      <c r="BB11" s="67">
        <f>((Config!$F34*Commandes!BB11)+IF(ROUND((BB$8-Config!$C$7)/31,0)&gt;=(Config!$D34+Config!$E34),INDEX(Commandes!$C11:'Commandes'!$BJ11,,COLUMN(BB$8)-COLUMN($C$8)+1-(Config!$D34+Config!$E34)),0)*(1-Config!$F34))*Config!$C34</f>
        <v>552</v>
      </c>
      <c r="BC11" s="67">
        <f>((Config!$F34*Commandes!BC11)+IF(ROUND((BC$8-Config!$C$7)/31,0)&gt;=(Config!$D34+Config!$E34),INDEX(Commandes!$C11:'Commandes'!$BJ11,,COLUMN(BC$8)-COLUMN($C$8)+1-(Config!$D34+Config!$E34)),0)*(1-Config!$F34))*Config!$C34</f>
        <v>632.5</v>
      </c>
      <c r="BD11" s="67">
        <f>((Config!$F34*Commandes!BD11)+IF(ROUND((BD$8-Config!$C$7)/31,0)&gt;=(Config!$D34+Config!$E34),INDEX(Commandes!$C11:'Commandes'!$BJ11,,COLUMN(BD$8)-COLUMN($C$8)+1-(Config!$D34+Config!$E34)),0)*(1-Config!$F34))*Config!$C34</f>
        <v>747.49999999999989</v>
      </c>
      <c r="BE11" s="67">
        <f>((Config!$F34*Commandes!BE11)+IF(ROUND((BE$8-Config!$C$7)/31,0)&gt;=(Config!$D34+Config!$E34),INDEX(Commandes!$C11:'Commandes'!$BJ11,,COLUMN(BE$8)-COLUMN($C$8)+1-(Config!$D34+Config!$E34)),0)*(1-Config!$F34))*Config!$C34</f>
        <v>862.49999999999989</v>
      </c>
      <c r="BF11" s="67">
        <f>((Config!$F34*Commandes!BF11)+IF(ROUND((BF$8-Config!$C$7)/31,0)&gt;=(Config!$D34+Config!$E34),INDEX(Commandes!$C11:'Commandes'!$BJ11,,COLUMN(BF$8)-COLUMN($C$8)+1-(Config!$D34+Config!$E34)),0)*(1-Config!$F34))*Config!$C34</f>
        <v>747.49999999999989</v>
      </c>
      <c r="BG11" s="67">
        <f>((Config!$F34*Commandes!BG11)+IF(ROUND((BG$8-Config!$C$7)/31,0)&gt;=(Config!$D34+Config!$E34),INDEX(Commandes!$C11:'Commandes'!$BJ11,,COLUMN(BG$8)-COLUMN($C$8)+1-(Config!$D34+Config!$E34)),0)*(1-Config!$F34))*Config!$C34</f>
        <v>632.5</v>
      </c>
      <c r="BH11" s="67">
        <f>((Config!$F34*Commandes!BH11)+IF(ROUND((BH$8-Config!$C$7)/31,0)&gt;=(Config!$D34+Config!$E34),INDEX(Commandes!$C11:'Commandes'!$BJ11,,COLUMN(BH$8)-COLUMN($C$8)+1-(Config!$D34+Config!$E34)),0)*(1-Config!$F34))*Config!$C34</f>
        <v>862.49999999999989</v>
      </c>
      <c r="BI11" s="67">
        <f>((Config!$F34*Commandes!BI11)+IF(ROUND((BI$8-Config!$C$7)/31,0)&gt;=(Config!$D34+Config!$E34),INDEX(Commandes!$C11:'Commandes'!$BJ11,,COLUMN(BI$8)-COLUMN($C$8)+1-(Config!$D34+Config!$E34)),0)*(1-Config!$F34))*Config!$C34</f>
        <v>747.49999999999989</v>
      </c>
      <c r="BJ11" s="67">
        <f>((Config!$F34*Commandes!BJ11)+IF(ROUND((BJ$8-Config!$C$7)/31,0)&gt;=(Config!$D34+Config!$E34),INDEX(Commandes!$C11:'Commandes'!$BJ11,,COLUMN(BJ$8)-COLUMN($C$8)+1-(Config!$D34+Config!$E34)),0)*(1-Config!$F34))*Config!$C34</f>
        <v>747.49999999999989</v>
      </c>
      <c r="BK11" s="70"/>
    </row>
    <row r="12" spans="2:63" x14ac:dyDescent="0.2">
      <c r="B12" s="46" t="str">
        <f>Config!$B$17</f>
        <v>Vente d'abonnement annuel (360 Shots)</v>
      </c>
      <c r="C12" s="67">
        <f>((Config!$F35*Commandes!C12)+IF(ROUND((C$8-Config!$C$7)/31,0)&gt;=(Config!$D35+Config!$E35),INDEX(Commandes!$C12:'Commandes'!$BJ12,,COLUMN(C$8)-COLUMN($C$8)+1-(Config!$D35+Config!$E35)),0)*(1-Config!$F35))*Config!$C35</f>
        <v>0</v>
      </c>
      <c r="D12" s="67">
        <f>((Config!$F35*Commandes!D12)+IF(ROUND((D$8-Config!$C$7)/31,0)&gt;=(Config!$D35+Config!$E35),INDEX(Commandes!$C12:'Commandes'!$BJ12,,COLUMN(D$8)-COLUMN($C$8)+1-(Config!$D35+Config!$E35)),0)*(1-Config!$F35))*Config!$C35</f>
        <v>0</v>
      </c>
      <c r="E12" s="67">
        <f>((Config!$F35*Commandes!E12)+IF(ROUND((E$8-Config!$C$7)/31,0)&gt;=(Config!$D35+Config!$E35),INDEX(Commandes!$C12:'Commandes'!$BJ12,,COLUMN(E$8)-COLUMN($C$8)+1-(Config!$D35+Config!$E35)),0)*(1-Config!$F35))*Config!$C35</f>
        <v>0</v>
      </c>
      <c r="F12" s="67">
        <f>((Config!$F35*Commandes!F12)+IF(ROUND((F$8-Config!$C$7)/31,0)&gt;=(Config!$D35+Config!$E35),INDEX(Commandes!$C12:'Commandes'!$BJ12,,COLUMN(F$8)-COLUMN($C$8)+1-(Config!$D35+Config!$E35)),0)*(1-Config!$F35))*Config!$C35</f>
        <v>0</v>
      </c>
      <c r="G12" s="67">
        <f>((Config!$F35*Commandes!G12)+IF(ROUND((G$8-Config!$C$7)/31,0)&gt;=(Config!$D35+Config!$E35),INDEX(Commandes!$C12:'Commandes'!$BJ12,,COLUMN(G$8)-COLUMN($C$8)+1-(Config!$D35+Config!$E35)),0)*(1-Config!$F35))*Config!$C35</f>
        <v>378</v>
      </c>
      <c r="H12" s="67">
        <f>((Config!$F35*Commandes!H12)+IF(ROUND((H$8-Config!$C$7)/31,0)&gt;=(Config!$D35+Config!$E35),INDEX(Commandes!$C12:'Commandes'!$BJ12,,COLUMN(H$8)-COLUMN($C$8)+1-(Config!$D35+Config!$E35)),0)*(1-Config!$F35))*Config!$C35</f>
        <v>378</v>
      </c>
      <c r="I12" s="67">
        <f>((Config!$F35*Commandes!I12)+IF(ROUND((I$8-Config!$C$7)/31,0)&gt;=(Config!$D35+Config!$E35),INDEX(Commandes!$C12:'Commandes'!$BJ12,,COLUMN(I$8)-COLUMN($C$8)+1-(Config!$D35+Config!$E35)),0)*(1-Config!$F35))*Config!$C35</f>
        <v>756</v>
      </c>
      <c r="J12" s="67">
        <f>((Config!$F35*Commandes!J12)+IF(ROUND((J$8-Config!$C$7)/31,0)&gt;=(Config!$D35+Config!$E35),INDEX(Commandes!$C12:'Commandes'!$BJ12,,COLUMN(J$8)-COLUMN($C$8)+1-(Config!$D35+Config!$E35)),0)*(1-Config!$F35))*Config!$C35</f>
        <v>378</v>
      </c>
      <c r="K12" s="67">
        <f>((Config!$F35*Commandes!K12)+IF(ROUND((K$8-Config!$C$7)/31,0)&gt;=(Config!$D35+Config!$E35),INDEX(Commandes!$C12:'Commandes'!$BJ12,,COLUMN(K$8)-COLUMN($C$8)+1-(Config!$D35+Config!$E35)),0)*(1-Config!$F35))*Config!$C35</f>
        <v>0</v>
      </c>
      <c r="L12" s="67">
        <f>((Config!$F35*Commandes!L12)+IF(ROUND((L$8-Config!$C$7)/31,0)&gt;=(Config!$D35+Config!$E35),INDEX(Commandes!$C12:'Commandes'!$BJ12,,COLUMN(L$8)-COLUMN($C$8)+1-(Config!$D35+Config!$E35)),0)*(1-Config!$F35))*Config!$C35</f>
        <v>1134</v>
      </c>
      <c r="M12" s="67">
        <f>((Config!$F35*Commandes!M12)+IF(ROUND((M$8-Config!$C$7)/31,0)&gt;=(Config!$D35+Config!$E35),INDEX(Commandes!$C12:'Commandes'!$BJ12,,COLUMN(M$8)-COLUMN($C$8)+1-(Config!$D35+Config!$E35)),0)*(1-Config!$F35))*Config!$C35</f>
        <v>756</v>
      </c>
      <c r="N12" s="67">
        <f>((Config!$F35*Commandes!N12)+IF(ROUND((N$8-Config!$C$7)/31,0)&gt;=(Config!$D35+Config!$E35),INDEX(Commandes!$C12:'Commandes'!$BJ12,,COLUMN(N$8)-COLUMN($C$8)+1-(Config!$D35+Config!$E35)),0)*(1-Config!$F35))*Config!$C35</f>
        <v>756</v>
      </c>
      <c r="O12" s="67">
        <f>((Config!$F35*Commandes!O12)+IF(ROUND((O$8-Config!$C$7)/31,0)&gt;=(Config!$D35+Config!$E35),INDEX(Commandes!$C12:'Commandes'!$BJ12,,COLUMN(O$8)-COLUMN($C$8)+1-(Config!$D35+Config!$E35)),0)*(1-Config!$F35))*Config!$C35</f>
        <v>1890</v>
      </c>
      <c r="P12" s="67">
        <f>((Config!$F35*Commandes!P12)+IF(ROUND((P$8-Config!$C$7)/31,0)&gt;=(Config!$D35+Config!$E35),INDEX(Commandes!$C12:'Commandes'!$BJ12,,COLUMN(P$8)-COLUMN($C$8)+1-(Config!$D35+Config!$E35)),0)*(1-Config!$F35))*Config!$C35</f>
        <v>1134</v>
      </c>
      <c r="Q12" s="67">
        <f>((Config!$F35*Commandes!Q12)+IF(ROUND((Q$8-Config!$C$7)/31,0)&gt;=(Config!$D35+Config!$E35),INDEX(Commandes!$C12:'Commandes'!$BJ12,,COLUMN(Q$8)-COLUMN($C$8)+1-(Config!$D35+Config!$E35)),0)*(1-Config!$F35))*Config!$C35</f>
        <v>756</v>
      </c>
      <c r="R12" s="67">
        <f>((Config!$F35*Commandes!R12)+IF(ROUND((R$8-Config!$C$7)/31,0)&gt;=(Config!$D35+Config!$E35),INDEX(Commandes!$C12:'Commandes'!$BJ12,,COLUMN(R$8)-COLUMN($C$8)+1-(Config!$D35+Config!$E35)),0)*(1-Config!$F35))*Config!$C35</f>
        <v>756</v>
      </c>
      <c r="S12" s="67">
        <f>((Config!$F35*Commandes!S12)+IF(ROUND((S$8-Config!$C$7)/31,0)&gt;=(Config!$D35+Config!$E35),INDEX(Commandes!$C12:'Commandes'!$BJ12,,COLUMN(S$8)-COLUMN($C$8)+1-(Config!$D35+Config!$E35)),0)*(1-Config!$F35))*Config!$C35</f>
        <v>1134</v>
      </c>
      <c r="T12" s="67">
        <f>((Config!$F35*Commandes!T12)+IF(ROUND((T$8-Config!$C$7)/31,0)&gt;=(Config!$D35+Config!$E35),INDEX(Commandes!$C12:'Commandes'!$BJ12,,COLUMN(T$8)-COLUMN($C$8)+1-(Config!$D35+Config!$E35)),0)*(1-Config!$F35))*Config!$C35</f>
        <v>1512</v>
      </c>
      <c r="U12" s="67">
        <f>((Config!$F35*Commandes!U12)+IF(ROUND((U$8-Config!$C$7)/31,0)&gt;=(Config!$D35+Config!$E35),INDEX(Commandes!$C12:'Commandes'!$BJ12,,COLUMN(U$8)-COLUMN($C$8)+1-(Config!$D35+Config!$E35)),0)*(1-Config!$F35))*Config!$C35</f>
        <v>1890</v>
      </c>
      <c r="V12" s="67">
        <f>((Config!$F35*Commandes!V12)+IF(ROUND((V$8-Config!$C$7)/31,0)&gt;=(Config!$D35+Config!$E35),INDEX(Commandes!$C12:'Commandes'!$BJ12,,COLUMN(V$8)-COLUMN($C$8)+1-(Config!$D35+Config!$E35)),0)*(1-Config!$F35))*Config!$C35</f>
        <v>1134</v>
      </c>
      <c r="W12" s="67">
        <f>((Config!$F35*Commandes!W12)+IF(ROUND((W$8-Config!$C$7)/31,0)&gt;=(Config!$D35+Config!$E35),INDEX(Commandes!$C12:'Commandes'!$BJ12,,COLUMN(W$8)-COLUMN($C$8)+1-(Config!$D35+Config!$E35)),0)*(1-Config!$F35))*Config!$C35</f>
        <v>756</v>
      </c>
      <c r="X12" s="67">
        <f>((Config!$F35*Commandes!X12)+IF(ROUND((X$8-Config!$C$7)/31,0)&gt;=(Config!$D35+Config!$E35),INDEX(Commandes!$C12:'Commandes'!$BJ12,,COLUMN(X$8)-COLUMN($C$8)+1-(Config!$D35+Config!$E35)),0)*(1-Config!$F35))*Config!$C35</f>
        <v>2268</v>
      </c>
      <c r="Y12" s="67">
        <f>((Config!$F35*Commandes!Y12)+IF(ROUND((Y$8-Config!$C$7)/31,0)&gt;=(Config!$D35+Config!$E35),INDEX(Commandes!$C12:'Commandes'!$BJ12,,COLUMN(Y$8)-COLUMN($C$8)+1-(Config!$D35+Config!$E35)),0)*(1-Config!$F35))*Config!$C35</f>
        <v>1512</v>
      </c>
      <c r="Z12" s="67">
        <f>((Config!$F35*Commandes!Z12)+IF(ROUND((Z$8-Config!$C$7)/31,0)&gt;=(Config!$D35+Config!$E35),INDEX(Commandes!$C12:'Commandes'!$BJ12,,COLUMN(Z$8)-COLUMN($C$8)+1-(Config!$D35+Config!$E35)),0)*(1-Config!$F35))*Config!$C35</f>
        <v>1512</v>
      </c>
      <c r="AA12" s="67">
        <f>((Config!$F35*Commandes!AA12)+IF(ROUND((AA$8-Config!$C$7)/31,0)&gt;=(Config!$D35+Config!$E35),INDEX(Commandes!$C12:'Commandes'!$BJ12,,COLUMN(AA$8)-COLUMN($C$8)+1-(Config!$D35+Config!$E35)),0)*(1-Config!$F35))*Config!$C35</f>
        <v>3780</v>
      </c>
      <c r="AB12" s="67">
        <f>((Config!$F35*Commandes!AB12)+IF(ROUND((AB$8-Config!$C$7)/31,0)&gt;=(Config!$D35+Config!$E35),INDEX(Commandes!$C12:'Commandes'!$BJ12,,COLUMN(AB$8)-COLUMN($C$8)+1-(Config!$D35+Config!$E35)),0)*(1-Config!$F35))*Config!$C35</f>
        <v>1890</v>
      </c>
      <c r="AC12" s="67">
        <f>((Config!$F35*Commandes!AC12)+IF(ROUND((AC$8-Config!$C$7)/31,0)&gt;=(Config!$D35+Config!$E35),INDEX(Commandes!$C12:'Commandes'!$BJ12,,COLUMN(AC$8)-COLUMN($C$8)+1-(Config!$D35+Config!$E35)),0)*(1-Config!$F35))*Config!$C35</f>
        <v>1134</v>
      </c>
      <c r="AD12" s="67">
        <f>((Config!$F35*Commandes!AD12)+IF(ROUND((AD$8-Config!$C$7)/31,0)&gt;=(Config!$D35+Config!$E35),INDEX(Commandes!$C12:'Commandes'!$BJ12,,COLUMN(AD$8)-COLUMN($C$8)+1-(Config!$D35+Config!$E35)),0)*(1-Config!$F35))*Config!$C35</f>
        <v>1512</v>
      </c>
      <c r="AE12" s="67">
        <f>((Config!$F35*Commandes!AE12)+IF(ROUND((AE$8-Config!$C$7)/31,0)&gt;=(Config!$D35+Config!$E35),INDEX(Commandes!$C12:'Commandes'!$BJ12,,COLUMN(AE$8)-COLUMN($C$8)+1-(Config!$D35+Config!$E35)),0)*(1-Config!$F35))*Config!$C35</f>
        <v>1890</v>
      </c>
      <c r="AF12" s="67">
        <f>((Config!$F35*Commandes!AF12)+IF(ROUND((AF$8-Config!$C$7)/31,0)&gt;=(Config!$D35+Config!$E35),INDEX(Commandes!$C12:'Commandes'!$BJ12,,COLUMN(AF$8)-COLUMN($C$8)+1-(Config!$D35+Config!$E35)),0)*(1-Config!$F35))*Config!$C35</f>
        <v>2268</v>
      </c>
      <c r="AG12" s="67">
        <f>((Config!$F35*Commandes!AG12)+IF(ROUND((AG$8-Config!$C$7)/31,0)&gt;=(Config!$D35+Config!$E35),INDEX(Commandes!$C12:'Commandes'!$BJ12,,COLUMN(AG$8)-COLUMN($C$8)+1-(Config!$D35+Config!$E35)),0)*(1-Config!$F35))*Config!$C35</f>
        <v>2646</v>
      </c>
      <c r="AH12" s="67">
        <f>((Config!$F35*Commandes!AH12)+IF(ROUND((AH$8-Config!$C$7)/31,0)&gt;=(Config!$D35+Config!$E35),INDEX(Commandes!$C12:'Commandes'!$BJ12,,COLUMN(AH$8)-COLUMN($C$8)+1-(Config!$D35+Config!$E35)),0)*(1-Config!$F35))*Config!$C35</f>
        <v>1890</v>
      </c>
      <c r="AI12" s="67">
        <f>((Config!$F35*Commandes!AI12)+IF(ROUND((AI$8-Config!$C$7)/31,0)&gt;=(Config!$D35+Config!$E35),INDEX(Commandes!$C12:'Commandes'!$BJ12,,COLUMN(AI$8)-COLUMN($C$8)+1-(Config!$D35+Config!$E35)),0)*(1-Config!$F35))*Config!$C35</f>
        <v>1512</v>
      </c>
      <c r="AJ12" s="67">
        <f>((Config!$F35*Commandes!AJ12)+IF(ROUND((AJ$8-Config!$C$7)/31,0)&gt;=(Config!$D35+Config!$E35),INDEX(Commandes!$C12:'Commandes'!$BJ12,,COLUMN(AJ$8)-COLUMN($C$8)+1-(Config!$D35+Config!$E35)),0)*(1-Config!$F35))*Config!$C35</f>
        <v>3024</v>
      </c>
      <c r="AK12" s="67">
        <f>((Config!$F35*Commandes!AK12)+IF(ROUND((AK$8-Config!$C$7)/31,0)&gt;=(Config!$D35+Config!$E35),INDEX(Commandes!$C12:'Commandes'!$BJ12,,COLUMN(AK$8)-COLUMN($C$8)+1-(Config!$D35+Config!$E35)),0)*(1-Config!$F35))*Config!$C35</f>
        <v>2268</v>
      </c>
      <c r="AL12" s="67">
        <f>((Config!$F35*Commandes!AL12)+IF(ROUND((AL$8-Config!$C$7)/31,0)&gt;=(Config!$D35+Config!$E35),INDEX(Commandes!$C12:'Commandes'!$BJ12,,COLUMN(AL$8)-COLUMN($C$8)+1-(Config!$D35+Config!$E35)),0)*(1-Config!$F35))*Config!$C35</f>
        <v>2268</v>
      </c>
      <c r="AM12" s="67">
        <f>((Config!$F35*Commandes!AM12)+IF(ROUND((AM$8-Config!$C$7)/31,0)&gt;=(Config!$D35+Config!$E35),INDEX(Commandes!$C12:'Commandes'!$BJ12,,COLUMN(AM$8)-COLUMN($C$8)+1-(Config!$D35+Config!$E35)),0)*(1-Config!$F35))*Config!$C35</f>
        <v>5670</v>
      </c>
      <c r="AN12" s="67">
        <f>((Config!$F35*Commandes!AN12)+IF(ROUND((AN$8-Config!$C$7)/31,0)&gt;=(Config!$D35+Config!$E35),INDEX(Commandes!$C12:'Commandes'!$BJ12,,COLUMN(AN$8)-COLUMN($C$8)+1-(Config!$D35+Config!$E35)),0)*(1-Config!$F35))*Config!$C35</f>
        <v>3024</v>
      </c>
      <c r="AO12" s="67">
        <f>((Config!$F35*Commandes!AO12)+IF(ROUND((AO$8-Config!$C$7)/31,0)&gt;=(Config!$D35+Config!$E35),INDEX(Commandes!$C12:'Commandes'!$BJ12,,COLUMN(AO$8)-COLUMN($C$8)+1-(Config!$D35+Config!$E35)),0)*(1-Config!$F35))*Config!$C35</f>
        <v>1890</v>
      </c>
      <c r="AP12" s="67">
        <f>((Config!$F35*Commandes!AP12)+IF(ROUND((AP$8-Config!$C$7)/31,0)&gt;=(Config!$D35+Config!$E35),INDEX(Commandes!$C12:'Commandes'!$BJ12,,COLUMN(AP$8)-COLUMN($C$8)+1-(Config!$D35+Config!$E35)),0)*(1-Config!$F35))*Config!$C35</f>
        <v>2268</v>
      </c>
      <c r="AQ12" s="67">
        <f>((Config!$F35*Commandes!AQ12)+IF(ROUND((AQ$8-Config!$C$7)/31,0)&gt;=(Config!$D35+Config!$E35),INDEX(Commandes!$C12:'Commandes'!$BJ12,,COLUMN(AQ$8)-COLUMN($C$8)+1-(Config!$D35+Config!$E35)),0)*(1-Config!$F35))*Config!$C35</f>
        <v>3024</v>
      </c>
      <c r="AR12" s="67">
        <f>((Config!$F35*Commandes!AR12)+IF(ROUND((AR$8-Config!$C$7)/31,0)&gt;=(Config!$D35+Config!$E35),INDEX(Commandes!$C12:'Commandes'!$BJ12,,COLUMN(AR$8)-COLUMN($C$8)+1-(Config!$D35+Config!$E35)),0)*(1-Config!$F35))*Config!$C35</f>
        <v>3780</v>
      </c>
      <c r="AS12" s="67">
        <f>((Config!$F35*Commandes!AS12)+IF(ROUND((AS$8-Config!$C$7)/31,0)&gt;=(Config!$D35+Config!$E35),INDEX(Commandes!$C12:'Commandes'!$BJ12,,COLUMN(AS$8)-COLUMN($C$8)+1-(Config!$D35+Config!$E35)),0)*(1-Config!$F35))*Config!$C35</f>
        <v>4536</v>
      </c>
      <c r="AT12" s="67">
        <f>((Config!$F35*Commandes!AT12)+IF(ROUND((AT$8-Config!$C$7)/31,0)&gt;=(Config!$D35+Config!$E35),INDEX(Commandes!$C12:'Commandes'!$BJ12,,COLUMN(AT$8)-COLUMN($C$8)+1-(Config!$D35+Config!$E35)),0)*(1-Config!$F35))*Config!$C35</f>
        <v>3024</v>
      </c>
      <c r="AU12" s="67">
        <f>((Config!$F35*Commandes!AU12)+IF(ROUND((AU$8-Config!$C$7)/31,0)&gt;=(Config!$D35+Config!$E35),INDEX(Commandes!$C12:'Commandes'!$BJ12,,COLUMN(AU$8)-COLUMN($C$8)+1-(Config!$D35+Config!$E35)),0)*(1-Config!$F35))*Config!$C35</f>
        <v>2268</v>
      </c>
      <c r="AV12" s="67">
        <f>((Config!$F35*Commandes!AV12)+IF(ROUND((AV$8-Config!$C$7)/31,0)&gt;=(Config!$D35+Config!$E35),INDEX(Commandes!$C12:'Commandes'!$BJ12,,COLUMN(AV$8)-COLUMN($C$8)+1-(Config!$D35+Config!$E35)),0)*(1-Config!$F35))*Config!$C35</f>
        <v>4536</v>
      </c>
      <c r="AW12" s="67">
        <f>((Config!$F35*Commandes!AW12)+IF(ROUND((AW$8-Config!$C$7)/31,0)&gt;=(Config!$D35+Config!$E35),INDEX(Commandes!$C12:'Commandes'!$BJ12,,COLUMN(AW$8)-COLUMN($C$8)+1-(Config!$D35+Config!$E35)),0)*(1-Config!$F35))*Config!$C35</f>
        <v>3402</v>
      </c>
      <c r="AX12" s="67">
        <f>((Config!$F35*Commandes!AX12)+IF(ROUND((AX$8-Config!$C$7)/31,0)&gt;=(Config!$D35+Config!$E35),INDEX(Commandes!$C12:'Commandes'!$BJ12,,COLUMN(AX$8)-COLUMN($C$8)+1-(Config!$D35+Config!$E35)),0)*(1-Config!$F35))*Config!$C35</f>
        <v>3402</v>
      </c>
      <c r="AY12" s="67">
        <f>((Config!$F35*Commandes!AY12)+IF(ROUND((AY$8-Config!$C$7)/31,0)&gt;=(Config!$D35+Config!$E35),INDEX(Commandes!$C12:'Commandes'!$BJ12,,COLUMN(AY$8)-COLUMN($C$8)+1-(Config!$D35+Config!$E35)),0)*(1-Config!$F35))*Config!$C35</f>
        <v>7560</v>
      </c>
      <c r="AZ12" s="67">
        <f>((Config!$F35*Commandes!AZ12)+IF(ROUND((AZ$8-Config!$C$7)/31,0)&gt;=(Config!$D35+Config!$E35),INDEX(Commandes!$C12:'Commandes'!$BJ12,,COLUMN(AZ$8)-COLUMN($C$8)+1-(Config!$D35+Config!$E35)),0)*(1-Config!$F35))*Config!$C35</f>
        <v>4536</v>
      </c>
      <c r="BA12" s="67">
        <f>((Config!$F35*Commandes!BA12)+IF(ROUND((BA$8-Config!$C$7)/31,0)&gt;=(Config!$D35+Config!$E35),INDEX(Commandes!$C12:'Commandes'!$BJ12,,COLUMN(BA$8)-COLUMN($C$8)+1-(Config!$D35+Config!$E35)),0)*(1-Config!$F35))*Config!$C35</f>
        <v>3024</v>
      </c>
      <c r="BB12" s="67">
        <f>((Config!$F35*Commandes!BB12)+IF(ROUND((BB$8-Config!$C$7)/31,0)&gt;=(Config!$D35+Config!$E35),INDEX(Commandes!$C12:'Commandes'!$BJ12,,COLUMN(BB$8)-COLUMN($C$8)+1-(Config!$D35+Config!$E35)),0)*(1-Config!$F35))*Config!$C35</f>
        <v>3780</v>
      </c>
      <c r="BC12" s="67">
        <f>((Config!$F35*Commandes!BC12)+IF(ROUND((BC$8-Config!$C$7)/31,0)&gt;=(Config!$D35+Config!$E35),INDEX(Commandes!$C12:'Commandes'!$BJ12,,COLUMN(BC$8)-COLUMN($C$8)+1-(Config!$D35+Config!$E35)),0)*(1-Config!$F35))*Config!$C35</f>
        <v>4536</v>
      </c>
      <c r="BD12" s="67">
        <f>((Config!$F35*Commandes!BD12)+IF(ROUND((BD$8-Config!$C$7)/31,0)&gt;=(Config!$D35+Config!$E35),INDEX(Commandes!$C12:'Commandes'!$BJ12,,COLUMN(BD$8)-COLUMN($C$8)+1-(Config!$D35+Config!$E35)),0)*(1-Config!$F35))*Config!$C35</f>
        <v>5670</v>
      </c>
      <c r="BE12" s="67">
        <f>((Config!$F35*Commandes!BE12)+IF(ROUND((BE$8-Config!$C$7)/31,0)&gt;=(Config!$D35+Config!$E35),INDEX(Commandes!$C12:'Commandes'!$BJ12,,COLUMN(BE$8)-COLUMN($C$8)+1-(Config!$D35+Config!$E35)),0)*(1-Config!$F35))*Config!$C35</f>
        <v>6804</v>
      </c>
      <c r="BF12" s="67">
        <f>((Config!$F35*Commandes!BF12)+IF(ROUND((BF$8-Config!$C$7)/31,0)&gt;=(Config!$D35+Config!$E35),INDEX(Commandes!$C12:'Commandes'!$BJ12,,COLUMN(BF$8)-COLUMN($C$8)+1-(Config!$D35+Config!$E35)),0)*(1-Config!$F35))*Config!$C35</f>
        <v>4536</v>
      </c>
      <c r="BG12" s="67">
        <f>((Config!$F35*Commandes!BG12)+IF(ROUND((BG$8-Config!$C$7)/31,0)&gt;=(Config!$D35+Config!$E35),INDEX(Commandes!$C12:'Commandes'!$BJ12,,COLUMN(BG$8)-COLUMN($C$8)+1-(Config!$D35+Config!$E35)),0)*(1-Config!$F35))*Config!$C35</f>
        <v>3780</v>
      </c>
      <c r="BH12" s="67">
        <f>((Config!$F35*Commandes!BH12)+IF(ROUND((BH$8-Config!$C$7)/31,0)&gt;=(Config!$D35+Config!$E35),INDEX(Commandes!$C12:'Commandes'!$BJ12,,COLUMN(BH$8)-COLUMN($C$8)+1-(Config!$D35+Config!$E35)),0)*(1-Config!$F35))*Config!$C35</f>
        <v>7560</v>
      </c>
      <c r="BI12" s="67">
        <f>((Config!$F35*Commandes!BI12)+IF(ROUND((BI$8-Config!$C$7)/31,0)&gt;=(Config!$D35+Config!$E35),INDEX(Commandes!$C12:'Commandes'!$BJ12,,COLUMN(BI$8)-COLUMN($C$8)+1-(Config!$D35+Config!$E35)),0)*(1-Config!$F35))*Config!$C35</f>
        <v>5670</v>
      </c>
      <c r="BJ12" s="67">
        <f>((Config!$F35*Commandes!BJ12)+IF(ROUND((BJ$8-Config!$C$7)/31,0)&gt;=(Config!$D35+Config!$E35),INDEX(Commandes!$C12:'Commandes'!$BJ12,,COLUMN(BJ$8)-COLUMN($C$8)+1-(Config!$D35+Config!$E35)),0)*(1-Config!$F35))*Config!$C35</f>
        <v>5670</v>
      </c>
      <c r="BK12" s="70"/>
    </row>
    <row r="13" spans="2:63" x14ac:dyDescent="0.2">
      <c r="B13" s="46">
        <f>Config!$B$18</f>
        <v>0</v>
      </c>
      <c r="C13" s="67">
        <f>((Config!$F36*Commandes!C13)+IF(ROUND((C$8-Config!$C$7)/31,0)&gt;=(Config!$D36+Config!$E36),INDEX(Commandes!$C13:'Commandes'!$BJ13,,COLUMN(C$8)-COLUMN($C$8)+1-(Config!$D36+Config!$E36)),0)*(1-Config!$F36))*Config!$C36</f>
        <v>0</v>
      </c>
      <c r="D13" s="67">
        <f>((Config!$F36*Commandes!D13)+IF(ROUND((D$8-Config!$C$7)/31,0)&gt;=(Config!$D36+Config!$E36),INDEX(Commandes!$C13:'Commandes'!$BJ13,,COLUMN(D$8)-COLUMN($C$8)+1-(Config!$D36+Config!$E36)),0)*(1-Config!$F36))*Config!$C36</f>
        <v>0</v>
      </c>
      <c r="E13" s="67">
        <f>((Config!$F36*Commandes!E13)+IF(ROUND((E$8-Config!$C$7)/31,0)&gt;=(Config!$D36+Config!$E36),INDEX(Commandes!$C13:'Commandes'!$BJ13,,COLUMN(E$8)-COLUMN($C$8)+1-(Config!$D36+Config!$E36)),0)*(1-Config!$F36))*Config!$C36</f>
        <v>0</v>
      </c>
      <c r="F13" s="67">
        <f>((Config!$F36*Commandes!F13)+IF(ROUND((F$8-Config!$C$7)/31,0)&gt;=(Config!$D36+Config!$E36),INDEX(Commandes!$C13:'Commandes'!$BJ13,,COLUMN(F$8)-COLUMN($C$8)+1-(Config!$D36+Config!$E36)),0)*(1-Config!$F36))*Config!$C36</f>
        <v>0</v>
      </c>
      <c r="G13" s="67">
        <f>((Config!$F36*Commandes!G13)+IF(ROUND((G$8-Config!$C$7)/31,0)&gt;=(Config!$D36+Config!$E36),INDEX(Commandes!$C13:'Commandes'!$BJ13,,COLUMN(G$8)-COLUMN($C$8)+1-(Config!$D36+Config!$E36)),0)*(1-Config!$F36))*Config!$C36</f>
        <v>0</v>
      </c>
      <c r="H13" s="67">
        <f>((Config!$F36*Commandes!H13)+IF(ROUND((H$8-Config!$C$7)/31,0)&gt;=(Config!$D36+Config!$E36),INDEX(Commandes!$C13:'Commandes'!$BJ13,,COLUMN(H$8)-COLUMN($C$8)+1-(Config!$D36+Config!$E36)),0)*(1-Config!$F36))*Config!$C36</f>
        <v>0</v>
      </c>
      <c r="I13" s="67">
        <f>((Config!$F36*Commandes!I13)+IF(ROUND((I$8-Config!$C$7)/31,0)&gt;=(Config!$D36+Config!$E36),INDEX(Commandes!$C13:'Commandes'!$BJ13,,COLUMN(I$8)-COLUMN($C$8)+1-(Config!$D36+Config!$E36)),0)*(1-Config!$F36))*Config!$C36</f>
        <v>0</v>
      </c>
      <c r="J13" s="67">
        <f>((Config!$F36*Commandes!J13)+IF(ROUND((J$8-Config!$C$7)/31,0)&gt;=(Config!$D36+Config!$E36),INDEX(Commandes!$C13:'Commandes'!$BJ13,,COLUMN(J$8)-COLUMN($C$8)+1-(Config!$D36+Config!$E36)),0)*(1-Config!$F36))*Config!$C36</f>
        <v>0</v>
      </c>
      <c r="K13" s="67">
        <f>((Config!$F36*Commandes!K13)+IF(ROUND((K$8-Config!$C$7)/31,0)&gt;=(Config!$D36+Config!$E36),INDEX(Commandes!$C13:'Commandes'!$BJ13,,COLUMN(K$8)-COLUMN($C$8)+1-(Config!$D36+Config!$E36)),0)*(1-Config!$F36))*Config!$C36</f>
        <v>0</v>
      </c>
      <c r="L13" s="67">
        <f>((Config!$F36*Commandes!L13)+IF(ROUND((L$8-Config!$C$7)/31,0)&gt;=(Config!$D36+Config!$E36),INDEX(Commandes!$C13:'Commandes'!$BJ13,,COLUMN(L$8)-COLUMN($C$8)+1-(Config!$D36+Config!$E36)),0)*(1-Config!$F36))*Config!$C36</f>
        <v>0</v>
      </c>
      <c r="M13" s="67">
        <f>((Config!$F36*Commandes!M13)+IF(ROUND((M$8-Config!$C$7)/31,0)&gt;=(Config!$D36+Config!$E36),INDEX(Commandes!$C13:'Commandes'!$BJ13,,COLUMN(M$8)-COLUMN($C$8)+1-(Config!$D36+Config!$E36)),0)*(1-Config!$F36))*Config!$C36</f>
        <v>0</v>
      </c>
      <c r="N13" s="67">
        <f>((Config!$F36*Commandes!N13)+IF(ROUND((N$8-Config!$C$7)/31,0)&gt;=(Config!$D36+Config!$E36),INDEX(Commandes!$C13:'Commandes'!$BJ13,,COLUMN(N$8)-COLUMN($C$8)+1-(Config!$D36+Config!$E36)),0)*(1-Config!$F36))*Config!$C36</f>
        <v>0</v>
      </c>
      <c r="O13" s="67">
        <f>((Config!$F36*Commandes!O13)+IF(ROUND((O$8-Config!$C$7)/31,0)&gt;=(Config!$D36+Config!$E36),INDEX(Commandes!$C13:'Commandes'!$BJ13,,COLUMN(O$8)-COLUMN($C$8)+1-(Config!$D36+Config!$E36)),0)*(1-Config!$F36))*Config!$C36</f>
        <v>0</v>
      </c>
      <c r="P13" s="67">
        <f>((Config!$F36*Commandes!P13)+IF(ROUND((P$8-Config!$C$7)/31,0)&gt;=(Config!$D36+Config!$E36),INDEX(Commandes!$C13:'Commandes'!$BJ13,,COLUMN(P$8)-COLUMN($C$8)+1-(Config!$D36+Config!$E36)),0)*(1-Config!$F36))*Config!$C36</f>
        <v>0</v>
      </c>
      <c r="Q13" s="67">
        <f>((Config!$F36*Commandes!Q13)+IF(ROUND((Q$8-Config!$C$7)/31,0)&gt;=(Config!$D36+Config!$E36),INDEX(Commandes!$C13:'Commandes'!$BJ13,,COLUMN(Q$8)-COLUMN($C$8)+1-(Config!$D36+Config!$E36)),0)*(1-Config!$F36))*Config!$C36</f>
        <v>0</v>
      </c>
      <c r="R13" s="67">
        <f>((Config!$F36*Commandes!R13)+IF(ROUND((R$8-Config!$C$7)/31,0)&gt;=(Config!$D36+Config!$E36),INDEX(Commandes!$C13:'Commandes'!$BJ13,,COLUMN(R$8)-COLUMN($C$8)+1-(Config!$D36+Config!$E36)),0)*(1-Config!$F36))*Config!$C36</f>
        <v>0</v>
      </c>
      <c r="S13" s="67">
        <f>((Config!$F36*Commandes!S13)+IF(ROUND((S$8-Config!$C$7)/31,0)&gt;=(Config!$D36+Config!$E36),INDEX(Commandes!$C13:'Commandes'!$BJ13,,COLUMN(S$8)-COLUMN($C$8)+1-(Config!$D36+Config!$E36)),0)*(1-Config!$F36))*Config!$C36</f>
        <v>0</v>
      </c>
      <c r="T13" s="67">
        <f>((Config!$F36*Commandes!T13)+IF(ROUND((T$8-Config!$C$7)/31,0)&gt;=(Config!$D36+Config!$E36),INDEX(Commandes!$C13:'Commandes'!$BJ13,,COLUMN(T$8)-COLUMN($C$8)+1-(Config!$D36+Config!$E36)),0)*(1-Config!$F36))*Config!$C36</f>
        <v>0</v>
      </c>
      <c r="U13" s="67">
        <f>((Config!$F36*Commandes!U13)+IF(ROUND((U$8-Config!$C$7)/31,0)&gt;=(Config!$D36+Config!$E36),INDEX(Commandes!$C13:'Commandes'!$BJ13,,COLUMN(U$8)-COLUMN($C$8)+1-(Config!$D36+Config!$E36)),0)*(1-Config!$F36))*Config!$C36</f>
        <v>0</v>
      </c>
      <c r="V13" s="67">
        <f>((Config!$F36*Commandes!V13)+IF(ROUND((V$8-Config!$C$7)/31,0)&gt;=(Config!$D36+Config!$E36),INDEX(Commandes!$C13:'Commandes'!$BJ13,,COLUMN(V$8)-COLUMN($C$8)+1-(Config!$D36+Config!$E36)),0)*(1-Config!$F36))*Config!$C36</f>
        <v>0</v>
      </c>
      <c r="W13" s="67">
        <f>((Config!$F36*Commandes!W13)+IF(ROUND((W$8-Config!$C$7)/31,0)&gt;=(Config!$D36+Config!$E36),INDEX(Commandes!$C13:'Commandes'!$BJ13,,COLUMN(W$8)-COLUMN($C$8)+1-(Config!$D36+Config!$E36)),0)*(1-Config!$F36))*Config!$C36</f>
        <v>0</v>
      </c>
      <c r="X13" s="67">
        <f>((Config!$F36*Commandes!X13)+IF(ROUND((X$8-Config!$C$7)/31,0)&gt;=(Config!$D36+Config!$E36),INDEX(Commandes!$C13:'Commandes'!$BJ13,,COLUMN(X$8)-COLUMN($C$8)+1-(Config!$D36+Config!$E36)),0)*(1-Config!$F36))*Config!$C36</f>
        <v>0</v>
      </c>
      <c r="Y13" s="67">
        <f>((Config!$F36*Commandes!Y13)+IF(ROUND((Y$8-Config!$C$7)/31,0)&gt;=(Config!$D36+Config!$E36),INDEX(Commandes!$C13:'Commandes'!$BJ13,,COLUMN(Y$8)-COLUMN($C$8)+1-(Config!$D36+Config!$E36)),0)*(1-Config!$F36))*Config!$C36</f>
        <v>0</v>
      </c>
      <c r="Z13" s="67">
        <f>((Config!$F36*Commandes!Z13)+IF(ROUND((Z$8-Config!$C$7)/31,0)&gt;=(Config!$D36+Config!$E36),INDEX(Commandes!$C13:'Commandes'!$BJ13,,COLUMN(Z$8)-COLUMN($C$8)+1-(Config!$D36+Config!$E36)),0)*(1-Config!$F36))*Config!$C36</f>
        <v>0</v>
      </c>
      <c r="AA13" s="67">
        <f>((Config!$F36*Commandes!AA13)+IF(ROUND((AA$8-Config!$C$7)/31,0)&gt;=(Config!$D36+Config!$E36),INDEX(Commandes!$C13:'Commandes'!$BJ13,,COLUMN(AA$8)-COLUMN($C$8)+1-(Config!$D36+Config!$E36)),0)*(1-Config!$F36))*Config!$C36</f>
        <v>0</v>
      </c>
      <c r="AB13" s="67">
        <f>((Config!$F36*Commandes!AB13)+IF(ROUND((AB$8-Config!$C$7)/31,0)&gt;=(Config!$D36+Config!$E36),INDEX(Commandes!$C13:'Commandes'!$BJ13,,COLUMN(AB$8)-COLUMN($C$8)+1-(Config!$D36+Config!$E36)),0)*(1-Config!$F36))*Config!$C36</f>
        <v>0</v>
      </c>
      <c r="AC13" s="67">
        <f>((Config!$F36*Commandes!AC13)+IF(ROUND((AC$8-Config!$C$7)/31,0)&gt;=(Config!$D36+Config!$E36),INDEX(Commandes!$C13:'Commandes'!$BJ13,,COLUMN(AC$8)-COLUMN($C$8)+1-(Config!$D36+Config!$E36)),0)*(1-Config!$F36))*Config!$C36</f>
        <v>0</v>
      </c>
      <c r="AD13" s="67">
        <f>((Config!$F36*Commandes!AD13)+IF(ROUND((AD$8-Config!$C$7)/31,0)&gt;=(Config!$D36+Config!$E36),INDEX(Commandes!$C13:'Commandes'!$BJ13,,COLUMN(AD$8)-COLUMN($C$8)+1-(Config!$D36+Config!$E36)),0)*(1-Config!$F36))*Config!$C36</f>
        <v>0</v>
      </c>
      <c r="AE13" s="67">
        <f>((Config!$F36*Commandes!AE13)+IF(ROUND((AE$8-Config!$C$7)/31,0)&gt;=(Config!$D36+Config!$E36),INDEX(Commandes!$C13:'Commandes'!$BJ13,,COLUMN(AE$8)-COLUMN($C$8)+1-(Config!$D36+Config!$E36)),0)*(1-Config!$F36))*Config!$C36</f>
        <v>0</v>
      </c>
      <c r="AF13" s="67">
        <f>((Config!$F36*Commandes!AF13)+IF(ROUND((AF$8-Config!$C$7)/31,0)&gt;=(Config!$D36+Config!$E36),INDEX(Commandes!$C13:'Commandes'!$BJ13,,COLUMN(AF$8)-COLUMN($C$8)+1-(Config!$D36+Config!$E36)),0)*(1-Config!$F36))*Config!$C36</f>
        <v>0</v>
      </c>
      <c r="AG13" s="67">
        <f>((Config!$F36*Commandes!AG13)+IF(ROUND((AG$8-Config!$C$7)/31,0)&gt;=(Config!$D36+Config!$E36),INDEX(Commandes!$C13:'Commandes'!$BJ13,,COLUMN(AG$8)-COLUMN($C$8)+1-(Config!$D36+Config!$E36)),0)*(1-Config!$F36))*Config!$C36</f>
        <v>0</v>
      </c>
      <c r="AH13" s="67">
        <f>((Config!$F36*Commandes!AH13)+IF(ROUND((AH$8-Config!$C$7)/31,0)&gt;=(Config!$D36+Config!$E36),INDEX(Commandes!$C13:'Commandes'!$BJ13,,COLUMN(AH$8)-COLUMN($C$8)+1-(Config!$D36+Config!$E36)),0)*(1-Config!$F36))*Config!$C36</f>
        <v>0</v>
      </c>
      <c r="AI13" s="67">
        <f>((Config!$F36*Commandes!AI13)+IF(ROUND((AI$8-Config!$C$7)/31,0)&gt;=(Config!$D36+Config!$E36),INDEX(Commandes!$C13:'Commandes'!$BJ13,,COLUMN(AI$8)-COLUMN($C$8)+1-(Config!$D36+Config!$E36)),0)*(1-Config!$F36))*Config!$C36</f>
        <v>0</v>
      </c>
      <c r="AJ13" s="67">
        <f>((Config!$F36*Commandes!AJ13)+IF(ROUND((AJ$8-Config!$C$7)/31,0)&gt;=(Config!$D36+Config!$E36),INDEX(Commandes!$C13:'Commandes'!$BJ13,,COLUMN(AJ$8)-COLUMN($C$8)+1-(Config!$D36+Config!$E36)),0)*(1-Config!$F36))*Config!$C36</f>
        <v>0</v>
      </c>
      <c r="AK13" s="67">
        <f>((Config!$F36*Commandes!AK13)+IF(ROUND((AK$8-Config!$C$7)/31,0)&gt;=(Config!$D36+Config!$E36),INDEX(Commandes!$C13:'Commandes'!$BJ13,,COLUMN(AK$8)-COLUMN($C$8)+1-(Config!$D36+Config!$E36)),0)*(1-Config!$F36))*Config!$C36</f>
        <v>0</v>
      </c>
      <c r="AL13" s="67">
        <f>((Config!$F36*Commandes!AL13)+IF(ROUND((AL$8-Config!$C$7)/31,0)&gt;=(Config!$D36+Config!$E36),INDEX(Commandes!$C13:'Commandes'!$BJ13,,COLUMN(AL$8)-COLUMN($C$8)+1-(Config!$D36+Config!$E36)),0)*(1-Config!$F36))*Config!$C36</f>
        <v>0</v>
      </c>
      <c r="AM13" s="67">
        <f>((Config!$F36*Commandes!AM13)+IF(ROUND((AM$8-Config!$C$7)/31,0)&gt;=(Config!$D36+Config!$E36),INDEX(Commandes!$C13:'Commandes'!$BJ13,,COLUMN(AM$8)-COLUMN($C$8)+1-(Config!$D36+Config!$E36)),0)*(1-Config!$F36))*Config!$C36</f>
        <v>0</v>
      </c>
      <c r="AN13" s="67">
        <f>((Config!$F36*Commandes!AN13)+IF(ROUND((AN$8-Config!$C$7)/31,0)&gt;=(Config!$D36+Config!$E36),INDEX(Commandes!$C13:'Commandes'!$BJ13,,COLUMN(AN$8)-COLUMN($C$8)+1-(Config!$D36+Config!$E36)),0)*(1-Config!$F36))*Config!$C36</f>
        <v>0</v>
      </c>
      <c r="AO13" s="67">
        <f>((Config!$F36*Commandes!AO13)+IF(ROUND((AO$8-Config!$C$7)/31,0)&gt;=(Config!$D36+Config!$E36),INDEX(Commandes!$C13:'Commandes'!$BJ13,,COLUMN(AO$8)-COLUMN($C$8)+1-(Config!$D36+Config!$E36)),0)*(1-Config!$F36))*Config!$C36</f>
        <v>0</v>
      </c>
      <c r="AP13" s="67">
        <f>((Config!$F36*Commandes!AP13)+IF(ROUND((AP$8-Config!$C$7)/31,0)&gt;=(Config!$D36+Config!$E36),INDEX(Commandes!$C13:'Commandes'!$BJ13,,COLUMN(AP$8)-COLUMN($C$8)+1-(Config!$D36+Config!$E36)),0)*(1-Config!$F36))*Config!$C36</f>
        <v>0</v>
      </c>
      <c r="AQ13" s="67">
        <f>((Config!$F36*Commandes!AQ13)+IF(ROUND((AQ$8-Config!$C$7)/31,0)&gt;=(Config!$D36+Config!$E36),INDEX(Commandes!$C13:'Commandes'!$BJ13,,COLUMN(AQ$8)-COLUMN($C$8)+1-(Config!$D36+Config!$E36)),0)*(1-Config!$F36))*Config!$C36</f>
        <v>0</v>
      </c>
      <c r="AR13" s="67">
        <f>((Config!$F36*Commandes!AR13)+IF(ROUND((AR$8-Config!$C$7)/31,0)&gt;=(Config!$D36+Config!$E36),INDEX(Commandes!$C13:'Commandes'!$BJ13,,COLUMN(AR$8)-COLUMN($C$8)+1-(Config!$D36+Config!$E36)),0)*(1-Config!$F36))*Config!$C36</f>
        <v>0</v>
      </c>
      <c r="AS13" s="67">
        <f>((Config!$F36*Commandes!AS13)+IF(ROUND((AS$8-Config!$C$7)/31,0)&gt;=(Config!$D36+Config!$E36),INDEX(Commandes!$C13:'Commandes'!$BJ13,,COLUMN(AS$8)-COLUMN($C$8)+1-(Config!$D36+Config!$E36)),0)*(1-Config!$F36))*Config!$C36</f>
        <v>0</v>
      </c>
      <c r="AT13" s="67">
        <f>((Config!$F36*Commandes!AT13)+IF(ROUND((AT$8-Config!$C$7)/31,0)&gt;=(Config!$D36+Config!$E36),INDEX(Commandes!$C13:'Commandes'!$BJ13,,COLUMN(AT$8)-COLUMN($C$8)+1-(Config!$D36+Config!$E36)),0)*(1-Config!$F36))*Config!$C36</f>
        <v>0</v>
      </c>
      <c r="AU13" s="67">
        <f>((Config!$F36*Commandes!AU13)+IF(ROUND((AU$8-Config!$C$7)/31,0)&gt;=(Config!$D36+Config!$E36),INDEX(Commandes!$C13:'Commandes'!$BJ13,,COLUMN(AU$8)-COLUMN($C$8)+1-(Config!$D36+Config!$E36)),0)*(1-Config!$F36))*Config!$C36</f>
        <v>0</v>
      </c>
      <c r="AV13" s="67">
        <f>((Config!$F36*Commandes!AV13)+IF(ROUND((AV$8-Config!$C$7)/31,0)&gt;=(Config!$D36+Config!$E36),INDEX(Commandes!$C13:'Commandes'!$BJ13,,COLUMN(AV$8)-COLUMN($C$8)+1-(Config!$D36+Config!$E36)),0)*(1-Config!$F36))*Config!$C36</f>
        <v>0</v>
      </c>
      <c r="AW13" s="67">
        <f>((Config!$F36*Commandes!AW13)+IF(ROUND((AW$8-Config!$C$7)/31,0)&gt;=(Config!$D36+Config!$E36),INDEX(Commandes!$C13:'Commandes'!$BJ13,,COLUMN(AW$8)-COLUMN($C$8)+1-(Config!$D36+Config!$E36)),0)*(1-Config!$F36))*Config!$C36</f>
        <v>0</v>
      </c>
      <c r="AX13" s="67">
        <f>((Config!$F36*Commandes!AX13)+IF(ROUND((AX$8-Config!$C$7)/31,0)&gt;=(Config!$D36+Config!$E36),INDEX(Commandes!$C13:'Commandes'!$BJ13,,COLUMN(AX$8)-COLUMN($C$8)+1-(Config!$D36+Config!$E36)),0)*(1-Config!$F36))*Config!$C36</f>
        <v>0</v>
      </c>
      <c r="AY13" s="67">
        <f>((Config!$F36*Commandes!AY13)+IF(ROUND((AY$8-Config!$C$7)/31,0)&gt;=(Config!$D36+Config!$E36),INDEX(Commandes!$C13:'Commandes'!$BJ13,,COLUMN(AY$8)-COLUMN($C$8)+1-(Config!$D36+Config!$E36)),0)*(1-Config!$F36))*Config!$C36</f>
        <v>0</v>
      </c>
      <c r="AZ13" s="67">
        <f>((Config!$F36*Commandes!AZ13)+IF(ROUND((AZ$8-Config!$C$7)/31,0)&gt;=(Config!$D36+Config!$E36),INDEX(Commandes!$C13:'Commandes'!$BJ13,,COLUMN(AZ$8)-COLUMN($C$8)+1-(Config!$D36+Config!$E36)),0)*(1-Config!$F36))*Config!$C36</f>
        <v>0</v>
      </c>
      <c r="BA13" s="67">
        <f>((Config!$F36*Commandes!BA13)+IF(ROUND((BA$8-Config!$C$7)/31,0)&gt;=(Config!$D36+Config!$E36),INDEX(Commandes!$C13:'Commandes'!$BJ13,,COLUMN(BA$8)-COLUMN($C$8)+1-(Config!$D36+Config!$E36)),0)*(1-Config!$F36))*Config!$C36</f>
        <v>0</v>
      </c>
      <c r="BB13" s="67">
        <f>((Config!$F36*Commandes!BB13)+IF(ROUND((BB$8-Config!$C$7)/31,0)&gt;=(Config!$D36+Config!$E36),INDEX(Commandes!$C13:'Commandes'!$BJ13,,COLUMN(BB$8)-COLUMN($C$8)+1-(Config!$D36+Config!$E36)),0)*(1-Config!$F36))*Config!$C36</f>
        <v>0</v>
      </c>
      <c r="BC13" s="67">
        <f>((Config!$F36*Commandes!BC13)+IF(ROUND((BC$8-Config!$C$7)/31,0)&gt;=(Config!$D36+Config!$E36),INDEX(Commandes!$C13:'Commandes'!$BJ13,,COLUMN(BC$8)-COLUMN($C$8)+1-(Config!$D36+Config!$E36)),0)*(1-Config!$F36))*Config!$C36</f>
        <v>0</v>
      </c>
      <c r="BD13" s="67">
        <f>((Config!$F36*Commandes!BD13)+IF(ROUND((BD$8-Config!$C$7)/31,0)&gt;=(Config!$D36+Config!$E36),INDEX(Commandes!$C13:'Commandes'!$BJ13,,COLUMN(BD$8)-COLUMN($C$8)+1-(Config!$D36+Config!$E36)),0)*(1-Config!$F36))*Config!$C36</f>
        <v>0</v>
      </c>
      <c r="BE13" s="67">
        <f>((Config!$F36*Commandes!BE13)+IF(ROUND((BE$8-Config!$C$7)/31,0)&gt;=(Config!$D36+Config!$E36),INDEX(Commandes!$C13:'Commandes'!$BJ13,,COLUMN(BE$8)-COLUMN($C$8)+1-(Config!$D36+Config!$E36)),0)*(1-Config!$F36))*Config!$C36</f>
        <v>0</v>
      </c>
      <c r="BF13" s="67">
        <f>((Config!$F36*Commandes!BF13)+IF(ROUND((BF$8-Config!$C$7)/31,0)&gt;=(Config!$D36+Config!$E36),INDEX(Commandes!$C13:'Commandes'!$BJ13,,COLUMN(BF$8)-COLUMN($C$8)+1-(Config!$D36+Config!$E36)),0)*(1-Config!$F36))*Config!$C36</f>
        <v>0</v>
      </c>
      <c r="BG13" s="67">
        <f>((Config!$F36*Commandes!BG13)+IF(ROUND((BG$8-Config!$C$7)/31,0)&gt;=(Config!$D36+Config!$E36),INDEX(Commandes!$C13:'Commandes'!$BJ13,,COLUMN(BG$8)-COLUMN($C$8)+1-(Config!$D36+Config!$E36)),0)*(1-Config!$F36))*Config!$C36</f>
        <v>0</v>
      </c>
      <c r="BH13" s="67">
        <f>((Config!$F36*Commandes!BH13)+IF(ROUND((BH$8-Config!$C$7)/31,0)&gt;=(Config!$D36+Config!$E36),INDEX(Commandes!$C13:'Commandes'!$BJ13,,COLUMN(BH$8)-COLUMN($C$8)+1-(Config!$D36+Config!$E36)),0)*(1-Config!$F36))*Config!$C36</f>
        <v>0</v>
      </c>
      <c r="BI13" s="67">
        <f>((Config!$F36*Commandes!BI13)+IF(ROUND((BI$8-Config!$C$7)/31,0)&gt;=(Config!$D36+Config!$E36),INDEX(Commandes!$C13:'Commandes'!$BJ13,,COLUMN(BI$8)-COLUMN($C$8)+1-(Config!$D36+Config!$E36)),0)*(1-Config!$F36))*Config!$C36</f>
        <v>0</v>
      </c>
      <c r="BJ13" s="67">
        <f>((Config!$F36*Commandes!BJ13)+IF(ROUND((BJ$8-Config!$C$7)/31,0)&gt;=(Config!$D36+Config!$E36),INDEX(Commandes!$C13:'Commandes'!$BJ13,,COLUMN(BJ$8)-COLUMN($C$8)+1-(Config!$D36+Config!$E36)),0)*(1-Config!$F36))*Config!$C36</f>
        <v>0</v>
      </c>
      <c r="BK13" s="70"/>
    </row>
    <row r="14" spans="2:63" x14ac:dyDescent="0.2">
      <c r="B14" s="46">
        <f>Config!$B$19</f>
        <v>0</v>
      </c>
      <c r="C14" s="67">
        <f>((Config!$F37*Commandes!C14)+IF(ROUND((C$8-Config!$C$7)/31,0)&gt;=(Config!$D37+Config!$E37),INDEX(Commandes!$C14:'Commandes'!$BJ14,,COLUMN(C$8)-COLUMN($C$8)+1-(Config!$D37+Config!$E37)),0)*(1-Config!$F37))*Config!$C37</f>
        <v>0</v>
      </c>
      <c r="D14" s="67">
        <f>((Config!$F37*Commandes!D14)+IF(ROUND((D$8-Config!$C$7)/31,0)&gt;=(Config!$D37+Config!$E37),INDEX(Commandes!$C14:'Commandes'!$BJ14,,COLUMN(D$8)-COLUMN($C$8)+1-(Config!$D37+Config!$E37)),0)*(1-Config!$F37))*Config!$C37</f>
        <v>0</v>
      </c>
      <c r="E14" s="67">
        <f>((Config!$F37*Commandes!E14)+IF(ROUND((E$8-Config!$C$7)/31,0)&gt;=(Config!$D37+Config!$E37),INDEX(Commandes!$C14:'Commandes'!$BJ14,,COLUMN(E$8)-COLUMN($C$8)+1-(Config!$D37+Config!$E37)),0)*(1-Config!$F37))*Config!$C37</f>
        <v>0</v>
      </c>
      <c r="F14" s="67">
        <f>((Config!$F37*Commandes!F14)+IF(ROUND((F$8-Config!$C$7)/31,0)&gt;=(Config!$D37+Config!$E37),INDEX(Commandes!$C14:'Commandes'!$BJ14,,COLUMN(F$8)-COLUMN($C$8)+1-(Config!$D37+Config!$E37)),0)*(1-Config!$F37))*Config!$C37</f>
        <v>0</v>
      </c>
      <c r="G14" s="67">
        <f>((Config!$F37*Commandes!G14)+IF(ROUND((G$8-Config!$C$7)/31,0)&gt;=(Config!$D37+Config!$E37),INDEX(Commandes!$C14:'Commandes'!$BJ14,,COLUMN(G$8)-COLUMN($C$8)+1-(Config!$D37+Config!$E37)),0)*(1-Config!$F37))*Config!$C37</f>
        <v>0</v>
      </c>
      <c r="H14" s="67">
        <f>((Config!$F37*Commandes!H14)+IF(ROUND((H$8-Config!$C$7)/31,0)&gt;=(Config!$D37+Config!$E37),INDEX(Commandes!$C14:'Commandes'!$BJ14,,COLUMN(H$8)-COLUMN($C$8)+1-(Config!$D37+Config!$E37)),0)*(1-Config!$F37))*Config!$C37</f>
        <v>0</v>
      </c>
      <c r="I14" s="67">
        <f>((Config!$F37*Commandes!I14)+IF(ROUND((I$8-Config!$C$7)/31,0)&gt;=(Config!$D37+Config!$E37),INDEX(Commandes!$C14:'Commandes'!$BJ14,,COLUMN(I$8)-COLUMN($C$8)+1-(Config!$D37+Config!$E37)),0)*(1-Config!$F37))*Config!$C37</f>
        <v>0</v>
      </c>
      <c r="J14" s="67">
        <f>((Config!$F37*Commandes!J14)+IF(ROUND((J$8-Config!$C$7)/31,0)&gt;=(Config!$D37+Config!$E37),INDEX(Commandes!$C14:'Commandes'!$BJ14,,COLUMN(J$8)-COLUMN($C$8)+1-(Config!$D37+Config!$E37)),0)*(1-Config!$F37))*Config!$C37</f>
        <v>0</v>
      </c>
      <c r="K14" s="67">
        <f>((Config!$F37*Commandes!K14)+IF(ROUND((K$8-Config!$C$7)/31,0)&gt;=(Config!$D37+Config!$E37),INDEX(Commandes!$C14:'Commandes'!$BJ14,,COLUMN(K$8)-COLUMN($C$8)+1-(Config!$D37+Config!$E37)),0)*(1-Config!$F37))*Config!$C37</f>
        <v>0</v>
      </c>
      <c r="L14" s="67">
        <f>((Config!$F37*Commandes!L14)+IF(ROUND((L$8-Config!$C$7)/31,0)&gt;=(Config!$D37+Config!$E37),INDEX(Commandes!$C14:'Commandes'!$BJ14,,COLUMN(L$8)-COLUMN($C$8)+1-(Config!$D37+Config!$E37)),0)*(1-Config!$F37))*Config!$C37</f>
        <v>0</v>
      </c>
      <c r="M14" s="67">
        <f>((Config!$F37*Commandes!M14)+IF(ROUND((M$8-Config!$C$7)/31,0)&gt;=(Config!$D37+Config!$E37),INDEX(Commandes!$C14:'Commandes'!$BJ14,,COLUMN(M$8)-COLUMN($C$8)+1-(Config!$D37+Config!$E37)),0)*(1-Config!$F37))*Config!$C37</f>
        <v>0</v>
      </c>
      <c r="N14" s="67">
        <f>((Config!$F37*Commandes!N14)+IF(ROUND((N$8-Config!$C$7)/31,0)&gt;=(Config!$D37+Config!$E37),INDEX(Commandes!$C14:'Commandes'!$BJ14,,COLUMN(N$8)-COLUMN($C$8)+1-(Config!$D37+Config!$E37)),0)*(1-Config!$F37))*Config!$C37</f>
        <v>0</v>
      </c>
      <c r="O14" s="67">
        <f>((Config!$F37*Commandes!O14)+IF(ROUND((O$8-Config!$C$7)/31,0)&gt;=(Config!$D37+Config!$E37),INDEX(Commandes!$C14:'Commandes'!$BJ14,,COLUMN(O$8)-COLUMN($C$8)+1-(Config!$D37+Config!$E37)),0)*(1-Config!$F37))*Config!$C37</f>
        <v>0</v>
      </c>
      <c r="P14" s="67">
        <f>((Config!$F37*Commandes!P14)+IF(ROUND((P$8-Config!$C$7)/31,0)&gt;=(Config!$D37+Config!$E37),INDEX(Commandes!$C14:'Commandes'!$BJ14,,COLUMN(P$8)-COLUMN($C$8)+1-(Config!$D37+Config!$E37)),0)*(1-Config!$F37))*Config!$C37</f>
        <v>0</v>
      </c>
      <c r="Q14" s="67">
        <f>((Config!$F37*Commandes!Q14)+IF(ROUND((Q$8-Config!$C$7)/31,0)&gt;=(Config!$D37+Config!$E37),INDEX(Commandes!$C14:'Commandes'!$BJ14,,COLUMN(Q$8)-COLUMN($C$8)+1-(Config!$D37+Config!$E37)),0)*(1-Config!$F37))*Config!$C37</f>
        <v>0</v>
      </c>
      <c r="R14" s="67">
        <f>((Config!$F37*Commandes!R14)+IF(ROUND((R$8-Config!$C$7)/31,0)&gt;=(Config!$D37+Config!$E37),INDEX(Commandes!$C14:'Commandes'!$BJ14,,COLUMN(R$8)-COLUMN($C$8)+1-(Config!$D37+Config!$E37)),0)*(1-Config!$F37))*Config!$C37</f>
        <v>0</v>
      </c>
      <c r="S14" s="67">
        <f>((Config!$F37*Commandes!S14)+IF(ROUND((S$8-Config!$C$7)/31,0)&gt;=(Config!$D37+Config!$E37),INDEX(Commandes!$C14:'Commandes'!$BJ14,,COLUMN(S$8)-COLUMN($C$8)+1-(Config!$D37+Config!$E37)),0)*(1-Config!$F37))*Config!$C37</f>
        <v>0</v>
      </c>
      <c r="T14" s="67">
        <f>((Config!$F37*Commandes!T14)+IF(ROUND((T$8-Config!$C$7)/31,0)&gt;=(Config!$D37+Config!$E37),INDEX(Commandes!$C14:'Commandes'!$BJ14,,COLUMN(T$8)-COLUMN($C$8)+1-(Config!$D37+Config!$E37)),0)*(1-Config!$F37))*Config!$C37</f>
        <v>0</v>
      </c>
      <c r="U14" s="67">
        <f>((Config!$F37*Commandes!U14)+IF(ROUND((U$8-Config!$C$7)/31,0)&gt;=(Config!$D37+Config!$E37),INDEX(Commandes!$C14:'Commandes'!$BJ14,,COLUMN(U$8)-COLUMN($C$8)+1-(Config!$D37+Config!$E37)),0)*(1-Config!$F37))*Config!$C37</f>
        <v>0</v>
      </c>
      <c r="V14" s="67">
        <f>((Config!$F37*Commandes!V14)+IF(ROUND((V$8-Config!$C$7)/31,0)&gt;=(Config!$D37+Config!$E37),INDEX(Commandes!$C14:'Commandes'!$BJ14,,COLUMN(V$8)-COLUMN($C$8)+1-(Config!$D37+Config!$E37)),0)*(1-Config!$F37))*Config!$C37</f>
        <v>0</v>
      </c>
      <c r="W14" s="67">
        <f>((Config!$F37*Commandes!W14)+IF(ROUND((W$8-Config!$C$7)/31,0)&gt;=(Config!$D37+Config!$E37),INDEX(Commandes!$C14:'Commandes'!$BJ14,,COLUMN(W$8)-COLUMN($C$8)+1-(Config!$D37+Config!$E37)),0)*(1-Config!$F37))*Config!$C37</f>
        <v>0</v>
      </c>
      <c r="X14" s="67">
        <f>((Config!$F37*Commandes!X14)+IF(ROUND((X$8-Config!$C$7)/31,0)&gt;=(Config!$D37+Config!$E37),INDEX(Commandes!$C14:'Commandes'!$BJ14,,COLUMN(X$8)-COLUMN($C$8)+1-(Config!$D37+Config!$E37)),0)*(1-Config!$F37))*Config!$C37</f>
        <v>0</v>
      </c>
      <c r="Y14" s="67">
        <f>((Config!$F37*Commandes!Y14)+IF(ROUND((Y$8-Config!$C$7)/31,0)&gt;=(Config!$D37+Config!$E37),INDEX(Commandes!$C14:'Commandes'!$BJ14,,COLUMN(Y$8)-COLUMN($C$8)+1-(Config!$D37+Config!$E37)),0)*(1-Config!$F37))*Config!$C37</f>
        <v>0</v>
      </c>
      <c r="Z14" s="67">
        <f>((Config!$F37*Commandes!Z14)+IF(ROUND((Z$8-Config!$C$7)/31,0)&gt;=(Config!$D37+Config!$E37),INDEX(Commandes!$C14:'Commandes'!$BJ14,,COLUMN(Z$8)-COLUMN($C$8)+1-(Config!$D37+Config!$E37)),0)*(1-Config!$F37))*Config!$C37</f>
        <v>0</v>
      </c>
      <c r="AA14" s="67">
        <f>((Config!$F37*Commandes!AA14)+IF(ROUND((AA$8-Config!$C$7)/31,0)&gt;=(Config!$D37+Config!$E37),INDEX(Commandes!$C14:'Commandes'!$BJ14,,COLUMN(AA$8)-COLUMN($C$8)+1-(Config!$D37+Config!$E37)),0)*(1-Config!$F37))*Config!$C37</f>
        <v>0</v>
      </c>
      <c r="AB14" s="67">
        <f>((Config!$F37*Commandes!AB14)+IF(ROUND((AB$8-Config!$C$7)/31,0)&gt;=(Config!$D37+Config!$E37),INDEX(Commandes!$C14:'Commandes'!$BJ14,,COLUMN(AB$8)-COLUMN($C$8)+1-(Config!$D37+Config!$E37)),0)*(1-Config!$F37))*Config!$C37</f>
        <v>0</v>
      </c>
      <c r="AC14" s="67">
        <f>((Config!$F37*Commandes!AC14)+IF(ROUND((AC$8-Config!$C$7)/31,0)&gt;=(Config!$D37+Config!$E37),INDEX(Commandes!$C14:'Commandes'!$BJ14,,COLUMN(AC$8)-COLUMN($C$8)+1-(Config!$D37+Config!$E37)),0)*(1-Config!$F37))*Config!$C37</f>
        <v>0</v>
      </c>
      <c r="AD14" s="67">
        <f>((Config!$F37*Commandes!AD14)+IF(ROUND((AD$8-Config!$C$7)/31,0)&gt;=(Config!$D37+Config!$E37),INDEX(Commandes!$C14:'Commandes'!$BJ14,,COLUMN(AD$8)-COLUMN($C$8)+1-(Config!$D37+Config!$E37)),0)*(1-Config!$F37))*Config!$C37</f>
        <v>0</v>
      </c>
      <c r="AE14" s="67">
        <f>((Config!$F37*Commandes!AE14)+IF(ROUND((AE$8-Config!$C$7)/31,0)&gt;=(Config!$D37+Config!$E37),INDEX(Commandes!$C14:'Commandes'!$BJ14,,COLUMN(AE$8)-COLUMN($C$8)+1-(Config!$D37+Config!$E37)),0)*(1-Config!$F37))*Config!$C37</f>
        <v>0</v>
      </c>
      <c r="AF14" s="67">
        <f>((Config!$F37*Commandes!AF14)+IF(ROUND((AF$8-Config!$C$7)/31,0)&gt;=(Config!$D37+Config!$E37),INDEX(Commandes!$C14:'Commandes'!$BJ14,,COLUMN(AF$8)-COLUMN($C$8)+1-(Config!$D37+Config!$E37)),0)*(1-Config!$F37))*Config!$C37</f>
        <v>0</v>
      </c>
      <c r="AG14" s="67">
        <f>((Config!$F37*Commandes!AG14)+IF(ROUND((AG$8-Config!$C$7)/31,0)&gt;=(Config!$D37+Config!$E37),INDEX(Commandes!$C14:'Commandes'!$BJ14,,COLUMN(AG$8)-COLUMN($C$8)+1-(Config!$D37+Config!$E37)),0)*(1-Config!$F37))*Config!$C37</f>
        <v>0</v>
      </c>
      <c r="AH14" s="67">
        <f>((Config!$F37*Commandes!AH14)+IF(ROUND((AH$8-Config!$C$7)/31,0)&gt;=(Config!$D37+Config!$E37),INDEX(Commandes!$C14:'Commandes'!$BJ14,,COLUMN(AH$8)-COLUMN($C$8)+1-(Config!$D37+Config!$E37)),0)*(1-Config!$F37))*Config!$C37</f>
        <v>0</v>
      </c>
      <c r="AI14" s="67">
        <f>((Config!$F37*Commandes!AI14)+IF(ROUND((AI$8-Config!$C$7)/31,0)&gt;=(Config!$D37+Config!$E37),INDEX(Commandes!$C14:'Commandes'!$BJ14,,COLUMN(AI$8)-COLUMN($C$8)+1-(Config!$D37+Config!$E37)),0)*(1-Config!$F37))*Config!$C37</f>
        <v>0</v>
      </c>
      <c r="AJ14" s="67">
        <f>((Config!$F37*Commandes!AJ14)+IF(ROUND((AJ$8-Config!$C$7)/31,0)&gt;=(Config!$D37+Config!$E37),INDEX(Commandes!$C14:'Commandes'!$BJ14,,COLUMN(AJ$8)-COLUMN($C$8)+1-(Config!$D37+Config!$E37)),0)*(1-Config!$F37))*Config!$C37</f>
        <v>0</v>
      </c>
      <c r="AK14" s="67">
        <f>((Config!$F37*Commandes!AK14)+IF(ROUND((AK$8-Config!$C$7)/31,0)&gt;=(Config!$D37+Config!$E37),INDEX(Commandes!$C14:'Commandes'!$BJ14,,COLUMN(AK$8)-COLUMN($C$8)+1-(Config!$D37+Config!$E37)),0)*(1-Config!$F37))*Config!$C37</f>
        <v>0</v>
      </c>
      <c r="AL14" s="67">
        <f>((Config!$F37*Commandes!AL14)+IF(ROUND((AL$8-Config!$C$7)/31,0)&gt;=(Config!$D37+Config!$E37),INDEX(Commandes!$C14:'Commandes'!$BJ14,,COLUMN(AL$8)-COLUMN($C$8)+1-(Config!$D37+Config!$E37)),0)*(1-Config!$F37))*Config!$C37</f>
        <v>0</v>
      </c>
      <c r="AM14" s="67">
        <f>((Config!$F37*Commandes!AM14)+IF(ROUND((AM$8-Config!$C$7)/31,0)&gt;=(Config!$D37+Config!$E37),INDEX(Commandes!$C14:'Commandes'!$BJ14,,COLUMN(AM$8)-COLUMN($C$8)+1-(Config!$D37+Config!$E37)),0)*(1-Config!$F37))*Config!$C37</f>
        <v>0</v>
      </c>
      <c r="AN14" s="67">
        <f>((Config!$F37*Commandes!AN14)+IF(ROUND((AN$8-Config!$C$7)/31,0)&gt;=(Config!$D37+Config!$E37),INDEX(Commandes!$C14:'Commandes'!$BJ14,,COLUMN(AN$8)-COLUMN($C$8)+1-(Config!$D37+Config!$E37)),0)*(1-Config!$F37))*Config!$C37</f>
        <v>0</v>
      </c>
      <c r="AO14" s="67">
        <f>((Config!$F37*Commandes!AO14)+IF(ROUND((AO$8-Config!$C$7)/31,0)&gt;=(Config!$D37+Config!$E37),INDEX(Commandes!$C14:'Commandes'!$BJ14,,COLUMN(AO$8)-COLUMN($C$8)+1-(Config!$D37+Config!$E37)),0)*(1-Config!$F37))*Config!$C37</f>
        <v>0</v>
      </c>
      <c r="AP14" s="67">
        <f>((Config!$F37*Commandes!AP14)+IF(ROUND((AP$8-Config!$C$7)/31,0)&gt;=(Config!$D37+Config!$E37),INDEX(Commandes!$C14:'Commandes'!$BJ14,,COLUMN(AP$8)-COLUMN($C$8)+1-(Config!$D37+Config!$E37)),0)*(1-Config!$F37))*Config!$C37</f>
        <v>0</v>
      </c>
      <c r="AQ14" s="67">
        <f>((Config!$F37*Commandes!AQ14)+IF(ROUND((AQ$8-Config!$C$7)/31,0)&gt;=(Config!$D37+Config!$E37),INDEX(Commandes!$C14:'Commandes'!$BJ14,,COLUMN(AQ$8)-COLUMN($C$8)+1-(Config!$D37+Config!$E37)),0)*(1-Config!$F37))*Config!$C37</f>
        <v>0</v>
      </c>
      <c r="AR14" s="67">
        <f>((Config!$F37*Commandes!AR14)+IF(ROUND((AR$8-Config!$C$7)/31,0)&gt;=(Config!$D37+Config!$E37),INDEX(Commandes!$C14:'Commandes'!$BJ14,,COLUMN(AR$8)-COLUMN($C$8)+1-(Config!$D37+Config!$E37)),0)*(1-Config!$F37))*Config!$C37</f>
        <v>0</v>
      </c>
      <c r="AS14" s="67">
        <f>((Config!$F37*Commandes!AS14)+IF(ROUND((AS$8-Config!$C$7)/31,0)&gt;=(Config!$D37+Config!$E37),INDEX(Commandes!$C14:'Commandes'!$BJ14,,COLUMN(AS$8)-COLUMN($C$8)+1-(Config!$D37+Config!$E37)),0)*(1-Config!$F37))*Config!$C37</f>
        <v>0</v>
      </c>
      <c r="AT14" s="67">
        <f>((Config!$F37*Commandes!AT14)+IF(ROUND((AT$8-Config!$C$7)/31,0)&gt;=(Config!$D37+Config!$E37),INDEX(Commandes!$C14:'Commandes'!$BJ14,,COLUMN(AT$8)-COLUMN($C$8)+1-(Config!$D37+Config!$E37)),0)*(1-Config!$F37))*Config!$C37</f>
        <v>0</v>
      </c>
      <c r="AU14" s="67">
        <f>((Config!$F37*Commandes!AU14)+IF(ROUND((AU$8-Config!$C$7)/31,0)&gt;=(Config!$D37+Config!$E37),INDEX(Commandes!$C14:'Commandes'!$BJ14,,COLUMN(AU$8)-COLUMN($C$8)+1-(Config!$D37+Config!$E37)),0)*(1-Config!$F37))*Config!$C37</f>
        <v>0</v>
      </c>
      <c r="AV14" s="67">
        <f>((Config!$F37*Commandes!AV14)+IF(ROUND((AV$8-Config!$C$7)/31,0)&gt;=(Config!$D37+Config!$E37),INDEX(Commandes!$C14:'Commandes'!$BJ14,,COLUMN(AV$8)-COLUMN($C$8)+1-(Config!$D37+Config!$E37)),0)*(1-Config!$F37))*Config!$C37</f>
        <v>0</v>
      </c>
      <c r="AW14" s="67">
        <f>((Config!$F37*Commandes!AW14)+IF(ROUND((AW$8-Config!$C$7)/31,0)&gt;=(Config!$D37+Config!$E37),INDEX(Commandes!$C14:'Commandes'!$BJ14,,COLUMN(AW$8)-COLUMN($C$8)+1-(Config!$D37+Config!$E37)),0)*(1-Config!$F37))*Config!$C37</f>
        <v>0</v>
      </c>
      <c r="AX14" s="67">
        <f>((Config!$F37*Commandes!AX14)+IF(ROUND((AX$8-Config!$C$7)/31,0)&gt;=(Config!$D37+Config!$E37),INDEX(Commandes!$C14:'Commandes'!$BJ14,,COLUMN(AX$8)-COLUMN($C$8)+1-(Config!$D37+Config!$E37)),0)*(1-Config!$F37))*Config!$C37</f>
        <v>0</v>
      </c>
      <c r="AY14" s="67">
        <f>((Config!$F37*Commandes!AY14)+IF(ROUND((AY$8-Config!$C$7)/31,0)&gt;=(Config!$D37+Config!$E37),INDEX(Commandes!$C14:'Commandes'!$BJ14,,COLUMN(AY$8)-COLUMN($C$8)+1-(Config!$D37+Config!$E37)),0)*(1-Config!$F37))*Config!$C37</f>
        <v>0</v>
      </c>
      <c r="AZ14" s="67">
        <f>((Config!$F37*Commandes!AZ14)+IF(ROUND((AZ$8-Config!$C$7)/31,0)&gt;=(Config!$D37+Config!$E37),INDEX(Commandes!$C14:'Commandes'!$BJ14,,COLUMN(AZ$8)-COLUMN($C$8)+1-(Config!$D37+Config!$E37)),0)*(1-Config!$F37))*Config!$C37</f>
        <v>0</v>
      </c>
      <c r="BA14" s="67">
        <f>((Config!$F37*Commandes!BA14)+IF(ROUND((BA$8-Config!$C$7)/31,0)&gt;=(Config!$D37+Config!$E37),INDEX(Commandes!$C14:'Commandes'!$BJ14,,COLUMN(BA$8)-COLUMN($C$8)+1-(Config!$D37+Config!$E37)),0)*(1-Config!$F37))*Config!$C37</f>
        <v>0</v>
      </c>
      <c r="BB14" s="67">
        <f>((Config!$F37*Commandes!BB14)+IF(ROUND((BB$8-Config!$C$7)/31,0)&gt;=(Config!$D37+Config!$E37),INDEX(Commandes!$C14:'Commandes'!$BJ14,,COLUMN(BB$8)-COLUMN($C$8)+1-(Config!$D37+Config!$E37)),0)*(1-Config!$F37))*Config!$C37</f>
        <v>0</v>
      </c>
      <c r="BC14" s="67">
        <f>((Config!$F37*Commandes!BC14)+IF(ROUND((BC$8-Config!$C$7)/31,0)&gt;=(Config!$D37+Config!$E37),INDEX(Commandes!$C14:'Commandes'!$BJ14,,COLUMN(BC$8)-COLUMN($C$8)+1-(Config!$D37+Config!$E37)),0)*(1-Config!$F37))*Config!$C37</f>
        <v>0</v>
      </c>
      <c r="BD14" s="67">
        <f>((Config!$F37*Commandes!BD14)+IF(ROUND((BD$8-Config!$C$7)/31,0)&gt;=(Config!$D37+Config!$E37),INDEX(Commandes!$C14:'Commandes'!$BJ14,,COLUMN(BD$8)-COLUMN($C$8)+1-(Config!$D37+Config!$E37)),0)*(1-Config!$F37))*Config!$C37</f>
        <v>0</v>
      </c>
      <c r="BE14" s="67">
        <f>((Config!$F37*Commandes!BE14)+IF(ROUND((BE$8-Config!$C$7)/31,0)&gt;=(Config!$D37+Config!$E37),INDEX(Commandes!$C14:'Commandes'!$BJ14,,COLUMN(BE$8)-COLUMN($C$8)+1-(Config!$D37+Config!$E37)),0)*(1-Config!$F37))*Config!$C37</f>
        <v>0</v>
      </c>
      <c r="BF14" s="67">
        <f>((Config!$F37*Commandes!BF14)+IF(ROUND((BF$8-Config!$C$7)/31,0)&gt;=(Config!$D37+Config!$E37),INDEX(Commandes!$C14:'Commandes'!$BJ14,,COLUMN(BF$8)-COLUMN($C$8)+1-(Config!$D37+Config!$E37)),0)*(1-Config!$F37))*Config!$C37</f>
        <v>0</v>
      </c>
      <c r="BG14" s="67">
        <f>((Config!$F37*Commandes!BG14)+IF(ROUND((BG$8-Config!$C$7)/31,0)&gt;=(Config!$D37+Config!$E37),INDEX(Commandes!$C14:'Commandes'!$BJ14,,COLUMN(BG$8)-COLUMN($C$8)+1-(Config!$D37+Config!$E37)),0)*(1-Config!$F37))*Config!$C37</f>
        <v>0</v>
      </c>
      <c r="BH14" s="67">
        <f>((Config!$F37*Commandes!BH14)+IF(ROUND((BH$8-Config!$C$7)/31,0)&gt;=(Config!$D37+Config!$E37),INDEX(Commandes!$C14:'Commandes'!$BJ14,,COLUMN(BH$8)-COLUMN($C$8)+1-(Config!$D37+Config!$E37)),0)*(1-Config!$F37))*Config!$C37</f>
        <v>0</v>
      </c>
      <c r="BI14" s="67">
        <f>((Config!$F37*Commandes!BI14)+IF(ROUND((BI$8-Config!$C$7)/31,0)&gt;=(Config!$D37+Config!$E37),INDEX(Commandes!$C14:'Commandes'!$BJ14,,COLUMN(BI$8)-COLUMN($C$8)+1-(Config!$D37+Config!$E37)),0)*(1-Config!$F37))*Config!$C37</f>
        <v>0</v>
      </c>
      <c r="BJ14" s="67">
        <f>((Config!$F37*Commandes!BJ14)+IF(ROUND((BJ$8-Config!$C$7)/31,0)&gt;=(Config!$D37+Config!$E37),INDEX(Commandes!$C14:'Commandes'!$BJ14,,COLUMN(BJ$8)-COLUMN($C$8)+1-(Config!$D37+Config!$E37)),0)*(1-Config!$F37))*Config!$C37</f>
        <v>0</v>
      </c>
      <c r="BK14" s="70"/>
    </row>
    <row r="15" spans="2:63" x14ac:dyDescent="0.2">
      <c r="B15" s="46">
        <f>Config!$B$20</f>
        <v>0</v>
      </c>
      <c r="C15" s="67">
        <f>((Config!$F38*Commandes!C15)+IF(ROUND((C$8-Config!$C$7)/31,0)&gt;=(Config!$D38+Config!$E38),INDEX(Commandes!$C15:'Commandes'!$BJ15,,COLUMN(C$8)-COLUMN($C$8)+1-(Config!$D38+Config!$E38)),0)*(1-Config!$F38))*Config!$C38</f>
        <v>0</v>
      </c>
      <c r="D15" s="67">
        <f>((Config!$F38*Commandes!D15)+IF(ROUND((D$8-Config!$C$7)/31,0)&gt;=(Config!$D38+Config!$E38),INDEX(Commandes!$C15:'Commandes'!$BJ15,,COLUMN(D$8)-COLUMN($C$8)+1-(Config!$D38+Config!$E38)),0)*(1-Config!$F38))*Config!$C38</f>
        <v>0</v>
      </c>
      <c r="E15" s="67">
        <f>((Config!$F38*Commandes!E15)+IF(ROUND((E$8-Config!$C$7)/31,0)&gt;=(Config!$D38+Config!$E38),INDEX(Commandes!$C15:'Commandes'!$BJ15,,COLUMN(E$8)-COLUMN($C$8)+1-(Config!$D38+Config!$E38)),0)*(1-Config!$F38))*Config!$C38</f>
        <v>0</v>
      </c>
      <c r="F15" s="67">
        <f>((Config!$F38*Commandes!F15)+IF(ROUND((F$8-Config!$C$7)/31,0)&gt;=(Config!$D38+Config!$E38),INDEX(Commandes!$C15:'Commandes'!$BJ15,,COLUMN(F$8)-COLUMN($C$8)+1-(Config!$D38+Config!$E38)),0)*(1-Config!$F38))*Config!$C38</f>
        <v>0</v>
      </c>
      <c r="G15" s="67">
        <f>((Config!$F38*Commandes!G15)+IF(ROUND((G$8-Config!$C$7)/31,0)&gt;=(Config!$D38+Config!$E38),INDEX(Commandes!$C15:'Commandes'!$BJ15,,COLUMN(G$8)-COLUMN($C$8)+1-(Config!$D38+Config!$E38)),0)*(1-Config!$F38))*Config!$C38</f>
        <v>0</v>
      </c>
      <c r="H15" s="67">
        <f>((Config!$F38*Commandes!H15)+IF(ROUND((H$8-Config!$C$7)/31,0)&gt;=(Config!$D38+Config!$E38),INDEX(Commandes!$C15:'Commandes'!$BJ15,,COLUMN(H$8)-COLUMN($C$8)+1-(Config!$D38+Config!$E38)),0)*(1-Config!$F38))*Config!$C38</f>
        <v>0</v>
      </c>
      <c r="I15" s="67">
        <f>((Config!$F38*Commandes!I15)+IF(ROUND((I$8-Config!$C$7)/31,0)&gt;=(Config!$D38+Config!$E38),INDEX(Commandes!$C15:'Commandes'!$BJ15,,COLUMN(I$8)-COLUMN($C$8)+1-(Config!$D38+Config!$E38)),0)*(1-Config!$F38))*Config!$C38</f>
        <v>0</v>
      </c>
      <c r="J15" s="67">
        <f>((Config!$F38*Commandes!J15)+IF(ROUND((J$8-Config!$C$7)/31,0)&gt;=(Config!$D38+Config!$E38),INDEX(Commandes!$C15:'Commandes'!$BJ15,,COLUMN(J$8)-COLUMN($C$8)+1-(Config!$D38+Config!$E38)),0)*(1-Config!$F38))*Config!$C38</f>
        <v>0</v>
      </c>
      <c r="K15" s="67">
        <f>((Config!$F38*Commandes!K15)+IF(ROUND((K$8-Config!$C$7)/31,0)&gt;=(Config!$D38+Config!$E38),INDEX(Commandes!$C15:'Commandes'!$BJ15,,COLUMN(K$8)-COLUMN($C$8)+1-(Config!$D38+Config!$E38)),0)*(1-Config!$F38))*Config!$C38</f>
        <v>0</v>
      </c>
      <c r="L15" s="67">
        <f>((Config!$F38*Commandes!L15)+IF(ROUND((L$8-Config!$C$7)/31,0)&gt;=(Config!$D38+Config!$E38),INDEX(Commandes!$C15:'Commandes'!$BJ15,,COLUMN(L$8)-COLUMN($C$8)+1-(Config!$D38+Config!$E38)),0)*(1-Config!$F38))*Config!$C38</f>
        <v>0</v>
      </c>
      <c r="M15" s="67">
        <f>((Config!$F38*Commandes!M15)+IF(ROUND((M$8-Config!$C$7)/31,0)&gt;=(Config!$D38+Config!$E38),INDEX(Commandes!$C15:'Commandes'!$BJ15,,COLUMN(M$8)-COLUMN($C$8)+1-(Config!$D38+Config!$E38)),0)*(1-Config!$F38))*Config!$C38</f>
        <v>0</v>
      </c>
      <c r="N15" s="67">
        <f>((Config!$F38*Commandes!N15)+IF(ROUND((N$8-Config!$C$7)/31,0)&gt;=(Config!$D38+Config!$E38),INDEX(Commandes!$C15:'Commandes'!$BJ15,,COLUMN(N$8)-COLUMN($C$8)+1-(Config!$D38+Config!$E38)),0)*(1-Config!$F38))*Config!$C38</f>
        <v>0</v>
      </c>
      <c r="O15" s="67">
        <f>((Config!$F38*Commandes!O15)+IF(ROUND((O$8-Config!$C$7)/31,0)&gt;=(Config!$D38+Config!$E38),INDEX(Commandes!$C15:'Commandes'!$BJ15,,COLUMN(O$8)-COLUMN($C$8)+1-(Config!$D38+Config!$E38)),0)*(1-Config!$F38))*Config!$C38</f>
        <v>0</v>
      </c>
      <c r="P15" s="67">
        <f>((Config!$F38*Commandes!P15)+IF(ROUND((P$8-Config!$C$7)/31,0)&gt;=(Config!$D38+Config!$E38),INDEX(Commandes!$C15:'Commandes'!$BJ15,,COLUMN(P$8)-COLUMN($C$8)+1-(Config!$D38+Config!$E38)),0)*(1-Config!$F38))*Config!$C38</f>
        <v>0</v>
      </c>
      <c r="Q15" s="67">
        <f>((Config!$F38*Commandes!Q15)+IF(ROUND((Q$8-Config!$C$7)/31,0)&gt;=(Config!$D38+Config!$E38),INDEX(Commandes!$C15:'Commandes'!$BJ15,,COLUMN(Q$8)-COLUMN($C$8)+1-(Config!$D38+Config!$E38)),0)*(1-Config!$F38))*Config!$C38</f>
        <v>0</v>
      </c>
      <c r="R15" s="67">
        <f>((Config!$F38*Commandes!R15)+IF(ROUND((R$8-Config!$C$7)/31,0)&gt;=(Config!$D38+Config!$E38),INDEX(Commandes!$C15:'Commandes'!$BJ15,,COLUMN(R$8)-COLUMN($C$8)+1-(Config!$D38+Config!$E38)),0)*(1-Config!$F38))*Config!$C38</f>
        <v>0</v>
      </c>
      <c r="S15" s="67">
        <f>((Config!$F38*Commandes!S15)+IF(ROUND((S$8-Config!$C$7)/31,0)&gt;=(Config!$D38+Config!$E38),INDEX(Commandes!$C15:'Commandes'!$BJ15,,COLUMN(S$8)-COLUMN($C$8)+1-(Config!$D38+Config!$E38)),0)*(1-Config!$F38))*Config!$C38</f>
        <v>0</v>
      </c>
      <c r="T15" s="67">
        <f>((Config!$F38*Commandes!T15)+IF(ROUND((T$8-Config!$C$7)/31,0)&gt;=(Config!$D38+Config!$E38),INDEX(Commandes!$C15:'Commandes'!$BJ15,,COLUMN(T$8)-COLUMN($C$8)+1-(Config!$D38+Config!$E38)),0)*(1-Config!$F38))*Config!$C38</f>
        <v>0</v>
      </c>
      <c r="U15" s="67">
        <f>((Config!$F38*Commandes!U15)+IF(ROUND((U$8-Config!$C$7)/31,0)&gt;=(Config!$D38+Config!$E38),INDEX(Commandes!$C15:'Commandes'!$BJ15,,COLUMN(U$8)-COLUMN($C$8)+1-(Config!$D38+Config!$E38)),0)*(1-Config!$F38))*Config!$C38</f>
        <v>0</v>
      </c>
      <c r="V15" s="67">
        <f>((Config!$F38*Commandes!V15)+IF(ROUND((V$8-Config!$C$7)/31,0)&gt;=(Config!$D38+Config!$E38),INDEX(Commandes!$C15:'Commandes'!$BJ15,,COLUMN(V$8)-COLUMN($C$8)+1-(Config!$D38+Config!$E38)),0)*(1-Config!$F38))*Config!$C38</f>
        <v>0</v>
      </c>
      <c r="W15" s="67">
        <f>((Config!$F38*Commandes!W15)+IF(ROUND((W$8-Config!$C$7)/31,0)&gt;=(Config!$D38+Config!$E38),INDEX(Commandes!$C15:'Commandes'!$BJ15,,COLUMN(W$8)-COLUMN($C$8)+1-(Config!$D38+Config!$E38)),0)*(1-Config!$F38))*Config!$C38</f>
        <v>0</v>
      </c>
      <c r="X15" s="67">
        <f>((Config!$F38*Commandes!X15)+IF(ROUND((X$8-Config!$C$7)/31,0)&gt;=(Config!$D38+Config!$E38),INDEX(Commandes!$C15:'Commandes'!$BJ15,,COLUMN(X$8)-COLUMN($C$8)+1-(Config!$D38+Config!$E38)),0)*(1-Config!$F38))*Config!$C38</f>
        <v>0</v>
      </c>
      <c r="Y15" s="67">
        <f>((Config!$F38*Commandes!Y15)+IF(ROUND((Y$8-Config!$C$7)/31,0)&gt;=(Config!$D38+Config!$E38),INDEX(Commandes!$C15:'Commandes'!$BJ15,,COLUMN(Y$8)-COLUMN($C$8)+1-(Config!$D38+Config!$E38)),0)*(1-Config!$F38))*Config!$C38</f>
        <v>0</v>
      </c>
      <c r="Z15" s="67">
        <f>((Config!$F38*Commandes!Z15)+IF(ROUND((Z$8-Config!$C$7)/31,0)&gt;=(Config!$D38+Config!$E38),INDEX(Commandes!$C15:'Commandes'!$BJ15,,COLUMN(Z$8)-COLUMN($C$8)+1-(Config!$D38+Config!$E38)),0)*(1-Config!$F38))*Config!$C38</f>
        <v>0</v>
      </c>
      <c r="AA15" s="67">
        <f>((Config!$F38*Commandes!AA15)+IF(ROUND((AA$8-Config!$C$7)/31,0)&gt;=(Config!$D38+Config!$E38),INDEX(Commandes!$C15:'Commandes'!$BJ15,,COLUMN(AA$8)-COLUMN($C$8)+1-(Config!$D38+Config!$E38)),0)*(1-Config!$F38))*Config!$C38</f>
        <v>0</v>
      </c>
      <c r="AB15" s="67">
        <f>((Config!$F38*Commandes!AB15)+IF(ROUND((AB$8-Config!$C$7)/31,0)&gt;=(Config!$D38+Config!$E38),INDEX(Commandes!$C15:'Commandes'!$BJ15,,COLUMN(AB$8)-COLUMN($C$8)+1-(Config!$D38+Config!$E38)),0)*(1-Config!$F38))*Config!$C38</f>
        <v>0</v>
      </c>
      <c r="AC15" s="67">
        <f>((Config!$F38*Commandes!AC15)+IF(ROUND((AC$8-Config!$C$7)/31,0)&gt;=(Config!$D38+Config!$E38),INDEX(Commandes!$C15:'Commandes'!$BJ15,,COLUMN(AC$8)-COLUMN($C$8)+1-(Config!$D38+Config!$E38)),0)*(1-Config!$F38))*Config!$C38</f>
        <v>0</v>
      </c>
      <c r="AD15" s="67">
        <f>((Config!$F38*Commandes!AD15)+IF(ROUND((AD$8-Config!$C$7)/31,0)&gt;=(Config!$D38+Config!$E38),INDEX(Commandes!$C15:'Commandes'!$BJ15,,COLUMN(AD$8)-COLUMN($C$8)+1-(Config!$D38+Config!$E38)),0)*(1-Config!$F38))*Config!$C38</f>
        <v>0</v>
      </c>
      <c r="AE15" s="67">
        <f>((Config!$F38*Commandes!AE15)+IF(ROUND((AE$8-Config!$C$7)/31,0)&gt;=(Config!$D38+Config!$E38),INDEX(Commandes!$C15:'Commandes'!$BJ15,,COLUMN(AE$8)-COLUMN($C$8)+1-(Config!$D38+Config!$E38)),0)*(1-Config!$F38))*Config!$C38</f>
        <v>0</v>
      </c>
      <c r="AF15" s="67">
        <f>((Config!$F38*Commandes!AF15)+IF(ROUND((AF$8-Config!$C$7)/31,0)&gt;=(Config!$D38+Config!$E38),INDEX(Commandes!$C15:'Commandes'!$BJ15,,COLUMN(AF$8)-COLUMN($C$8)+1-(Config!$D38+Config!$E38)),0)*(1-Config!$F38))*Config!$C38</f>
        <v>0</v>
      </c>
      <c r="AG15" s="67">
        <f>((Config!$F38*Commandes!AG15)+IF(ROUND((AG$8-Config!$C$7)/31,0)&gt;=(Config!$D38+Config!$E38),INDEX(Commandes!$C15:'Commandes'!$BJ15,,COLUMN(AG$8)-COLUMN($C$8)+1-(Config!$D38+Config!$E38)),0)*(1-Config!$F38))*Config!$C38</f>
        <v>0</v>
      </c>
      <c r="AH15" s="67">
        <f>((Config!$F38*Commandes!AH15)+IF(ROUND((AH$8-Config!$C$7)/31,0)&gt;=(Config!$D38+Config!$E38),INDEX(Commandes!$C15:'Commandes'!$BJ15,,COLUMN(AH$8)-COLUMN($C$8)+1-(Config!$D38+Config!$E38)),0)*(1-Config!$F38))*Config!$C38</f>
        <v>0</v>
      </c>
      <c r="AI15" s="67">
        <f>((Config!$F38*Commandes!AI15)+IF(ROUND((AI$8-Config!$C$7)/31,0)&gt;=(Config!$D38+Config!$E38),INDEX(Commandes!$C15:'Commandes'!$BJ15,,COLUMN(AI$8)-COLUMN($C$8)+1-(Config!$D38+Config!$E38)),0)*(1-Config!$F38))*Config!$C38</f>
        <v>0</v>
      </c>
      <c r="AJ15" s="67">
        <f>((Config!$F38*Commandes!AJ15)+IF(ROUND((AJ$8-Config!$C$7)/31,0)&gt;=(Config!$D38+Config!$E38),INDEX(Commandes!$C15:'Commandes'!$BJ15,,COLUMN(AJ$8)-COLUMN($C$8)+1-(Config!$D38+Config!$E38)),0)*(1-Config!$F38))*Config!$C38</f>
        <v>0</v>
      </c>
      <c r="AK15" s="67">
        <f>((Config!$F38*Commandes!AK15)+IF(ROUND((AK$8-Config!$C$7)/31,0)&gt;=(Config!$D38+Config!$E38),INDEX(Commandes!$C15:'Commandes'!$BJ15,,COLUMN(AK$8)-COLUMN($C$8)+1-(Config!$D38+Config!$E38)),0)*(1-Config!$F38))*Config!$C38</f>
        <v>0</v>
      </c>
      <c r="AL15" s="67">
        <f>((Config!$F38*Commandes!AL15)+IF(ROUND((AL$8-Config!$C$7)/31,0)&gt;=(Config!$D38+Config!$E38),INDEX(Commandes!$C15:'Commandes'!$BJ15,,COLUMN(AL$8)-COLUMN($C$8)+1-(Config!$D38+Config!$E38)),0)*(1-Config!$F38))*Config!$C38</f>
        <v>0</v>
      </c>
      <c r="AM15" s="67">
        <f>((Config!$F38*Commandes!AM15)+IF(ROUND((AM$8-Config!$C$7)/31,0)&gt;=(Config!$D38+Config!$E38),INDEX(Commandes!$C15:'Commandes'!$BJ15,,COLUMN(AM$8)-COLUMN($C$8)+1-(Config!$D38+Config!$E38)),0)*(1-Config!$F38))*Config!$C38</f>
        <v>0</v>
      </c>
      <c r="AN15" s="67">
        <f>((Config!$F38*Commandes!AN15)+IF(ROUND((AN$8-Config!$C$7)/31,0)&gt;=(Config!$D38+Config!$E38),INDEX(Commandes!$C15:'Commandes'!$BJ15,,COLUMN(AN$8)-COLUMN($C$8)+1-(Config!$D38+Config!$E38)),0)*(1-Config!$F38))*Config!$C38</f>
        <v>0</v>
      </c>
      <c r="AO15" s="67">
        <f>((Config!$F38*Commandes!AO15)+IF(ROUND((AO$8-Config!$C$7)/31,0)&gt;=(Config!$D38+Config!$E38),INDEX(Commandes!$C15:'Commandes'!$BJ15,,COLUMN(AO$8)-COLUMN($C$8)+1-(Config!$D38+Config!$E38)),0)*(1-Config!$F38))*Config!$C38</f>
        <v>0</v>
      </c>
      <c r="AP15" s="67">
        <f>((Config!$F38*Commandes!AP15)+IF(ROUND((AP$8-Config!$C$7)/31,0)&gt;=(Config!$D38+Config!$E38),INDEX(Commandes!$C15:'Commandes'!$BJ15,,COLUMN(AP$8)-COLUMN($C$8)+1-(Config!$D38+Config!$E38)),0)*(1-Config!$F38))*Config!$C38</f>
        <v>0</v>
      </c>
      <c r="AQ15" s="67">
        <f>((Config!$F38*Commandes!AQ15)+IF(ROUND((AQ$8-Config!$C$7)/31,0)&gt;=(Config!$D38+Config!$E38),INDEX(Commandes!$C15:'Commandes'!$BJ15,,COLUMN(AQ$8)-COLUMN($C$8)+1-(Config!$D38+Config!$E38)),0)*(1-Config!$F38))*Config!$C38</f>
        <v>0</v>
      </c>
      <c r="AR15" s="67">
        <f>((Config!$F38*Commandes!AR15)+IF(ROUND((AR$8-Config!$C$7)/31,0)&gt;=(Config!$D38+Config!$E38),INDEX(Commandes!$C15:'Commandes'!$BJ15,,COLUMN(AR$8)-COLUMN($C$8)+1-(Config!$D38+Config!$E38)),0)*(1-Config!$F38))*Config!$C38</f>
        <v>0</v>
      </c>
      <c r="AS15" s="67">
        <f>((Config!$F38*Commandes!AS15)+IF(ROUND((AS$8-Config!$C$7)/31,0)&gt;=(Config!$D38+Config!$E38),INDEX(Commandes!$C15:'Commandes'!$BJ15,,COLUMN(AS$8)-COLUMN($C$8)+1-(Config!$D38+Config!$E38)),0)*(1-Config!$F38))*Config!$C38</f>
        <v>0</v>
      </c>
      <c r="AT15" s="67">
        <f>((Config!$F38*Commandes!AT15)+IF(ROUND((AT$8-Config!$C$7)/31,0)&gt;=(Config!$D38+Config!$E38),INDEX(Commandes!$C15:'Commandes'!$BJ15,,COLUMN(AT$8)-COLUMN($C$8)+1-(Config!$D38+Config!$E38)),0)*(1-Config!$F38))*Config!$C38</f>
        <v>0</v>
      </c>
      <c r="AU15" s="67">
        <f>((Config!$F38*Commandes!AU15)+IF(ROUND((AU$8-Config!$C$7)/31,0)&gt;=(Config!$D38+Config!$E38),INDEX(Commandes!$C15:'Commandes'!$BJ15,,COLUMN(AU$8)-COLUMN($C$8)+1-(Config!$D38+Config!$E38)),0)*(1-Config!$F38))*Config!$C38</f>
        <v>0</v>
      </c>
      <c r="AV15" s="67">
        <f>((Config!$F38*Commandes!AV15)+IF(ROUND((AV$8-Config!$C$7)/31,0)&gt;=(Config!$D38+Config!$E38),INDEX(Commandes!$C15:'Commandes'!$BJ15,,COLUMN(AV$8)-COLUMN($C$8)+1-(Config!$D38+Config!$E38)),0)*(1-Config!$F38))*Config!$C38</f>
        <v>0</v>
      </c>
      <c r="AW15" s="67">
        <f>((Config!$F38*Commandes!AW15)+IF(ROUND((AW$8-Config!$C$7)/31,0)&gt;=(Config!$D38+Config!$E38),INDEX(Commandes!$C15:'Commandes'!$BJ15,,COLUMN(AW$8)-COLUMN($C$8)+1-(Config!$D38+Config!$E38)),0)*(1-Config!$F38))*Config!$C38</f>
        <v>0</v>
      </c>
      <c r="AX15" s="67">
        <f>((Config!$F38*Commandes!AX15)+IF(ROUND((AX$8-Config!$C$7)/31,0)&gt;=(Config!$D38+Config!$E38),INDEX(Commandes!$C15:'Commandes'!$BJ15,,COLUMN(AX$8)-COLUMN($C$8)+1-(Config!$D38+Config!$E38)),0)*(1-Config!$F38))*Config!$C38</f>
        <v>0</v>
      </c>
      <c r="AY15" s="67">
        <f>((Config!$F38*Commandes!AY15)+IF(ROUND((AY$8-Config!$C$7)/31,0)&gt;=(Config!$D38+Config!$E38),INDEX(Commandes!$C15:'Commandes'!$BJ15,,COLUMN(AY$8)-COLUMN($C$8)+1-(Config!$D38+Config!$E38)),0)*(1-Config!$F38))*Config!$C38</f>
        <v>0</v>
      </c>
      <c r="AZ15" s="67">
        <f>((Config!$F38*Commandes!AZ15)+IF(ROUND((AZ$8-Config!$C$7)/31,0)&gt;=(Config!$D38+Config!$E38),INDEX(Commandes!$C15:'Commandes'!$BJ15,,COLUMN(AZ$8)-COLUMN($C$8)+1-(Config!$D38+Config!$E38)),0)*(1-Config!$F38))*Config!$C38</f>
        <v>0</v>
      </c>
      <c r="BA15" s="67">
        <f>((Config!$F38*Commandes!BA15)+IF(ROUND((BA$8-Config!$C$7)/31,0)&gt;=(Config!$D38+Config!$E38),INDEX(Commandes!$C15:'Commandes'!$BJ15,,COLUMN(BA$8)-COLUMN($C$8)+1-(Config!$D38+Config!$E38)),0)*(1-Config!$F38))*Config!$C38</f>
        <v>0</v>
      </c>
      <c r="BB15" s="67">
        <f>((Config!$F38*Commandes!BB15)+IF(ROUND((BB$8-Config!$C$7)/31,0)&gt;=(Config!$D38+Config!$E38),INDEX(Commandes!$C15:'Commandes'!$BJ15,,COLUMN(BB$8)-COLUMN($C$8)+1-(Config!$D38+Config!$E38)),0)*(1-Config!$F38))*Config!$C38</f>
        <v>0</v>
      </c>
      <c r="BC15" s="67">
        <f>((Config!$F38*Commandes!BC15)+IF(ROUND((BC$8-Config!$C$7)/31,0)&gt;=(Config!$D38+Config!$E38),INDEX(Commandes!$C15:'Commandes'!$BJ15,,COLUMN(BC$8)-COLUMN($C$8)+1-(Config!$D38+Config!$E38)),0)*(1-Config!$F38))*Config!$C38</f>
        <v>0</v>
      </c>
      <c r="BD15" s="67">
        <f>((Config!$F38*Commandes!BD15)+IF(ROUND((BD$8-Config!$C$7)/31,0)&gt;=(Config!$D38+Config!$E38),INDEX(Commandes!$C15:'Commandes'!$BJ15,,COLUMN(BD$8)-COLUMN($C$8)+1-(Config!$D38+Config!$E38)),0)*(1-Config!$F38))*Config!$C38</f>
        <v>0</v>
      </c>
      <c r="BE15" s="67">
        <f>((Config!$F38*Commandes!BE15)+IF(ROUND((BE$8-Config!$C$7)/31,0)&gt;=(Config!$D38+Config!$E38),INDEX(Commandes!$C15:'Commandes'!$BJ15,,COLUMN(BE$8)-COLUMN($C$8)+1-(Config!$D38+Config!$E38)),0)*(1-Config!$F38))*Config!$C38</f>
        <v>0</v>
      </c>
      <c r="BF15" s="67">
        <f>((Config!$F38*Commandes!BF15)+IF(ROUND((BF$8-Config!$C$7)/31,0)&gt;=(Config!$D38+Config!$E38),INDEX(Commandes!$C15:'Commandes'!$BJ15,,COLUMN(BF$8)-COLUMN($C$8)+1-(Config!$D38+Config!$E38)),0)*(1-Config!$F38))*Config!$C38</f>
        <v>0</v>
      </c>
      <c r="BG15" s="67">
        <f>((Config!$F38*Commandes!BG15)+IF(ROUND((BG$8-Config!$C$7)/31,0)&gt;=(Config!$D38+Config!$E38),INDEX(Commandes!$C15:'Commandes'!$BJ15,,COLUMN(BG$8)-COLUMN($C$8)+1-(Config!$D38+Config!$E38)),0)*(1-Config!$F38))*Config!$C38</f>
        <v>0</v>
      </c>
      <c r="BH15" s="67">
        <f>((Config!$F38*Commandes!BH15)+IF(ROUND((BH$8-Config!$C$7)/31,0)&gt;=(Config!$D38+Config!$E38),INDEX(Commandes!$C15:'Commandes'!$BJ15,,COLUMN(BH$8)-COLUMN($C$8)+1-(Config!$D38+Config!$E38)),0)*(1-Config!$F38))*Config!$C38</f>
        <v>0</v>
      </c>
      <c r="BI15" s="67">
        <f>((Config!$F38*Commandes!BI15)+IF(ROUND((BI$8-Config!$C$7)/31,0)&gt;=(Config!$D38+Config!$E38),INDEX(Commandes!$C15:'Commandes'!$BJ15,,COLUMN(BI$8)-COLUMN($C$8)+1-(Config!$D38+Config!$E38)),0)*(1-Config!$F38))*Config!$C38</f>
        <v>0</v>
      </c>
      <c r="BJ15" s="67">
        <f>((Config!$F38*Commandes!BJ15)+IF(ROUND((BJ$8-Config!$C$7)/31,0)&gt;=(Config!$D38+Config!$E38),INDEX(Commandes!$C15:'Commandes'!$BJ15,,COLUMN(BJ$8)-COLUMN($C$8)+1-(Config!$D38+Config!$E38)),0)*(1-Config!$F38))*Config!$C38</f>
        <v>0</v>
      </c>
      <c r="BK15" s="70"/>
    </row>
    <row r="16" spans="2:63" x14ac:dyDescent="0.2">
      <c r="B16" s="46">
        <f>Config!$B$21</f>
        <v>0</v>
      </c>
      <c r="C16" s="67">
        <f>((Config!$F39*Commandes!C16)+IF(ROUND((C$8-Config!$C$7)/31,0)&gt;=(Config!$D39+Config!$E39),INDEX(Commandes!$C16:'Commandes'!$BJ16,,COLUMN(C$8)-COLUMN($C$8)+1-(Config!$D39+Config!$E39)),0)*(1-Config!$F39))*Config!$C39</f>
        <v>0</v>
      </c>
      <c r="D16" s="67">
        <f>((Config!$F39*Commandes!D16)+IF(ROUND((D$8-Config!$C$7)/31,0)&gt;=(Config!$D39+Config!$E39),INDEX(Commandes!$C16:'Commandes'!$BJ16,,COLUMN(D$8)-COLUMN($C$8)+1-(Config!$D39+Config!$E39)),0)*(1-Config!$F39))*Config!$C39</f>
        <v>0</v>
      </c>
      <c r="E16" s="67">
        <f>((Config!$F39*Commandes!E16)+IF(ROUND((E$8-Config!$C$7)/31,0)&gt;=(Config!$D39+Config!$E39),INDEX(Commandes!$C16:'Commandes'!$BJ16,,COLUMN(E$8)-COLUMN($C$8)+1-(Config!$D39+Config!$E39)),0)*(1-Config!$F39))*Config!$C39</f>
        <v>0</v>
      </c>
      <c r="F16" s="67">
        <f>((Config!$F39*Commandes!F16)+IF(ROUND((F$8-Config!$C$7)/31,0)&gt;=(Config!$D39+Config!$E39),INDEX(Commandes!$C16:'Commandes'!$BJ16,,COLUMN(F$8)-COLUMN($C$8)+1-(Config!$D39+Config!$E39)),0)*(1-Config!$F39))*Config!$C39</f>
        <v>0</v>
      </c>
      <c r="G16" s="67">
        <f>((Config!$F39*Commandes!G16)+IF(ROUND((G$8-Config!$C$7)/31,0)&gt;=(Config!$D39+Config!$E39),INDEX(Commandes!$C16:'Commandes'!$BJ16,,COLUMN(G$8)-COLUMN($C$8)+1-(Config!$D39+Config!$E39)),0)*(1-Config!$F39))*Config!$C39</f>
        <v>0</v>
      </c>
      <c r="H16" s="67">
        <f>((Config!$F39*Commandes!H16)+IF(ROUND((H$8-Config!$C$7)/31,0)&gt;=(Config!$D39+Config!$E39),INDEX(Commandes!$C16:'Commandes'!$BJ16,,COLUMN(H$8)-COLUMN($C$8)+1-(Config!$D39+Config!$E39)),0)*(1-Config!$F39))*Config!$C39</f>
        <v>0</v>
      </c>
      <c r="I16" s="67">
        <f>((Config!$F39*Commandes!I16)+IF(ROUND((I$8-Config!$C$7)/31,0)&gt;=(Config!$D39+Config!$E39),INDEX(Commandes!$C16:'Commandes'!$BJ16,,COLUMN(I$8)-COLUMN($C$8)+1-(Config!$D39+Config!$E39)),0)*(1-Config!$F39))*Config!$C39</f>
        <v>0</v>
      </c>
      <c r="J16" s="67">
        <f>((Config!$F39*Commandes!J16)+IF(ROUND((J$8-Config!$C$7)/31,0)&gt;=(Config!$D39+Config!$E39),INDEX(Commandes!$C16:'Commandes'!$BJ16,,COLUMN(J$8)-COLUMN($C$8)+1-(Config!$D39+Config!$E39)),0)*(1-Config!$F39))*Config!$C39</f>
        <v>0</v>
      </c>
      <c r="K16" s="67">
        <f>((Config!$F39*Commandes!K16)+IF(ROUND((K$8-Config!$C$7)/31,0)&gt;=(Config!$D39+Config!$E39),INDEX(Commandes!$C16:'Commandes'!$BJ16,,COLUMN(K$8)-COLUMN($C$8)+1-(Config!$D39+Config!$E39)),0)*(1-Config!$F39))*Config!$C39</f>
        <v>0</v>
      </c>
      <c r="L16" s="67">
        <f>((Config!$F39*Commandes!L16)+IF(ROUND((L$8-Config!$C$7)/31,0)&gt;=(Config!$D39+Config!$E39),INDEX(Commandes!$C16:'Commandes'!$BJ16,,COLUMN(L$8)-COLUMN($C$8)+1-(Config!$D39+Config!$E39)),0)*(1-Config!$F39))*Config!$C39</f>
        <v>0</v>
      </c>
      <c r="M16" s="67">
        <f>((Config!$F39*Commandes!M16)+IF(ROUND((M$8-Config!$C$7)/31,0)&gt;=(Config!$D39+Config!$E39),INDEX(Commandes!$C16:'Commandes'!$BJ16,,COLUMN(M$8)-COLUMN($C$8)+1-(Config!$D39+Config!$E39)),0)*(1-Config!$F39))*Config!$C39</f>
        <v>0</v>
      </c>
      <c r="N16" s="67">
        <f>((Config!$F39*Commandes!N16)+IF(ROUND((N$8-Config!$C$7)/31,0)&gt;=(Config!$D39+Config!$E39),INDEX(Commandes!$C16:'Commandes'!$BJ16,,COLUMN(N$8)-COLUMN($C$8)+1-(Config!$D39+Config!$E39)),0)*(1-Config!$F39))*Config!$C39</f>
        <v>0</v>
      </c>
      <c r="O16" s="67">
        <f>((Config!$F39*Commandes!O16)+IF(ROUND((O$8-Config!$C$7)/31,0)&gt;=(Config!$D39+Config!$E39),INDEX(Commandes!$C16:'Commandes'!$BJ16,,COLUMN(O$8)-COLUMN($C$8)+1-(Config!$D39+Config!$E39)),0)*(1-Config!$F39))*Config!$C39</f>
        <v>0</v>
      </c>
      <c r="P16" s="67">
        <f>((Config!$F39*Commandes!P16)+IF(ROUND((P$8-Config!$C$7)/31,0)&gt;=(Config!$D39+Config!$E39),INDEX(Commandes!$C16:'Commandes'!$BJ16,,COLUMN(P$8)-COLUMN($C$8)+1-(Config!$D39+Config!$E39)),0)*(1-Config!$F39))*Config!$C39</f>
        <v>0</v>
      </c>
      <c r="Q16" s="67">
        <f>((Config!$F39*Commandes!Q16)+IF(ROUND((Q$8-Config!$C$7)/31,0)&gt;=(Config!$D39+Config!$E39),INDEX(Commandes!$C16:'Commandes'!$BJ16,,COLUMN(Q$8)-COLUMN($C$8)+1-(Config!$D39+Config!$E39)),0)*(1-Config!$F39))*Config!$C39</f>
        <v>0</v>
      </c>
      <c r="R16" s="67">
        <f>((Config!$F39*Commandes!R16)+IF(ROUND((R$8-Config!$C$7)/31,0)&gt;=(Config!$D39+Config!$E39),INDEX(Commandes!$C16:'Commandes'!$BJ16,,COLUMN(R$8)-COLUMN($C$8)+1-(Config!$D39+Config!$E39)),0)*(1-Config!$F39))*Config!$C39</f>
        <v>0</v>
      </c>
      <c r="S16" s="67">
        <f>((Config!$F39*Commandes!S16)+IF(ROUND((S$8-Config!$C$7)/31,0)&gt;=(Config!$D39+Config!$E39),INDEX(Commandes!$C16:'Commandes'!$BJ16,,COLUMN(S$8)-COLUMN($C$8)+1-(Config!$D39+Config!$E39)),0)*(1-Config!$F39))*Config!$C39</f>
        <v>0</v>
      </c>
      <c r="T16" s="67">
        <f>((Config!$F39*Commandes!T16)+IF(ROUND((T$8-Config!$C$7)/31,0)&gt;=(Config!$D39+Config!$E39),INDEX(Commandes!$C16:'Commandes'!$BJ16,,COLUMN(T$8)-COLUMN($C$8)+1-(Config!$D39+Config!$E39)),0)*(1-Config!$F39))*Config!$C39</f>
        <v>0</v>
      </c>
      <c r="U16" s="67">
        <f>((Config!$F39*Commandes!U16)+IF(ROUND((U$8-Config!$C$7)/31,0)&gt;=(Config!$D39+Config!$E39),INDEX(Commandes!$C16:'Commandes'!$BJ16,,COLUMN(U$8)-COLUMN($C$8)+1-(Config!$D39+Config!$E39)),0)*(1-Config!$F39))*Config!$C39</f>
        <v>0</v>
      </c>
      <c r="V16" s="67">
        <f>((Config!$F39*Commandes!V16)+IF(ROUND((V$8-Config!$C$7)/31,0)&gt;=(Config!$D39+Config!$E39),INDEX(Commandes!$C16:'Commandes'!$BJ16,,COLUMN(V$8)-COLUMN($C$8)+1-(Config!$D39+Config!$E39)),0)*(1-Config!$F39))*Config!$C39</f>
        <v>0</v>
      </c>
      <c r="W16" s="67">
        <f>((Config!$F39*Commandes!W16)+IF(ROUND((W$8-Config!$C$7)/31,0)&gt;=(Config!$D39+Config!$E39),INDEX(Commandes!$C16:'Commandes'!$BJ16,,COLUMN(W$8)-COLUMN($C$8)+1-(Config!$D39+Config!$E39)),0)*(1-Config!$F39))*Config!$C39</f>
        <v>0</v>
      </c>
      <c r="X16" s="67">
        <f>((Config!$F39*Commandes!X16)+IF(ROUND((X$8-Config!$C$7)/31,0)&gt;=(Config!$D39+Config!$E39),INDEX(Commandes!$C16:'Commandes'!$BJ16,,COLUMN(X$8)-COLUMN($C$8)+1-(Config!$D39+Config!$E39)),0)*(1-Config!$F39))*Config!$C39</f>
        <v>0</v>
      </c>
      <c r="Y16" s="67">
        <f>((Config!$F39*Commandes!Y16)+IF(ROUND((Y$8-Config!$C$7)/31,0)&gt;=(Config!$D39+Config!$E39),INDEX(Commandes!$C16:'Commandes'!$BJ16,,COLUMN(Y$8)-COLUMN($C$8)+1-(Config!$D39+Config!$E39)),0)*(1-Config!$F39))*Config!$C39</f>
        <v>0</v>
      </c>
      <c r="Z16" s="67">
        <f>((Config!$F39*Commandes!Z16)+IF(ROUND((Z$8-Config!$C$7)/31,0)&gt;=(Config!$D39+Config!$E39),INDEX(Commandes!$C16:'Commandes'!$BJ16,,COLUMN(Z$8)-COLUMN($C$8)+1-(Config!$D39+Config!$E39)),0)*(1-Config!$F39))*Config!$C39</f>
        <v>0</v>
      </c>
      <c r="AA16" s="67">
        <f>((Config!$F39*Commandes!AA16)+IF(ROUND((AA$8-Config!$C$7)/31,0)&gt;=(Config!$D39+Config!$E39),INDEX(Commandes!$C16:'Commandes'!$BJ16,,COLUMN(AA$8)-COLUMN($C$8)+1-(Config!$D39+Config!$E39)),0)*(1-Config!$F39))*Config!$C39</f>
        <v>0</v>
      </c>
      <c r="AB16" s="67">
        <f>((Config!$F39*Commandes!AB16)+IF(ROUND((AB$8-Config!$C$7)/31,0)&gt;=(Config!$D39+Config!$E39),INDEX(Commandes!$C16:'Commandes'!$BJ16,,COLUMN(AB$8)-COLUMN($C$8)+1-(Config!$D39+Config!$E39)),0)*(1-Config!$F39))*Config!$C39</f>
        <v>0</v>
      </c>
      <c r="AC16" s="67">
        <f>((Config!$F39*Commandes!AC16)+IF(ROUND((AC$8-Config!$C$7)/31,0)&gt;=(Config!$D39+Config!$E39),INDEX(Commandes!$C16:'Commandes'!$BJ16,,COLUMN(AC$8)-COLUMN($C$8)+1-(Config!$D39+Config!$E39)),0)*(1-Config!$F39))*Config!$C39</f>
        <v>0</v>
      </c>
      <c r="AD16" s="67">
        <f>((Config!$F39*Commandes!AD16)+IF(ROUND((AD$8-Config!$C$7)/31,0)&gt;=(Config!$D39+Config!$E39),INDEX(Commandes!$C16:'Commandes'!$BJ16,,COLUMN(AD$8)-COLUMN($C$8)+1-(Config!$D39+Config!$E39)),0)*(1-Config!$F39))*Config!$C39</f>
        <v>0</v>
      </c>
      <c r="AE16" s="67">
        <f>((Config!$F39*Commandes!AE16)+IF(ROUND((AE$8-Config!$C$7)/31,0)&gt;=(Config!$D39+Config!$E39),INDEX(Commandes!$C16:'Commandes'!$BJ16,,COLUMN(AE$8)-COLUMN($C$8)+1-(Config!$D39+Config!$E39)),0)*(1-Config!$F39))*Config!$C39</f>
        <v>0</v>
      </c>
      <c r="AF16" s="67">
        <f>((Config!$F39*Commandes!AF16)+IF(ROUND((AF$8-Config!$C$7)/31,0)&gt;=(Config!$D39+Config!$E39),INDEX(Commandes!$C16:'Commandes'!$BJ16,,COLUMN(AF$8)-COLUMN($C$8)+1-(Config!$D39+Config!$E39)),0)*(1-Config!$F39))*Config!$C39</f>
        <v>0</v>
      </c>
      <c r="AG16" s="67">
        <f>((Config!$F39*Commandes!AG16)+IF(ROUND((AG$8-Config!$C$7)/31,0)&gt;=(Config!$D39+Config!$E39),INDEX(Commandes!$C16:'Commandes'!$BJ16,,COLUMN(AG$8)-COLUMN($C$8)+1-(Config!$D39+Config!$E39)),0)*(1-Config!$F39))*Config!$C39</f>
        <v>0</v>
      </c>
      <c r="AH16" s="67">
        <f>((Config!$F39*Commandes!AH16)+IF(ROUND((AH$8-Config!$C$7)/31,0)&gt;=(Config!$D39+Config!$E39),INDEX(Commandes!$C16:'Commandes'!$BJ16,,COLUMN(AH$8)-COLUMN($C$8)+1-(Config!$D39+Config!$E39)),0)*(1-Config!$F39))*Config!$C39</f>
        <v>0</v>
      </c>
      <c r="AI16" s="67">
        <f>((Config!$F39*Commandes!AI16)+IF(ROUND((AI$8-Config!$C$7)/31,0)&gt;=(Config!$D39+Config!$E39),INDEX(Commandes!$C16:'Commandes'!$BJ16,,COLUMN(AI$8)-COLUMN($C$8)+1-(Config!$D39+Config!$E39)),0)*(1-Config!$F39))*Config!$C39</f>
        <v>0</v>
      </c>
      <c r="AJ16" s="67">
        <f>((Config!$F39*Commandes!AJ16)+IF(ROUND((AJ$8-Config!$C$7)/31,0)&gt;=(Config!$D39+Config!$E39),INDEX(Commandes!$C16:'Commandes'!$BJ16,,COLUMN(AJ$8)-COLUMN($C$8)+1-(Config!$D39+Config!$E39)),0)*(1-Config!$F39))*Config!$C39</f>
        <v>0</v>
      </c>
      <c r="AK16" s="67">
        <f>((Config!$F39*Commandes!AK16)+IF(ROUND((AK$8-Config!$C$7)/31,0)&gt;=(Config!$D39+Config!$E39),INDEX(Commandes!$C16:'Commandes'!$BJ16,,COLUMN(AK$8)-COLUMN($C$8)+1-(Config!$D39+Config!$E39)),0)*(1-Config!$F39))*Config!$C39</f>
        <v>0</v>
      </c>
      <c r="AL16" s="67">
        <f>((Config!$F39*Commandes!AL16)+IF(ROUND((AL$8-Config!$C$7)/31,0)&gt;=(Config!$D39+Config!$E39),INDEX(Commandes!$C16:'Commandes'!$BJ16,,COLUMN(AL$8)-COLUMN($C$8)+1-(Config!$D39+Config!$E39)),0)*(1-Config!$F39))*Config!$C39</f>
        <v>0</v>
      </c>
      <c r="AM16" s="67">
        <f>((Config!$F39*Commandes!AM16)+IF(ROUND((AM$8-Config!$C$7)/31,0)&gt;=(Config!$D39+Config!$E39),INDEX(Commandes!$C16:'Commandes'!$BJ16,,COLUMN(AM$8)-COLUMN($C$8)+1-(Config!$D39+Config!$E39)),0)*(1-Config!$F39))*Config!$C39</f>
        <v>0</v>
      </c>
      <c r="AN16" s="67">
        <f>((Config!$F39*Commandes!AN16)+IF(ROUND((AN$8-Config!$C$7)/31,0)&gt;=(Config!$D39+Config!$E39),INDEX(Commandes!$C16:'Commandes'!$BJ16,,COLUMN(AN$8)-COLUMN($C$8)+1-(Config!$D39+Config!$E39)),0)*(1-Config!$F39))*Config!$C39</f>
        <v>0</v>
      </c>
      <c r="AO16" s="67">
        <f>((Config!$F39*Commandes!AO16)+IF(ROUND((AO$8-Config!$C$7)/31,0)&gt;=(Config!$D39+Config!$E39),INDEX(Commandes!$C16:'Commandes'!$BJ16,,COLUMN(AO$8)-COLUMN($C$8)+1-(Config!$D39+Config!$E39)),0)*(1-Config!$F39))*Config!$C39</f>
        <v>0</v>
      </c>
      <c r="AP16" s="67">
        <f>((Config!$F39*Commandes!AP16)+IF(ROUND((AP$8-Config!$C$7)/31,0)&gt;=(Config!$D39+Config!$E39),INDEX(Commandes!$C16:'Commandes'!$BJ16,,COLUMN(AP$8)-COLUMN($C$8)+1-(Config!$D39+Config!$E39)),0)*(1-Config!$F39))*Config!$C39</f>
        <v>0</v>
      </c>
      <c r="AQ16" s="67">
        <f>((Config!$F39*Commandes!AQ16)+IF(ROUND((AQ$8-Config!$C$7)/31,0)&gt;=(Config!$D39+Config!$E39),INDEX(Commandes!$C16:'Commandes'!$BJ16,,COLUMN(AQ$8)-COLUMN($C$8)+1-(Config!$D39+Config!$E39)),0)*(1-Config!$F39))*Config!$C39</f>
        <v>0</v>
      </c>
      <c r="AR16" s="67">
        <f>((Config!$F39*Commandes!AR16)+IF(ROUND((AR$8-Config!$C$7)/31,0)&gt;=(Config!$D39+Config!$E39),INDEX(Commandes!$C16:'Commandes'!$BJ16,,COLUMN(AR$8)-COLUMN($C$8)+1-(Config!$D39+Config!$E39)),0)*(1-Config!$F39))*Config!$C39</f>
        <v>0</v>
      </c>
      <c r="AS16" s="67">
        <f>((Config!$F39*Commandes!AS16)+IF(ROUND((AS$8-Config!$C$7)/31,0)&gt;=(Config!$D39+Config!$E39),INDEX(Commandes!$C16:'Commandes'!$BJ16,,COLUMN(AS$8)-COLUMN($C$8)+1-(Config!$D39+Config!$E39)),0)*(1-Config!$F39))*Config!$C39</f>
        <v>0</v>
      </c>
      <c r="AT16" s="67">
        <f>((Config!$F39*Commandes!AT16)+IF(ROUND((AT$8-Config!$C$7)/31,0)&gt;=(Config!$D39+Config!$E39),INDEX(Commandes!$C16:'Commandes'!$BJ16,,COLUMN(AT$8)-COLUMN($C$8)+1-(Config!$D39+Config!$E39)),0)*(1-Config!$F39))*Config!$C39</f>
        <v>0</v>
      </c>
      <c r="AU16" s="67">
        <f>((Config!$F39*Commandes!AU16)+IF(ROUND((AU$8-Config!$C$7)/31,0)&gt;=(Config!$D39+Config!$E39),INDEX(Commandes!$C16:'Commandes'!$BJ16,,COLUMN(AU$8)-COLUMN($C$8)+1-(Config!$D39+Config!$E39)),0)*(1-Config!$F39))*Config!$C39</f>
        <v>0</v>
      </c>
      <c r="AV16" s="67">
        <f>((Config!$F39*Commandes!AV16)+IF(ROUND((AV$8-Config!$C$7)/31,0)&gt;=(Config!$D39+Config!$E39),INDEX(Commandes!$C16:'Commandes'!$BJ16,,COLUMN(AV$8)-COLUMN($C$8)+1-(Config!$D39+Config!$E39)),0)*(1-Config!$F39))*Config!$C39</f>
        <v>0</v>
      </c>
      <c r="AW16" s="67">
        <f>((Config!$F39*Commandes!AW16)+IF(ROUND((AW$8-Config!$C$7)/31,0)&gt;=(Config!$D39+Config!$E39),INDEX(Commandes!$C16:'Commandes'!$BJ16,,COLUMN(AW$8)-COLUMN($C$8)+1-(Config!$D39+Config!$E39)),0)*(1-Config!$F39))*Config!$C39</f>
        <v>0</v>
      </c>
      <c r="AX16" s="67">
        <f>((Config!$F39*Commandes!AX16)+IF(ROUND((AX$8-Config!$C$7)/31,0)&gt;=(Config!$D39+Config!$E39),INDEX(Commandes!$C16:'Commandes'!$BJ16,,COLUMN(AX$8)-COLUMN($C$8)+1-(Config!$D39+Config!$E39)),0)*(1-Config!$F39))*Config!$C39</f>
        <v>0</v>
      </c>
      <c r="AY16" s="67">
        <f>((Config!$F39*Commandes!AY16)+IF(ROUND((AY$8-Config!$C$7)/31,0)&gt;=(Config!$D39+Config!$E39),INDEX(Commandes!$C16:'Commandes'!$BJ16,,COLUMN(AY$8)-COLUMN($C$8)+1-(Config!$D39+Config!$E39)),0)*(1-Config!$F39))*Config!$C39</f>
        <v>0</v>
      </c>
      <c r="AZ16" s="67">
        <f>((Config!$F39*Commandes!AZ16)+IF(ROUND((AZ$8-Config!$C$7)/31,0)&gt;=(Config!$D39+Config!$E39),INDEX(Commandes!$C16:'Commandes'!$BJ16,,COLUMN(AZ$8)-COLUMN($C$8)+1-(Config!$D39+Config!$E39)),0)*(1-Config!$F39))*Config!$C39</f>
        <v>0</v>
      </c>
      <c r="BA16" s="67">
        <f>((Config!$F39*Commandes!BA16)+IF(ROUND((BA$8-Config!$C$7)/31,0)&gt;=(Config!$D39+Config!$E39),INDEX(Commandes!$C16:'Commandes'!$BJ16,,COLUMN(BA$8)-COLUMN($C$8)+1-(Config!$D39+Config!$E39)),0)*(1-Config!$F39))*Config!$C39</f>
        <v>0</v>
      </c>
      <c r="BB16" s="67">
        <f>((Config!$F39*Commandes!BB16)+IF(ROUND((BB$8-Config!$C$7)/31,0)&gt;=(Config!$D39+Config!$E39),INDEX(Commandes!$C16:'Commandes'!$BJ16,,COLUMN(BB$8)-COLUMN($C$8)+1-(Config!$D39+Config!$E39)),0)*(1-Config!$F39))*Config!$C39</f>
        <v>0</v>
      </c>
      <c r="BC16" s="67">
        <f>((Config!$F39*Commandes!BC16)+IF(ROUND((BC$8-Config!$C$7)/31,0)&gt;=(Config!$D39+Config!$E39),INDEX(Commandes!$C16:'Commandes'!$BJ16,,COLUMN(BC$8)-COLUMN($C$8)+1-(Config!$D39+Config!$E39)),0)*(1-Config!$F39))*Config!$C39</f>
        <v>0</v>
      </c>
      <c r="BD16" s="67">
        <f>((Config!$F39*Commandes!BD16)+IF(ROUND((BD$8-Config!$C$7)/31,0)&gt;=(Config!$D39+Config!$E39),INDEX(Commandes!$C16:'Commandes'!$BJ16,,COLUMN(BD$8)-COLUMN($C$8)+1-(Config!$D39+Config!$E39)),0)*(1-Config!$F39))*Config!$C39</f>
        <v>0</v>
      </c>
      <c r="BE16" s="67">
        <f>((Config!$F39*Commandes!BE16)+IF(ROUND((BE$8-Config!$C$7)/31,0)&gt;=(Config!$D39+Config!$E39),INDEX(Commandes!$C16:'Commandes'!$BJ16,,COLUMN(BE$8)-COLUMN($C$8)+1-(Config!$D39+Config!$E39)),0)*(1-Config!$F39))*Config!$C39</f>
        <v>0</v>
      </c>
      <c r="BF16" s="67">
        <f>((Config!$F39*Commandes!BF16)+IF(ROUND((BF$8-Config!$C$7)/31,0)&gt;=(Config!$D39+Config!$E39),INDEX(Commandes!$C16:'Commandes'!$BJ16,,COLUMN(BF$8)-COLUMN($C$8)+1-(Config!$D39+Config!$E39)),0)*(1-Config!$F39))*Config!$C39</f>
        <v>0</v>
      </c>
      <c r="BG16" s="67">
        <f>((Config!$F39*Commandes!BG16)+IF(ROUND((BG$8-Config!$C$7)/31,0)&gt;=(Config!$D39+Config!$E39),INDEX(Commandes!$C16:'Commandes'!$BJ16,,COLUMN(BG$8)-COLUMN($C$8)+1-(Config!$D39+Config!$E39)),0)*(1-Config!$F39))*Config!$C39</f>
        <v>0</v>
      </c>
      <c r="BH16" s="67">
        <f>((Config!$F39*Commandes!BH16)+IF(ROUND((BH$8-Config!$C$7)/31,0)&gt;=(Config!$D39+Config!$E39),INDEX(Commandes!$C16:'Commandes'!$BJ16,,COLUMN(BH$8)-COLUMN($C$8)+1-(Config!$D39+Config!$E39)),0)*(1-Config!$F39))*Config!$C39</f>
        <v>0</v>
      </c>
      <c r="BI16" s="67">
        <f>((Config!$F39*Commandes!BI16)+IF(ROUND((BI$8-Config!$C$7)/31,0)&gt;=(Config!$D39+Config!$E39),INDEX(Commandes!$C16:'Commandes'!$BJ16,,COLUMN(BI$8)-COLUMN($C$8)+1-(Config!$D39+Config!$E39)),0)*(1-Config!$F39))*Config!$C39</f>
        <v>0</v>
      </c>
      <c r="BJ16" s="67">
        <f>((Config!$F39*Commandes!BJ16)+IF(ROUND((BJ$8-Config!$C$7)/31,0)&gt;=(Config!$D39+Config!$E39),INDEX(Commandes!$C16:'Commandes'!$BJ16,,COLUMN(BJ$8)-COLUMN($C$8)+1-(Config!$D39+Config!$E39)),0)*(1-Config!$F39))*Config!$C39</f>
        <v>0</v>
      </c>
      <c r="BK16" s="70"/>
    </row>
    <row r="17" spans="2:63" x14ac:dyDescent="0.2">
      <c r="B17" s="46">
        <f>Config!$B$22</f>
        <v>0</v>
      </c>
      <c r="C17" s="67">
        <f>((Config!$F40*Commandes!C17)+IF(ROUND((C$8-Config!$C$7)/31,0)&gt;=(Config!$D40+Config!$E40),INDEX(Commandes!$C17:'Commandes'!$BJ17,,COLUMN(C$8)-COLUMN($C$8)+1-(Config!$D40+Config!$E40)),0)*(1-Config!$F40))*Config!$C40</f>
        <v>0</v>
      </c>
      <c r="D17" s="67">
        <f>((Config!$F40*Commandes!D17)+IF(ROUND((D$8-Config!$C$7)/31,0)&gt;=(Config!$D40+Config!$E40),INDEX(Commandes!$C17:'Commandes'!$BJ17,,COLUMN(D$8)-COLUMN($C$8)+1-(Config!$D40+Config!$E40)),0)*(1-Config!$F40))*Config!$C40</f>
        <v>0</v>
      </c>
      <c r="E17" s="67">
        <f>((Config!$F40*Commandes!E17)+IF(ROUND((E$8-Config!$C$7)/31,0)&gt;=(Config!$D40+Config!$E40),INDEX(Commandes!$C17:'Commandes'!$BJ17,,COLUMN(E$8)-COLUMN($C$8)+1-(Config!$D40+Config!$E40)),0)*(1-Config!$F40))*Config!$C40</f>
        <v>0</v>
      </c>
      <c r="F17" s="67">
        <f>((Config!$F40*Commandes!F17)+IF(ROUND((F$8-Config!$C$7)/31,0)&gt;=(Config!$D40+Config!$E40),INDEX(Commandes!$C17:'Commandes'!$BJ17,,COLUMN(F$8)-COLUMN($C$8)+1-(Config!$D40+Config!$E40)),0)*(1-Config!$F40))*Config!$C40</f>
        <v>0</v>
      </c>
      <c r="G17" s="67">
        <f>((Config!$F40*Commandes!G17)+IF(ROUND((G$8-Config!$C$7)/31,0)&gt;=(Config!$D40+Config!$E40),INDEX(Commandes!$C17:'Commandes'!$BJ17,,COLUMN(G$8)-COLUMN($C$8)+1-(Config!$D40+Config!$E40)),0)*(1-Config!$F40))*Config!$C40</f>
        <v>0</v>
      </c>
      <c r="H17" s="67">
        <f>((Config!$F40*Commandes!H17)+IF(ROUND((H$8-Config!$C$7)/31,0)&gt;=(Config!$D40+Config!$E40),INDEX(Commandes!$C17:'Commandes'!$BJ17,,COLUMN(H$8)-COLUMN($C$8)+1-(Config!$D40+Config!$E40)),0)*(1-Config!$F40))*Config!$C40</f>
        <v>0</v>
      </c>
      <c r="I17" s="67">
        <f>((Config!$F40*Commandes!I17)+IF(ROUND((I$8-Config!$C$7)/31,0)&gt;=(Config!$D40+Config!$E40),INDEX(Commandes!$C17:'Commandes'!$BJ17,,COLUMN(I$8)-COLUMN($C$8)+1-(Config!$D40+Config!$E40)),0)*(1-Config!$F40))*Config!$C40</f>
        <v>0</v>
      </c>
      <c r="J17" s="67">
        <f>((Config!$F40*Commandes!J17)+IF(ROUND((J$8-Config!$C$7)/31,0)&gt;=(Config!$D40+Config!$E40),INDEX(Commandes!$C17:'Commandes'!$BJ17,,COLUMN(J$8)-COLUMN($C$8)+1-(Config!$D40+Config!$E40)),0)*(1-Config!$F40))*Config!$C40</f>
        <v>0</v>
      </c>
      <c r="K17" s="67">
        <f>((Config!$F40*Commandes!K17)+IF(ROUND((K$8-Config!$C$7)/31,0)&gt;=(Config!$D40+Config!$E40),INDEX(Commandes!$C17:'Commandes'!$BJ17,,COLUMN(K$8)-COLUMN($C$8)+1-(Config!$D40+Config!$E40)),0)*(1-Config!$F40))*Config!$C40</f>
        <v>0</v>
      </c>
      <c r="L17" s="67">
        <f>((Config!$F40*Commandes!L17)+IF(ROUND((L$8-Config!$C$7)/31,0)&gt;=(Config!$D40+Config!$E40),INDEX(Commandes!$C17:'Commandes'!$BJ17,,COLUMN(L$8)-COLUMN($C$8)+1-(Config!$D40+Config!$E40)),0)*(1-Config!$F40))*Config!$C40</f>
        <v>0</v>
      </c>
      <c r="M17" s="67">
        <f>((Config!$F40*Commandes!M17)+IF(ROUND((M$8-Config!$C$7)/31,0)&gt;=(Config!$D40+Config!$E40),INDEX(Commandes!$C17:'Commandes'!$BJ17,,COLUMN(M$8)-COLUMN($C$8)+1-(Config!$D40+Config!$E40)),0)*(1-Config!$F40))*Config!$C40</f>
        <v>0</v>
      </c>
      <c r="N17" s="67">
        <f>((Config!$F40*Commandes!N17)+IF(ROUND((N$8-Config!$C$7)/31,0)&gt;=(Config!$D40+Config!$E40),INDEX(Commandes!$C17:'Commandes'!$BJ17,,COLUMN(N$8)-COLUMN($C$8)+1-(Config!$D40+Config!$E40)),0)*(1-Config!$F40))*Config!$C40</f>
        <v>0</v>
      </c>
      <c r="O17" s="67">
        <f>((Config!$F40*Commandes!O17)+IF(ROUND((O$8-Config!$C$7)/31,0)&gt;=(Config!$D40+Config!$E40),INDEX(Commandes!$C17:'Commandes'!$BJ17,,COLUMN(O$8)-COLUMN($C$8)+1-(Config!$D40+Config!$E40)),0)*(1-Config!$F40))*Config!$C40</f>
        <v>0</v>
      </c>
      <c r="P17" s="67">
        <f>((Config!$F40*Commandes!P17)+IF(ROUND((P$8-Config!$C$7)/31,0)&gt;=(Config!$D40+Config!$E40),INDEX(Commandes!$C17:'Commandes'!$BJ17,,COLUMN(P$8)-COLUMN($C$8)+1-(Config!$D40+Config!$E40)),0)*(1-Config!$F40))*Config!$C40</f>
        <v>0</v>
      </c>
      <c r="Q17" s="67">
        <f>((Config!$F40*Commandes!Q17)+IF(ROUND((Q$8-Config!$C$7)/31,0)&gt;=(Config!$D40+Config!$E40),INDEX(Commandes!$C17:'Commandes'!$BJ17,,COLUMN(Q$8)-COLUMN($C$8)+1-(Config!$D40+Config!$E40)),0)*(1-Config!$F40))*Config!$C40</f>
        <v>0</v>
      </c>
      <c r="R17" s="67">
        <f>((Config!$F40*Commandes!R17)+IF(ROUND((R$8-Config!$C$7)/31,0)&gt;=(Config!$D40+Config!$E40),INDEX(Commandes!$C17:'Commandes'!$BJ17,,COLUMN(R$8)-COLUMN($C$8)+1-(Config!$D40+Config!$E40)),0)*(1-Config!$F40))*Config!$C40</f>
        <v>0</v>
      </c>
      <c r="S17" s="67">
        <f>((Config!$F40*Commandes!S17)+IF(ROUND((S$8-Config!$C$7)/31,0)&gt;=(Config!$D40+Config!$E40),INDEX(Commandes!$C17:'Commandes'!$BJ17,,COLUMN(S$8)-COLUMN($C$8)+1-(Config!$D40+Config!$E40)),0)*(1-Config!$F40))*Config!$C40</f>
        <v>0</v>
      </c>
      <c r="T17" s="67">
        <f>((Config!$F40*Commandes!T17)+IF(ROUND((T$8-Config!$C$7)/31,0)&gt;=(Config!$D40+Config!$E40),INDEX(Commandes!$C17:'Commandes'!$BJ17,,COLUMN(T$8)-COLUMN($C$8)+1-(Config!$D40+Config!$E40)),0)*(1-Config!$F40))*Config!$C40</f>
        <v>0</v>
      </c>
      <c r="U17" s="67">
        <f>((Config!$F40*Commandes!U17)+IF(ROUND((U$8-Config!$C$7)/31,0)&gt;=(Config!$D40+Config!$E40),INDEX(Commandes!$C17:'Commandes'!$BJ17,,COLUMN(U$8)-COLUMN($C$8)+1-(Config!$D40+Config!$E40)),0)*(1-Config!$F40))*Config!$C40</f>
        <v>0</v>
      </c>
      <c r="V17" s="67">
        <f>((Config!$F40*Commandes!V17)+IF(ROUND((V$8-Config!$C$7)/31,0)&gt;=(Config!$D40+Config!$E40),INDEX(Commandes!$C17:'Commandes'!$BJ17,,COLUMN(V$8)-COLUMN($C$8)+1-(Config!$D40+Config!$E40)),0)*(1-Config!$F40))*Config!$C40</f>
        <v>0</v>
      </c>
      <c r="W17" s="67">
        <f>((Config!$F40*Commandes!W17)+IF(ROUND((W$8-Config!$C$7)/31,0)&gt;=(Config!$D40+Config!$E40),INDEX(Commandes!$C17:'Commandes'!$BJ17,,COLUMN(W$8)-COLUMN($C$8)+1-(Config!$D40+Config!$E40)),0)*(1-Config!$F40))*Config!$C40</f>
        <v>0</v>
      </c>
      <c r="X17" s="67">
        <f>((Config!$F40*Commandes!X17)+IF(ROUND((X$8-Config!$C$7)/31,0)&gt;=(Config!$D40+Config!$E40),INDEX(Commandes!$C17:'Commandes'!$BJ17,,COLUMN(X$8)-COLUMN($C$8)+1-(Config!$D40+Config!$E40)),0)*(1-Config!$F40))*Config!$C40</f>
        <v>0</v>
      </c>
      <c r="Y17" s="67">
        <f>((Config!$F40*Commandes!Y17)+IF(ROUND((Y$8-Config!$C$7)/31,0)&gt;=(Config!$D40+Config!$E40),INDEX(Commandes!$C17:'Commandes'!$BJ17,,COLUMN(Y$8)-COLUMN($C$8)+1-(Config!$D40+Config!$E40)),0)*(1-Config!$F40))*Config!$C40</f>
        <v>0</v>
      </c>
      <c r="Z17" s="67">
        <f>((Config!$F40*Commandes!Z17)+IF(ROUND((Z$8-Config!$C$7)/31,0)&gt;=(Config!$D40+Config!$E40),INDEX(Commandes!$C17:'Commandes'!$BJ17,,COLUMN(Z$8)-COLUMN($C$8)+1-(Config!$D40+Config!$E40)),0)*(1-Config!$F40))*Config!$C40</f>
        <v>0</v>
      </c>
      <c r="AA17" s="67">
        <f>((Config!$F40*Commandes!AA17)+IF(ROUND((AA$8-Config!$C$7)/31,0)&gt;=(Config!$D40+Config!$E40),INDEX(Commandes!$C17:'Commandes'!$BJ17,,COLUMN(AA$8)-COLUMN($C$8)+1-(Config!$D40+Config!$E40)),0)*(1-Config!$F40))*Config!$C40</f>
        <v>0</v>
      </c>
      <c r="AB17" s="67">
        <f>((Config!$F40*Commandes!AB17)+IF(ROUND((AB$8-Config!$C$7)/31,0)&gt;=(Config!$D40+Config!$E40),INDEX(Commandes!$C17:'Commandes'!$BJ17,,COLUMN(AB$8)-COLUMN($C$8)+1-(Config!$D40+Config!$E40)),0)*(1-Config!$F40))*Config!$C40</f>
        <v>0</v>
      </c>
      <c r="AC17" s="67">
        <f>((Config!$F40*Commandes!AC17)+IF(ROUND((AC$8-Config!$C$7)/31,0)&gt;=(Config!$D40+Config!$E40),INDEX(Commandes!$C17:'Commandes'!$BJ17,,COLUMN(AC$8)-COLUMN($C$8)+1-(Config!$D40+Config!$E40)),0)*(1-Config!$F40))*Config!$C40</f>
        <v>0</v>
      </c>
      <c r="AD17" s="67">
        <f>((Config!$F40*Commandes!AD17)+IF(ROUND((AD$8-Config!$C$7)/31,0)&gt;=(Config!$D40+Config!$E40),INDEX(Commandes!$C17:'Commandes'!$BJ17,,COLUMN(AD$8)-COLUMN($C$8)+1-(Config!$D40+Config!$E40)),0)*(1-Config!$F40))*Config!$C40</f>
        <v>0</v>
      </c>
      <c r="AE17" s="67">
        <f>((Config!$F40*Commandes!AE17)+IF(ROUND((AE$8-Config!$C$7)/31,0)&gt;=(Config!$D40+Config!$E40),INDEX(Commandes!$C17:'Commandes'!$BJ17,,COLUMN(AE$8)-COLUMN($C$8)+1-(Config!$D40+Config!$E40)),0)*(1-Config!$F40))*Config!$C40</f>
        <v>0</v>
      </c>
      <c r="AF17" s="67">
        <f>((Config!$F40*Commandes!AF17)+IF(ROUND((AF$8-Config!$C$7)/31,0)&gt;=(Config!$D40+Config!$E40),INDEX(Commandes!$C17:'Commandes'!$BJ17,,COLUMN(AF$8)-COLUMN($C$8)+1-(Config!$D40+Config!$E40)),0)*(1-Config!$F40))*Config!$C40</f>
        <v>0</v>
      </c>
      <c r="AG17" s="67">
        <f>((Config!$F40*Commandes!AG17)+IF(ROUND((AG$8-Config!$C$7)/31,0)&gt;=(Config!$D40+Config!$E40),INDEX(Commandes!$C17:'Commandes'!$BJ17,,COLUMN(AG$8)-COLUMN($C$8)+1-(Config!$D40+Config!$E40)),0)*(1-Config!$F40))*Config!$C40</f>
        <v>0</v>
      </c>
      <c r="AH17" s="67">
        <f>((Config!$F40*Commandes!AH17)+IF(ROUND((AH$8-Config!$C$7)/31,0)&gt;=(Config!$D40+Config!$E40),INDEX(Commandes!$C17:'Commandes'!$BJ17,,COLUMN(AH$8)-COLUMN($C$8)+1-(Config!$D40+Config!$E40)),0)*(1-Config!$F40))*Config!$C40</f>
        <v>0</v>
      </c>
      <c r="AI17" s="67">
        <f>((Config!$F40*Commandes!AI17)+IF(ROUND((AI$8-Config!$C$7)/31,0)&gt;=(Config!$D40+Config!$E40),INDEX(Commandes!$C17:'Commandes'!$BJ17,,COLUMN(AI$8)-COLUMN($C$8)+1-(Config!$D40+Config!$E40)),0)*(1-Config!$F40))*Config!$C40</f>
        <v>0</v>
      </c>
      <c r="AJ17" s="67">
        <f>((Config!$F40*Commandes!AJ17)+IF(ROUND((AJ$8-Config!$C$7)/31,0)&gt;=(Config!$D40+Config!$E40),INDEX(Commandes!$C17:'Commandes'!$BJ17,,COLUMN(AJ$8)-COLUMN($C$8)+1-(Config!$D40+Config!$E40)),0)*(1-Config!$F40))*Config!$C40</f>
        <v>0</v>
      </c>
      <c r="AK17" s="67">
        <f>((Config!$F40*Commandes!AK17)+IF(ROUND((AK$8-Config!$C$7)/31,0)&gt;=(Config!$D40+Config!$E40),INDEX(Commandes!$C17:'Commandes'!$BJ17,,COLUMN(AK$8)-COLUMN($C$8)+1-(Config!$D40+Config!$E40)),0)*(1-Config!$F40))*Config!$C40</f>
        <v>0</v>
      </c>
      <c r="AL17" s="67">
        <f>((Config!$F40*Commandes!AL17)+IF(ROUND((AL$8-Config!$C$7)/31,0)&gt;=(Config!$D40+Config!$E40),INDEX(Commandes!$C17:'Commandes'!$BJ17,,COLUMN(AL$8)-COLUMN($C$8)+1-(Config!$D40+Config!$E40)),0)*(1-Config!$F40))*Config!$C40</f>
        <v>0</v>
      </c>
      <c r="AM17" s="67">
        <f>((Config!$F40*Commandes!AM17)+IF(ROUND((AM$8-Config!$C$7)/31,0)&gt;=(Config!$D40+Config!$E40),INDEX(Commandes!$C17:'Commandes'!$BJ17,,COLUMN(AM$8)-COLUMN($C$8)+1-(Config!$D40+Config!$E40)),0)*(1-Config!$F40))*Config!$C40</f>
        <v>0</v>
      </c>
      <c r="AN17" s="67">
        <f>((Config!$F40*Commandes!AN17)+IF(ROUND((AN$8-Config!$C$7)/31,0)&gt;=(Config!$D40+Config!$E40),INDEX(Commandes!$C17:'Commandes'!$BJ17,,COLUMN(AN$8)-COLUMN($C$8)+1-(Config!$D40+Config!$E40)),0)*(1-Config!$F40))*Config!$C40</f>
        <v>0</v>
      </c>
      <c r="AO17" s="67">
        <f>((Config!$F40*Commandes!AO17)+IF(ROUND((AO$8-Config!$C$7)/31,0)&gt;=(Config!$D40+Config!$E40),INDEX(Commandes!$C17:'Commandes'!$BJ17,,COLUMN(AO$8)-COLUMN($C$8)+1-(Config!$D40+Config!$E40)),0)*(1-Config!$F40))*Config!$C40</f>
        <v>0</v>
      </c>
      <c r="AP17" s="67">
        <f>((Config!$F40*Commandes!AP17)+IF(ROUND((AP$8-Config!$C$7)/31,0)&gt;=(Config!$D40+Config!$E40),INDEX(Commandes!$C17:'Commandes'!$BJ17,,COLUMN(AP$8)-COLUMN($C$8)+1-(Config!$D40+Config!$E40)),0)*(1-Config!$F40))*Config!$C40</f>
        <v>0</v>
      </c>
      <c r="AQ17" s="67">
        <f>((Config!$F40*Commandes!AQ17)+IF(ROUND((AQ$8-Config!$C$7)/31,0)&gt;=(Config!$D40+Config!$E40),INDEX(Commandes!$C17:'Commandes'!$BJ17,,COLUMN(AQ$8)-COLUMN($C$8)+1-(Config!$D40+Config!$E40)),0)*(1-Config!$F40))*Config!$C40</f>
        <v>0</v>
      </c>
      <c r="AR17" s="67">
        <f>((Config!$F40*Commandes!AR17)+IF(ROUND((AR$8-Config!$C$7)/31,0)&gt;=(Config!$D40+Config!$E40),INDEX(Commandes!$C17:'Commandes'!$BJ17,,COLUMN(AR$8)-COLUMN($C$8)+1-(Config!$D40+Config!$E40)),0)*(1-Config!$F40))*Config!$C40</f>
        <v>0</v>
      </c>
      <c r="AS17" s="67">
        <f>((Config!$F40*Commandes!AS17)+IF(ROUND((AS$8-Config!$C$7)/31,0)&gt;=(Config!$D40+Config!$E40),INDEX(Commandes!$C17:'Commandes'!$BJ17,,COLUMN(AS$8)-COLUMN($C$8)+1-(Config!$D40+Config!$E40)),0)*(1-Config!$F40))*Config!$C40</f>
        <v>0</v>
      </c>
      <c r="AT17" s="67">
        <f>((Config!$F40*Commandes!AT17)+IF(ROUND((AT$8-Config!$C$7)/31,0)&gt;=(Config!$D40+Config!$E40),INDEX(Commandes!$C17:'Commandes'!$BJ17,,COLUMN(AT$8)-COLUMN($C$8)+1-(Config!$D40+Config!$E40)),0)*(1-Config!$F40))*Config!$C40</f>
        <v>0</v>
      </c>
      <c r="AU17" s="67">
        <f>((Config!$F40*Commandes!AU17)+IF(ROUND((AU$8-Config!$C$7)/31,0)&gt;=(Config!$D40+Config!$E40),INDEX(Commandes!$C17:'Commandes'!$BJ17,,COLUMN(AU$8)-COLUMN($C$8)+1-(Config!$D40+Config!$E40)),0)*(1-Config!$F40))*Config!$C40</f>
        <v>0</v>
      </c>
      <c r="AV17" s="67">
        <f>((Config!$F40*Commandes!AV17)+IF(ROUND((AV$8-Config!$C$7)/31,0)&gt;=(Config!$D40+Config!$E40),INDEX(Commandes!$C17:'Commandes'!$BJ17,,COLUMN(AV$8)-COLUMN($C$8)+1-(Config!$D40+Config!$E40)),0)*(1-Config!$F40))*Config!$C40</f>
        <v>0</v>
      </c>
      <c r="AW17" s="67">
        <f>((Config!$F40*Commandes!AW17)+IF(ROUND((AW$8-Config!$C$7)/31,0)&gt;=(Config!$D40+Config!$E40),INDEX(Commandes!$C17:'Commandes'!$BJ17,,COLUMN(AW$8)-COLUMN($C$8)+1-(Config!$D40+Config!$E40)),0)*(1-Config!$F40))*Config!$C40</f>
        <v>0</v>
      </c>
      <c r="AX17" s="67">
        <f>((Config!$F40*Commandes!AX17)+IF(ROUND((AX$8-Config!$C$7)/31,0)&gt;=(Config!$D40+Config!$E40),INDEX(Commandes!$C17:'Commandes'!$BJ17,,COLUMN(AX$8)-COLUMN($C$8)+1-(Config!$D40+Config!$E40)),0)*(1-Config!$F40))*Config!$C40</f>
        <v>0</v>
      </c>
      <c r="AY17" s="67">
        <f>((Config!$F40*Commandes!AY17)+IF(ROUND((AY$8-Config!$C$7)/31,0)&gt;=(Config!$D40+Config!$E40),INDEX(Commandes!$C17:'Commandes'!$BJ17,,COLUMN(AY$8)-COLUMN($C$8)+1-(Config!$D40+Config!$E40)),0)*(1-Config!$F40))*Config!$C40</f>
        <v>0</v>
      </c>
      <c r="AZ17" s="67">
        <f>((Config!$F40*Commandes!AZ17)+IF(ROUND((AZ$8-Config!$C$7)/31,0)&gt;=(Config!$D40+Config!$E40),INDEX(Commandes!$C17:'Commandes'!$BJ17,,COLUMN(AZ$8)-COLUMN($C$8)+1-(Config!$D40+Config!$E40)),0)*(1-Config!$F40))*Config!$C40</f>
        <v>0</v>
      </c>
      <c r="BA17" s="67">
        <f>((Config!$F40*Commandes!BA17)+IF(ROUND((BA$8-Config!$C$7)/31,0)&gt;=(Config!$D40+Config!$E40),INDEX(Commandes!$C17:'Commandes'!$BJ17,,COLUMN(BA$8)-COLUMN($C$8)+1-(Config!$D40+Config!$E40)),0)*(1-Config!$F40))*Config!$C40</f>
        <v>0</v>
      </c>
      <c r="BB17" s="67">
        <f>((Config!$F40*Commandes!BB17)+IF(ROUND((BB$8-Config!$C$7)/31,0)&gt;=(Config!$D40+Config!$E40),INDEX(Commandes!$C17:'Commandes'!$BJ17,,COLUMN(BB$8)-COLUMN($C$8)+1-(Config!$D40+Config!$E40)),0)*(1-Config!$F40))*Config!$C40</f>
        <v>0</v>
      </c>
      <c r="BC17" s="67">
        <f>((Config!$F40*Commandes!BC17)+IF(ROUND((BC$8-Config!$C$7)/31,0)&gt;=(Config!$D40+Config!$E40),INDEX(Commandes!$C17:'Commandes'!$BJ17,,COLUMN(BC$8)-COLUMN($C$8)+1-(Config!$D40+Config!$E40)),0)*(1-Config!$F40))*Config!$C40</f>
        <v>0</v>
      </c>
      <c r="BD17" s="67">
        <f>((Config!$F40*Commandes!BD17)+IF(ROUND((BD$8-Config!$C$7)/31,0)&gt;=(Config!$D40+Config!$E40),INDEX(Commandes!$C17:'Commandes'!$BJ17,,COLUMN(BD$8)-COLUMN($C$8)+1-(Config!$D40+Config!$E40)),0)*(1-Config!$F40))*Config!$C40</f>
        <v>0</v>
      </c>
      <c r="BE17" s="67">
        <f>((Config!$F40*Commandes!BE17)+IF(ROUND((BE$8-Config!$C$7)/31,0)&gt;=(Config!$D40+Config!$E40),INDEX(Commandes!$C17:'Commandes'!$BJ17,,COLUMN(BE$8)-COLUMN($C$8)+1-(Config!$D40+Config!$E40)),0)*(1-Config!$F40))*Config!$C40</f>
        <v>0</v>
      </c>
      <c r="BF17" s="67">
        <f>((Config!$F40*Commandes!BF17)+IF(ROUND((BF$8-Config!$C$7)/31,0)&gt;=(Config!$D40+Config!$E40),INDEX(Commandes!$C17:'Commandes'!$BJ17,,COLUMN(BF$8)-COLUMN($C$8)+1-(Config!$D40+Config!$E40)),0)*(1-Config!$F40))*Config!$C40</f>
        <v>0</v>
      </c>
      <c r="BG17" s="67">
        <f>((Config!$F40*Commandes!BG17)+IF(ROUND((BG$8-Config!$C$7)/31,0)&gt;=(Config!$D40+Config!$E40),INDEX(Commandes!$C17:'Commandes'!$BJ17,,COLUMN(BG$8)-COLUMN($C$8)+1-(Config!$D40+Config!$E40)),0)*(1-Config!$F40))*Config!$C40</f>
        <v>0</v>
      </c>
      <c r="BH17" s="67">
        <f>((Config!$F40*Commandes!BH17)+IF(ROUND((BH$8-Config!$C$7)/31,0)&gt;=(Config!$D40+Config!$E40),INDEX(Commandes!$C17:'Commandes'!$BJ17,,COLUMN(BH$8)-COLUMN($C$8)+1-(Config!$D40+Config!$E40)),0)*(1-Config!$F40))*Config!$C40</f>
        <v>0</v>
      </c>
      <c r="BI17" s="67">
        <f>((Config!$F40*Commandes!BI17)+IF(ROUND((BI$8-Config!$C$7)/31,0)&gt;=(Config!$D40+Config!$E40),INDEX(Commandes!$C17:'Commandes'!$BJ17,,COLUMN(BI$8)-COLUMN($C$8)+1-(Config!$D40+Config!$E40)),0)*(1-Config!$F40))*Config!$C40</f>
        <v>0</v>
      </c>
      <c r="BJ17" s="67">
        <f>((Config!$F40*Commandes!BJ17)+IF(ROUND((BJ$8-Config!$C$7)/31,0)&gt;=(Config!$D40+Config!$E40),INDEX(Commandes!$C17:'Commandes'!$BJ17,,COLUMN(BJ$8)-COLUMN($C$8)+1-(Config!$D40+Config!$E40)),0)*(1-Config!$F40))*Config!$C40</f>
        <v>0</v>
      </c>
      <c r="BK17" s="70"/>
    </row>
    <row r="18" spans="2:63" x14ac:dyDescent="0.2">
      <c r="B18" s="46">
        <f>Config!$B$23</f>
        <v>0</v>
      </c>
      <c r="C18" s="67">
        <f>((Config!$F41*Commandes!C18)+IF(ROUND((C$8-Config!$C$7)/31,0)&gt;=(Config!$D41+Config!$E41),INDEX(Commandes!$C18:'Commandes'!$BJ18,,COLUMN(C$8)-COLUMN($C$8)+1-(Config!$D41+Config!$E41)),0)*(1-Config!$F41))*Config!$C41</f>
        <v>0</v>
      </c>
      <c r="D18" s="67">
        <f>((Config!$F41*Commandes!D18)+IF(ROUND((D$8-Config!$C$7)/31,0)&gt;=(Config!$D41+Config!$E41),INDEX(Commandes!$C18:'Commandes'!$BJ18,,COLUMN(D$8)-COLUMN($C$8)+1-(Config!$D41+Config!$E41)),0)*(1-Config!$F41))*Config!$C41</f>
        <v>0</v>
      </c>
      <c r="E18" s="67">
        <f>((Config!$F41*Commandes!E18)+IF(ROUND((E$8-Config!$C$7)/31,0)&gt;=(Config!$D41+Config!$E41),INDEX(Commandes!$C18:'Commandes'!$BJ18,,COLUMN(E$8)-COLUMN($C$8)+1-(Config!$D41+Config!$E41)),0)*(1-Config!$F41))*Config!$C41</f>
        <v>0</v>
      </c>
      <c r="F18" s="67">
        <f>((Config!$F41*Commandes!F18)+IF(ROUND((F$8-Config!$C$7)/31,0)&gt;=(Config!$D41+Config!$E41),INDEX(Commandes!$C18:'Commandes'!$BJ18,,COLUMN(F$8)-COLUMN($C$8)+1-(Config!$D41+Config!$E41)),0)*(1-Config!$F41))*Config!$C41</f>
        <v>0</v>
      </c>
      <c r="G18" s="67">
        <f>((Config!$F41*Commandes!G18)+IF(ROUND((G$8-Config!$C$7)/31,0)&gt;=(Config!$D41+Config!$E41),INDEX(Commandes!$C18:'Commandes'!$BJ18,,COLUMN(G$8)-COLUMN($C$8)+1-(Config!$D41+Config!$E41)),0)*(1-Config!$F41))*Config!$C41</f>
        <v>0</v>
      </c>
      <c r="H18" s="67">
        <f>((Config!$F41*Commandes!H18)+IF(ROUND((H$8-Config!$C$7)/31,0)&gt;=(Config!$D41+Config!$E41),INDEX(Commandes!$C18:'Commandes'!$BJ18,,COLUMN(H$8)-COLUMN($C$8)+1-(Config!$D41+Config!$E41)),0)*(1-Config!$F41))*Config!$C41</f>
        <v>0</v>
      </c>
      <c r="I18" s="67">
        <f>((Config!$F41*Commandes!I18)+IF(ROUND((I$8-Config!$C$7)/31,0)&gt;=(Config!$D41+Config!$E41),INDEX(Commandes!$C18:'Commandes'!$BJ18,,COLUMN(I$8)-COLUMN($C$8)+1-(Config!$D41+Config!$E41)),0)*(1-Config!$F41))*Config!$C41</f>
        <v>0</v>
      </c>
      <c r="J18" s="67">
        <f>((Config!$F41*Commandes!J18)+IF(ROUND((J$8-Config!$C$7)/31,0)&gt;=(Config!$D41+Config!$E41),INDEX(Commandes!$C18:'Commandes'!$BJ18,,COLUMN(J$8)-COLUMN($C$8)+1-(Config!$D41+Config!$E41)),0)*(1-Config!$F41))*Config!$C41</f>
        <v>0</v>
      </c>
      <c r="K18" s="67">
        <f>((Config!$F41*Commandes!K18)+IF(ROUND((K$8-Config!$C$7)/31,0)&gt;=(Config!$D41+Config!$E41),INDEX(Commandes!$C18:'Commandes'!$BJ18,,COLUMN(K$8)-COLUMN($C$8)+1-(Config!$D41+Config!$E41)),0)*(1-Config!$F41))*Config!$C41</f>
        <v>0</v>
      </c>
      <c r="L18" s="67">
        <f>((Config!$F41*Commandes!L18)+IF(ROUND((L$8-Config!$C$7)/31,0)&gt;=(Config!$D41+Config!$E41),INDEX(Commandes!$C18:'Commandes'!$BJ18,,COLUMN(L$8)-COLUMN($C$8)+1-(Config!$D41+Config!$E41)),0)*(1-Config!$F41))*Config!$C41</f>
        <v>0</v>
      </c>
      <c r="M18" s="67">
        <f>((Config!$F41*Commandes!M18)+IF(ROUND((M$8-Config!$C$7)/31,0)&gt;=(Config!$D41+Config!$E41),INDEX(Commandes!$C18:'Commandes'!$BJ18,,COLUMN(M$8)-COLUMN($C$8)+1-(Config!$D41+Config!$E41)),0)*(1-Config!$F41))*Config!$C41</f>
        <v>0</v>
      </c>
      <c r="N18" s="67">
        <f>((Config!$F41*Commandes!N18)+IF(ROUND((N$8-Config!$C$7)/31,0)&gt;=(Config!$D41+Config!$E41),INDEX(Commandes!$C18:'Commandes'!$BJ18,,COLUMN(N$8)-COLUMN($C$8)+1-(Config!$D41+Config!$E41)),0)*(1-Config!$F41))*Config!$C41</f>
        <v>0</v>
      </c>
      <c r="O18" s="67">
        <f>((Config!$F41*Commandes!O18)+IF(ROUND((O$8-Config!$C$7)/31,0)&gt;=(Config!$D41+Config!$E41),INDEX(Commandes!$C18:'Commandes'!$BJ18,,COLUMN(O$8)-COLUMN($C$8)+1-(Config!$D41+Config!$E41)),0)*(1-Config!$F41))*Config!$C41</f>
        <v>0</v>
      </c>
      <c r="P18" s="67">
        <f>((Config!$F41*Commandes!P18)+IF(ROUND((P$8-Config!$C$7)/31,0)&gt;=(Config!$D41+Config!$E41),INDEX(Commandes!$C18:'Commandes'!$BJ18,,COLUMN(P$8)-COLUMN($C$8)+1-(Config!$D41+Config!$E41)),0)*(1-Config!$F41))*Config!$C41</f>
        <v>0</v>
      </c>
      <c r="Q18" s="67">
        <f>((Config!$F41*Commandes!Q18)+IF(ROUND((Q$8-Config!$C$7)/31,0)&gt;=(Config!$D41+Config!$E41),INDEX(Commandes!$C18:'Commandes'!$BJ18,,COLUMN(Q$8)-COLUMN($C$8)+1-(Config!$D41+Config!$E41)),0)*(1-Config!$F41))*Config!$C41</f>
        <v>0</v>
      </c>
      <c r="R18" s="67">
        <f>((Config!$F41*Commandes!R18)+IF(ROUND((R$8-Config!$C$7)/31,0)&gt;=(Config!$D41+Config!$E41),INDEX(Commandes!$C18:'Commandes'!$BJ18,,COLUMN(R$8)-COLUMN($C$8)+1-(Config!$D41+Config!$E41)),0)*(1-Config!$F41))*Config!$C41</f>
        <v>0</v>
      </c>
      <c r="S18" s="67">
        <f>((Config!$F41*Commandes!S18)+IF(ROUND((S$8-Config!$C$7)/31,0)&gt;=(Config!$D41+Config!$E41),INDEX(Commandes!$C18:'Commandes'!$BJ18,,COLUMN(S$8)-COLUMN($C$8)+1-(Config!$D41+Config!$E41)),0)*(1-Config!$F41))*Config!$C41</f>
        <v>0</v>
      </c>
      <c r="T18" s="67">
        <f>((Config!$F41*Commandes!T18)+IF(ROUND((T$8-Config!$C$7)/31,0)&gt;=(Config!$D41+Config!$E41),INDEX(Commandes!$C18:'Commandes'!$BJ18,,COLUMN(T$8)-COLUMN($C$8)+1-(Config!$D41+Config!$E41)),0)*(1-Config!$F41))*Config!$C41</f>
        <v>0</v>
      </c>
      <c r="U18" s="67">
        <f>((Config!$F41*Commandes!U18)+IF(ROUND((U$8-Config!$C$7)/31,0)&gt;=(Config!$D41+Config!$E41),INDEX(Commandes!$C18:'Commandes'!$BJ18,,COLUMN(U$8)-COLUMN($C$8)+1-(Config!$D41+Config!$E41)),0)*(1-Config!$F41))*Config!$C41</f>
        <v>0</v>
      </c>
      <c r="V18" s="67">
        <f>((Config!$F41*Commandes!V18)+IF(ROUND((V$8-Config!$C$7)/31,0)&gt;=(Config!$D41+Config!$E41),INDEX(Commandes!$C18:'Commandes'!$BJ18,,COLUMN(V$8)-COLUMN($C$8)+1-(Config!$D41+Config!$E41)),0)*(1-Config!$F41))*Config!$C41</f>
        <v>0</v>
      </c>
      <c r="W18" s="67">
        <f>((Config!$F41*Commandes!W18)+IF(ROUND((W$8-Config!$C$7)/31,0)&gt;=(Config!$D41+Config!$E41),INDEX(Commandes!$C18:'Commandes'!$BJ18,,COLUMN(W$8)-COLUMN($C$8)+1-(Config!$D41+Config!$E41)),0)*(1-Config!$F41))*Config!$C41</f>
        <v>0</v>
      </c>
      <c r="X18" s="67">
        <f>((Config!$F41*Commandes!X18)+IF(ROUND((X$8-Config!$C$7)/31,0)&gt;=(Config!$D41+Config!$E41),INDEX(Commandes!$C18:'Commandes'!$BJ18,,COLUMN(X$8)-COLUMN($C$8)+1-(Config!$D41+Config!$E41)),0)*(1-Config!$F41))*Config!$C41</f>
        <v>0</v>
      </c>
      <c r="Y18" s="67">
        <f>((Config!$F41*Commandes!Y18)+IF(ROUND((Y$8-Config!$C$7)/31,0)&gt;=(Config!$D41+Config!$E41),INDEX(Commandes!$C18:'Commandes'!$BJ18,,COLUMN(Y$8)-COLUMN($C$8)+1-(Config!$D41+Config!$E41)),0)*(1-Config!$F41))*Config!$C41</f>
        <v>0</v>
      </c>
      <c r="Z18" s="67">
        <f>((Config!$F41*Commandes!Z18)+IF(ROUND((Z$8-Config!$C$7)/31,0)&gt;=(Config!$D41+Config!$E41),INDEX(Commandes!$C18:'Commandes'!$BJ18,,COLUMN(Z$8)-COLUMN($C$8)+1-(Config!$D41+Config!$E41)),0)*(1-Config!$F41))*Config!$C41</f>
        <v>0</v>
      </c>
      <c r="AA18" s="67">
        <f>((Config!$F41*Commandes!AA18)+IF(ROUND((AA$8-Config!$C$7)/31,0)&gt;=(Config!$D41+Config!$E41),INDEX(Commandes!$C18:'Commandes'!$BJ18,,COLUMN(AA$8)-COLUMN($C$8)+1-(Config!$D41+Config!$E41)),0)*(1-Config!$F41))*Config!$C41</f>
        <v>0</v>
      </c>
      <c r="AB18" s="67">
        <f>((Config!$F41*Commandes!AB18)+IF(ROUND((AB$8-Config!$C$7)/31,0)&gt;=(Config!$D41+Config!$E41),INDEX(Commandes!$C18:'Commandes'!$BJ18,,COLUMN(AB$8)-COLUMN($C$8)+1-(Config!$D41+Config!$E41)),0)*(1-Config!$F41))*Config!$C41</f>
        <v>0</v>
      </c>
      <c r="AC18" s="67">
        <f>((Config!$F41*Commandes!AC18)+IF(ROUND((AC$8-Config!$C$7)/31,0)&gt;=(Config!$D41+Config!$E41),INDEX(Commandes!$C18:'Commandes'!$BJ18,,COLUMN(AC$8)-COLUMN($C$8)+1-(Config!$D41+Config!$E41)),0)*(1-Config!$F41))*Config!$C41</f>
        <v>0</v>
      </c>
      <c r="AD18" s="67">
        <f>((Config!$F41*Commandes!AD18)+IF(ROUND((AD$8-Config!$C$7)/31,0)&gt;=(Config!$D41+Config!$E41),INDEX(Commandes!$C18:'Commandes'!$BJ18,,COLUMN(AD$8)-COLUMN($C$8)+1-(Config!$D41+Config!$E41)),0)*(1-Config!$F41))*Config!$C41</f>
        <v>0</v>
      </c>
      <c r="AE18" s="67">
        <f>((Config!$F41*Commandes!AE18)+IF(ROUND((AE$8-Config!$C$7)/31,0)&gt;=(Config!$D41+Config!$E41),INDEX(Commandes!$C18:'Commandes'!$BJ18,,COLUMN(AE$8)-COLUMN($C$8)+1-(Config!$D41+Config!$E41)),0)*(1-Config!$F41))*Config!$C41</f>
        <v>0</v>
      </c>
      <c r="AF18" s="67">
        <f>((Config!$F41*Commandes!AF18)+IF(ROUND((AF$8-Config!$C$7)/31,0)&gt;=(Config!$D41+Config!$E41),INDEX(Commandes!$C18:'Commandes'!$BJ18,,COLUMN(AF$8)-COLUMN($C$8)+1-(Config!$D41+Config!$E41)),0)*(1-Config!$F41))*Config!$C41</f>
        <v>0</v>
      </c>
      <c r="AG18" s="67">
        <f>((Config!$F41*Commandes!AG18)+IF(ROUND((AG$8-Config!$C$7)/31,0)&gt;=(Config!$D41+Config!$E41),INDEX(Commandes!$C18:'Commandes'!$BJ18,,COLUMN(AG$8)-COLUMN($C$8)+1-(Config!$D41+Config!$E41)),0)*(1-Config!$F41))*Config!$C41</f>
        <v>0</v>
      </c>
      <c r="AH18" s="67">
        <f>((Config!$F41*Commandes!AH18)+IF(ROUND((AH$8-Config!$C$7)/31,0)&gt;=(Config!$D41+Config!$E41),INDEX(Commandes!$C18:'Commandes'!$BJ18,,COLUMN(AH$8)-COLUMN($C$8)+1-(Config!$D41+Config!$E41)),0)*(1-Config!$F41))*Config!$C41</f>
        <v>0</v>
      </c>
      <c r="AI18" s="67">
        <f>((Config!$F41*Commandes!AI18)+IF(ROUND((AI$8-Config!$C$7)/31,0)&gt;=(Config!$D41+Config!$E41),INDEX(Commandes!$C18:'Commandes'!$BJ18,,COLUMN(AI$8)-COLUMN($C$8)+1-(Config!$D41+Config!$E41)),0)*(1-Config!$F41))*Config!$C41</f>
        <v>0</v>
      </c>
      <c r="AJ18" s="67">
        <f>((Config!$F41*Commandes!AJ18)+IF(ROUND((AJ$8-Config!$C$7)/31,0)&gt;=(Config!$D41+Config!$E41),INDEX(Commandes!$C18:'Commandes'!$BJ18,,COLUMN(AJ$8)-COLUMN($C$8)+1-(Config!$D41+Config!$E41)),0)*(1-Config!$F41))*Config!$C41</f>
        <v>0</v>
      </c>
      <c r="AK18" s="67">
        <f>((Config!$F41*Commandes!AK18)+IF(ROUND((AK$8-Config!$C$7)/31,0)&gt;=(Config!$D41+Config!$E41),INDEX(Commandes!$C18:'Commandes'!$BJ18,,COLUMN(AK$8)-COLUMN($C$8)+1-(Config!$D41+Config!$E41)),0)*(1-Config!$F41))*Config!$C41</f>
        <v>0</v>
      </c>
      <c r="AL18" s="67">
        <f>((Config!$F41*Commandes!AL18)+IF(ROUND((AL$8-Config!$C$7)/31,0)&gt;=(Config!$D41+Config!$E41),INDEX(Commandes!$C18:'Commandes'!$BJ18,,COLUMN(AL$8)-COLUMN($C$8)+1-(Config!$D41+Config!$E41)),0)*(1-Config!$F41))*Config!$C41</f>
        <v>0</v>
      </c>
      <c r="AM18" s="67">
        <f>((Config!$F41*Commandes!AM18)+IF(ROUND((AM$8-Config!$C$7)/31,0)&gt;=(Config!$D41+Config!$E41),INDEX(Commandes!$C18:'Commandes'!$BJ18,,COLUMN(AM$8)-COLUMN($C$8)+1-(Config!$D41+Config!$E41)),0)*(1-Config!$F41))*Config!$C41</f>
        <v>0</v>
      </c>
      <c r="AN18" s="67">
        <f>((Config!$F41*Commandes!AN18)+IF(ROUND((AN$8-Config!$C$7)/31,0)&gt;=(Config!$D41+Config!$E41),INDEX(Commandes!$C18:'Commandes'!$BJ18,,COLUMN(AN$8)-COLUMN($C$8)+1-(Config!$D41+Config!$E41)),0)*(1-Config!$F41))*Config!$C41</f>
        <v>0</v>
      </c>
      <c r="AO18" s="67">
        <f>((Config!$F41*Commandes!AO18)+IF(ROUND((AO$8-Config!$C$7)/31,0)&gt;=(Config!$D41+Config!$E41),INDEX(Commandes!$C18:'Commandes'!$BJ18,,COLUMN(AO$8)-COLUMN($C$8)+1-(Config!$D41+Config!$E41)),0)*(1-Config!$F41))*Config!$C41</f>
        <v>0</v>
      </c>
      <c r="AP18" s="67">
        <f>((Config!$F41*Commandes!AP18)+IF(ROUND((AP$8-Config!$C$7)/31,0)&gt;=(Config!$D41+Config!$E41),INDEX(Commandes!$C18:'Commandes'!$BJ18,,COLUMN(AP$8)-COLUMN($C$8)+1-(Config!$D41+Config!$E41)),0)*(1-Config!$F41))*Config!$C41</f>
        <v>0</v>
      </c>
      <c r="AQ18" s="67">
        <f>((Config!$F41*Commandes!AQ18)+IF(ROUND((AQ$8-Config!$C$7)/31,0)&gt;=(Config!$D41+Config!$E41),INDEX(Commandes!$C18:'Commandes'!$BJ18,,COLUMN(AQ$8)-COLUMN($C$8)+1-(Config!$D41+Config!$E41)),0)*(1-Config!$F41))*Config!$C41</f>
        <v>0</v>
      </c>
      <c r="AR18" s="67">
        <f>((Config!$F41*Commandes!AR18)+IF(ROUND((AR$8-Config!$C$7)/31,0)&gt;=(Config!$D41+Config!$E41),INDEX(Commandes!$C18:'Commandes'!$BJ18,,COLUMN(AR$8)-COLUMN($C$8)+1-(Config!$D41+Config!$E41)),0)*(1-Config!$F41))*Config!$C41</f>
        <v>0</v>
      </c>
      <c r="AS18" s="67">
        <f>((Config!$F41*Commandes!AS18)+IF(ROUND((AS$8-Config!$C$7)/31,0)&gt;=(Config!$D41+Config!$E41),INDEX(Commandes!$C18:'Commandes'!$BJ18,,COLUMN(AS$8)-COLUMN($C$8)+1-(Config!$D41+Config!$E41)),0)*(1-Config!$F41))*Config!$C41</f>
        <v>0</v>
      </c>
      <c r="AT18" s="67">
        <f>((Config!$F41*Commandes!AT18)+IF(ROUND((AT$8-Config!$C$7)/31,0)&gt;=(Config!$D41+Config!$E41),INDEX(Commandes!$C18:'Commandes'!$BJ18,,COLUMN(AT$8)-COLUMN($C$8)+1-(Config!$D41+Config!$E41)),0)*(1-Config!$F41))*Config!$C41</f>
        <v>0</v>
      </c>
      <c r="AU18" s="67">
        <f>((Config!$F41*Commandes!AU18)+IF(ROUND((AU$8-Config!$C$7)/31,0)&gt;=(Config!$D41+Config!$E41),INDEX(Commandes!$C18:'Commandes'!$BJ18,,COLUMN(AU$8)-COLUMN($C$8)+1-(Config!$D41+Config!$E41)),0)*(1-Config!$F41))*Config!$C41</f>
        <v>0</v>
      </c>
      <c r="AV18" s="67">
        <f>((Config!$F41*Commandes!AV18)+IF(ROUND((AV$8-Config!$C$7)/31,0)&gt;=(Config!$D41+Config!$E41),INDEX(Commandes!$C18:'Commandes'!$BJ18,,COLUMN(AV$8)-COLUMN($C$8)+1-(Config!$D41+Config!$E41)),0)*(1-Config!$F41))*Config!$C41</f>
        <v>0</v>
      </c>
      <c r="AW18" s="67">
        <f>((Config!$F41*Commandes!AW18)+IF(ROUND((AW$8-Config!$C$7)/31,0)&gt;=(Config!$D41+Config!$E41),INDEX(Commandes!$C18:'Commandes'!$BJ18,,COLUMN(AW$8)-COLUMN($C$8)+1-(Config!$D41+Config!$E41)),0)*(1-Config!$F41))*Config!$C41</f>
        <v>0</v>
      </c>
      <c r="AX18" s="67">
        <f>((Config!$F41*Commandes!AX18)+IF(ROUND((AX$8-Config!$C$7)/31,0)&gt;=(Config!$D41+Config!$E41),INDEX(Commandes!$C18:'Commandes'!$BJ18,,COLUMN(AX$8)-COLUMN($C$8)+1-(Config!$D41+Config!$E41)),0)*(1-Config!$F41))*Config!$C41</f>
        <v>0</v>
      </c>
      <c r="AY18" s="67">
        <f>((Config!$F41*Commandes!AY18)+IF(ROUND((AY$8-Config!$C$7)/31,0)&gt;=(Config!$D41+Config!$E41),INDEX(Commandes!$C18:'Commandes'!$BJ18,,COLUMN(AY$8)-COLUMN($C$8)+1-(Config!$D41+Config!$E41)),0)*(1-Config!$F41))*Config!$C41</f>
        <v>0</v>
      </c>
      <c r="AZ18" s="67">
        <f>((Config!$F41*Commandes!AZ18)+IF(ROUND((AZ$8-Config!$C$7)/31,0)&gt;=(Config!$D41+Config!$E41),INDEX(Commandes!$C18:'Commandes'!$BJ18,,COLUMN(AZ$8)-COLUMN($C$8)+1-(Config!$D41+Config!$E41)),0)*(1-Config!$F41))*Config!$C41</f>
        <v>0</v>
      </c>
      <c r="BA18" s="67">
        <f>((Config!$F41*Commandes!BA18)+IF(ROUND((BA$8-Config!$C$7)/31,0)&gt;=(Config!$D41+Config!$E41),INDEX(Commandes!$C18:'Commandes'!$BJ18,,COLUMN(BA$8)-COLUMN($C$8)+1-(Config!$D41+Config!$E41)),0)*(1-Config!$F41))*Config!$C41</f>
        <v>0</v>
      </c>
      <c r="BB18" s="67">
        <f>((Config!$F41*Commandes!BB18)+IF(ROUND((BB$8-Config!$C$7)/31,0)&gt;=(Config!$D41+Config!$E41),INDEX(Commandes!$C18:'Commandes'!$BJ18,,COLUMN(BB$8)-COLUMN($C$8)+1-(Config!$D41+Config!$E41)),0)*(1-Config!$F41))*Config!$C41</f>
        <v>0</v>
      </c>
      <c r="BC18" s="67">
        <f>((Config!$F41*Commandes!BC18)+IF(ROUND((BC$8-Config!$C$7)/31,0)&gt;=(Config!$D41+Config!$E41),INDEX(Commandes!$C18:'Commandes'!$BJ18,,COLUMN(BC$8)-COLUMN($C$8)+1-(Config!$D41+Config!$E41)),0)*(1-Config!$F41))*Config!$C41</f>
        <v>0</v>
      </c>
      <c r="BD18" s="67">
        <f>((Config!$F41*Commandes!BD18)+IF(ROUND((BD$8-Config!$C$7)/31,0)&gt;=(Config!$D41+Config!$E41),INDEX(Commandes!$C18:'Commandes'!$BJ18,,COLUMN(BD$8)-COLUMN($C$8)+1-(Config!$D41+Config!$E41)),0)*(1-Config!$F41))*Config!$C41</f>
        <v>0</v>
      </c>
      <c r="BE18" s="67">
        <f>((Config!$F41*Commandes!BE18)+IF(ROUND((BE$8-Config!$C$7)/31,0)&gt;=(Config!$D41+Config!$E41),INDEX(Commandes!$C18:'Commandes'!$BJ18,,COLUMN(BE$8)-COLUMN($C$8)+1-(Config!$D41+Config!$E41)),0)*(1-Config!$F41))*Config!$C41</f>
        <v>0</v>
      </c>
      <c r="BF18" s="67">
        <f>((Config!$F41*Commandes!BF18)+IF(ROUND((BF$8-Config!$C$7)/31,0)&gt;=(Config!$D41+Config!$E41),INDEX(Commandes!$C18:'Commandes'!$BJ18,,COLUMN(BF$8)-COLUMN($C$8)+1-(Config!$D41+Config!$E41)),0)*(1-Config!$F41))*Config!$C41</f>
        <v>0</v>
      </c>
      <c r="BG18" s="67">
        <f>((Config!$F41*Commandes!BG18)+IF(ROUND((BG$8-Config!$C$7)/31,0)&gt;=(Config!$D41+Config!$E41),INDEX(Commandes!$C18:'Commandes'!$BJ18,,COLUMN(BG$8)-COLUMN($C$8)+1-(Config!$D41+Config!$E41)),0)*(1-Config!$F41))*Config!$C41</f>
        <v>0</v>
      </c>
      <c r="BH18" s="67">
        <f>((Config!$F41*Commandes!BH18)+IF(ROUND((BH$8-Config!$C$7)/31,0)&gt;=(Config!$D41+Config!$E41),INDEX(Commandes!$C18:'Commandes'!$BJ18,,COLUMN(BH$8)-COLUMN($C$8)+1-(Config!$D41+Config!$E41)),0)*(1-Config!$F41))*Config!$C41</f>
        <v>0</v>
      </c>
      <c r="BI18" s="67">
        <f>((Config!$F41*Commandes!BI18)+IF(ROUND((BI$8-Config!$C$7)/31,0)&gt;=(Config!$D41+Config!$E41),INDEX(Commandes!$C18:'Commandes'!$BJ18,,COLUMN(BI$8)-COLUMN($C$8)+1-(Config!$D41+Config!$E41)),0)*(1-Config!$F41))*Config!$C41</f>
        <v>0</v>
      </c>
      <c r="BJ18" s="67">
        <f>((Config!$F41*Commandes!BJ18)+IF(ROUND((BJ$8-Config!$C$7)/31,0)&gt;=(Config!$D41+Config!$E41),INDEX(Commandes!$C18:'Commandes'!$BJ18,,COLUMN(BJ$8)-COLUMN($C$8)+1-(Config!$D41+Config!$E41)),0)*(1-Config!$F41))*Config!$C41</f>
        <v>0</v>
      </c>
      <c r="BK18" s="70"/>
    </row>
    <row r="19" spans="2:63" x14ac:dyDescent="0.2">
      <c r="B19" s="46">
        <f>Config!$B$24</f>
        <v>0</v>
      </c>
      <c r="C19" s="67">
        <f>((Config!$F42*Commandes!C19)+IF(ROUND((C$8-Config!$C$7)/31,0)&gt;=(Config!$D42+Config!$E42),INDEX(Commandes!$C19:'Commandes'!$BJ19,,COLUMN(C$8)-COLUMN($C$8)+1-(Config!$D42+Config!$E42)),0)*(1-Config!$F42))*Config!$C42</f>
        <v>0</v>
      </c>
      <c r="D19" s="67">
        <f>((Config!$F42*Commandes!D19)+IF(ROUND((D$8-Config!$C$7)/31,0)&gt;=(Config!$D42+Config!$E42),INDEX(Commandes!$C19:'Commandes'!$BJ19,,COLUMN(D$8)-COLUMN($C$8)+1-(Config!$D42+Config!$E42)),0)*(1-Config!$F42))*Config!$C42</f>
        <v>0</v>
      </c>
      <c r="E19" s="67">
        <f>((Config!$F42*Commandes!E19)+IF(ROUND((E$8-Config!$C$7)/31,0)&gt;=(Config!$D42+Config!$E42),INDEX(Commandes!$C19:'Commandes'!$BJ19,,COLUMN(E$8)-COLUMN($C$8)+1-(Config!$D42+Config!$E42)),0)*(1-Config!$F42))*Config!$C42</f>
        <v>0</v>
      </c>
      <c r="F19" s="67">
        <f>((Config!$F42*Commandes!F19)+IF(ROUND((F$8-Config!$C$7)/31,0)&gt;=(Config!$D42+Config!$E42),INDEX(Commandes!$C19:'Commandes'!$BJ19,,COLUMN(F$8)-COLUMN($C$8)+1-(Config!$D42+Config!$E42)),0)*(1-Config!$F42))*Config!$C42</f>
        <v>0</v>
      </c>
      <c r="G19" s="67">
        <f>((Config!$F42*Commandes!G19)+IF(ROUND((G$8-Config!$C$7)/31,0)&gt;=(Config!$D42+Config!$E42),INDEX(Commandes!$C19:'Commandes'!$BJ19,,COLUMN(G$8)-COLUMN($C$8)+1-(Config!$D42+Config!$E42)),0)*(1-Config!$F42))*Config!$C42</f>
        <v>0</v>
      </c>
      <c r="H19" s="67">
        <f>((Config!$F42*Commandes!H19)+IF(ROUND((H$8-Config!$C$7)/31,0)&gt;=(Config!$D42+Config!$E42),INDEX(Commandes!$C19:'Commandes'!$BJ19,,COLUMN(H$8)-COLUMN($C$8)+1-(Config!$D42+Config!$E42)),0)*(1-Config!$F42))*Config!$C42</f>
        <v>0</v>
      </c>
      <c r="I19" s="67">
        <f>((Config!$F42*Commandes!I19)+IF(ROUND((I$8-Config!$C$7)/31,0)&gt;=(Config!$D42+Config!$E42),INDEX(Commandes!$C19:'Commandes'!$BJ19,,COLUMN(I$8)-COLUMN($C$8)+1-(Config!$D42+Config!$E42)),0)*(1-Config!$F42))*Config!$C42</f>
        <v>0</v>
      </c>
      <c r="J19" s="67">
        <f>((Config!$F42*Commandes!J19)+IF(ROUND((J$8-Config!$C$7)/31,0)&gt;=(Config!$D42+Config!$E42),INDEX(Commandes!$C19:'Commandes'!$BJ19,,COLUMN(J$8)-COLUMN($C$8)+1-(Config!$D42+Config!$E42)),0)*(1-Config!$F42))*Config!$C42</f>
        <v>0</v>
      </c>
      <c r="K19" s="67">
        <f>((Config!$F42*Commandes!K19)+IF(ROUND((K$8-Config!$C$7)/31,0)&gt;=(Config!$D42+Config!$E42),INDEX(Commandes!$C19:'Commandes'!$BJ19,,COLUMN(K$8)-COLUMN($C$8)+1-(Config!$D42+Config!$E42)),0)*(1-Config!$F42))*Config!$C42</f>
        <v>0</v>
      </c>
      <c r="L19" s="67">
        <f>((Config!$F42*Commandes!L19)+IF(ROUND((L$8-Config!$C$7)/31,0)&gt;=(Config!$D42+Config!$E42),INDEX(Commandes!$C19:'Commandes'!$BJ19,,COLUMN(L$8)-COLUMN($C$8)+1-(Config!$D42+Config!$E42)),0)*(1-Config!$F42))*Config!$C42</f>
        <v>0</v>
      </c>
      <c r="M19" s="67">
        <f>((Config!$F42*Commandes!M19)+IF(ROUND((M$8-Config!$C$7)/31,0)&gt;=(Config!$D42+Config!$E42),INDEX(Commandes!$C19:'Commandes'!$BJ19,,COLUMN(M$8)-COLUMN($C$8)+1-(Config!$D42+Config!$E42)),0)*(1-Config!$F42))*Config!$C42</f>
        <v>0</v>
      </c>
      <c r="N19" s="67">
        <f>((Config!$F42*Commandes!N19)+IF(ROUND((N$8-Config!$C$7)/31,0)&gt;=(Config!$D42+Config!$E42),INDEX(Commandes!$C19:'Commandes'!$BJ19,,COLUMN(N$8)-COLUMN($C$8)+1-(Config!$D42+Config!$E42)),0)*(1-Config!$F42))*Config!$C42</f>
        <v>0</v>
      </c>
      <c r="O19" s="67">
        <f>((Config!$F42*Commandes!O19)+IF(ROUND((O$8-Config!$C$7)/31,0)&gt;=(Config!$D42+Config!$E42),INDEX(Commandes!$C19:'Commandes'!$BJ19,,COLUMN(O$8)-COLUMN($C$8)+1-(Config!$D42+Config!$E42)),0)*(1-Config!$F42))*Config!$C42</f>
        <v>0</v>
      </c>
      <c r="P19" s="67">
        <f>((Config!$F42*Commandes!P19)+IF(ROUND((P$8-Config!$C$7)/31,0)&gt;=(Config!$D42+Config!$E42),INDEX(Commandes!$C19:'Commandes'!$BJ19,,COLUMN(P$8)-COLUMN($C$8)+1-(Config!$D42+Config!$E42)),0)*(1-Config!$F42))*Config!$C42</f>
        <v>0</v>
      </c>
      <c r="Q19" s="67">
        <f>((Config!$F42*Commandes!Q19)+IF(ROUND((Q$8-Config!$C$7)/31,0)&gt;=(Config!$D42+Config!$E42),INDEX(Commandes!$C19:'Commandes'!$BJ19,,COLUMN(Q$8)-COLUMN($C$8)+1-(Config!$D42+Config!$E42)),0)*(1-Config!$F42))*Config!$C42</f>
        <v>0</v>
      </c>
      <c r="R19" s="67">
        <f>((Config!$F42*Commandes!R19)+IF(ROUND((R$8-Config!$C$7)/31,0)&gt;=(Config!$D42+Config!$E42),INDEX(Commandes!$C19:'Commandes'!$BJ19,,COLUMN(R$8)-COLUMN($C$8)+1-(Config!$D42+Config!$E42)),0)*(1-Config!$F42))*Config!$C42</f>
        <v>0</v>
      </c>
      <c r="S19" s="67">
        <f>((Config!$F42*Commandes!S19)+IF(ROUND((S$8-Config!$C$7)/31,0)&gt;=(Config!$D42+Config!$E42),INDEX(Commandes!$C19:'Commandes'!$BJ19,,COLUMN(S$8)-COLUMN($C$8)+1-(Config!$D42+Config!$E42)),0)*(1-Config!$F42))*Config!$C42</f>
        <v>0</v>
      </c>
      <c r="T19" s="67">
        <f>((Config!$F42*Commandes!T19)+IF(ROUND((T$8-Config!$C$7)/31,0)&gt;=(Config!$D42+Config!$E42),INDEX(Commandes!$C19:'Commandes'!$BJ19,,COLUMN(T$8)-COLUMN($C$8)+1-(Config!$D42+Config!$E42)),0)*(1-Config!$F42))*Config!$C42</f>
        <v>0</v>
      </c>
      <c r="U19" s="67">
        <f>((Config!$F42*Commandes!U19)+IF(ROUND((U$8-Config!$C$7)/31,0)&gt;=(Config!$D42+Config!$E42),INDEX(Commandes!$C19:'Commandes'!$BJ19,,COLUMN(U$8)-COLUMN($C$8)+1-(Config!$D42+Config!$E42)),0)*(1-Config!$F42))*Config!$C42</f>
        <v>0</v>
      </c>
      <c r="V19" s="67">
        <f>((Config!$F42*Commandes!V19)+IF(ROUND((V$8-Config!$C$7)/31,0)&gt;=(Config!$D42+Config!$E42),INDEX(Commandes!$C19:'Commandes'!$BJ19,,COLUMN(V$8)-COLUMN($C$8)+1-(Config!$D42+Config!$E42)),0)*(1-Config!$F42))*Config!$C42</f>
        <v>0</v>
      </c>
      <c r="W19" s="67">
        <f>((Config!$F42*Commandes!W19)+IF(ROUND((W$8-Config!$C$7)/31,0)&gt;=(Config!$D42+Config!$E42),INDEX(Commandes!$C19:'Commandes'!$BJ19,,COLUMN(W$8)-COLUMN($C$8)+1-(Config!$D42+Config!$E42)),0)*(1-Config!$F42))*Config!$C42</f>
        <v>0</v>
      </c>
      <c r="X19" s="67">
        <f>((Config!$F42*Commandes!X19)+IF(ROUND((X$8-Config!$C$7)/31,0)&gt;=(Config!$D42+Config!$E42),INDEX(Commandes!$C19:'Commandes'!$BJ19,,COLUMN(X$8)-COLUMN($C$8)+1-(Config!$D42+Config!$E42)),0)*(1-Config!$F42))*Config!$C42</f>
        <v>0</v>
      </c>
      <c r="Y19" s="67">
        <f>((Config!$F42*Commandes!Y19)+IF(ROUND((Y$8-Config!$C$7)/31,0)&gt;=(Config!$D42+Config!$E42),INDEX(Commandes!$C19:'Commandes'!$BJ19,,COLUMN(Y$8)-COLUMN($C$8)+1-(Config!$D42+Config!$E42)),0)*(1-Config!$F42))*Config!$C42</f>
        <v>0</v>
      </c>
      <c r="Z19" s="67">
        <f>((Config!$F42*Commandes!Z19)+IF(ROUND((Z$8-Config!$C$7)/31,0)&gt;=(Config!$D42+Config!$E42),INDEX(Commandes!$C19:'Commandes'!$BJ19,,COLUMN(Z$8)-COLUMN($C$8)+1-(Config!$D42+Config!$E42)),0)*(1-Config!$F42))*Config!$C42</f>
        <v>0</v>
      </c>
      <c r="AA19" s="67">
        <f>((Config!$F42*Commandes!AA19)+IF(ROUND((AA$8-Config!$C$7)/31,0)&gt;=(Config!$D42+Config!$E42),INDEX(Commandes!$C19:'Commandes'!$BJ19,,COLUMN(AA$8)-COLUMN($C$8)+1-(Config!$D42+Config!$E42)),0)*(1-Config!$F42))*Config!$C42</f>
        <v>0</v>
      </c>
      <c r="AB19" s="67">
        <f>((Config!$F42*Commandes!AB19)+IF(ROUND((AB$8-Config!$C$7)/31,0)&gt;=(Config!$D42+Config!$E42),INDEX(Commandes!$C19:'Commandes'!$BJ19,,COLUMN(AB$8)-COLUMN($C$8)+1-(Config!$D42+Config!$E42)),0)*(1-Config!$F42))*Config!$C42</f>
        <v>0</v>
      </c>
      <c r="AC19" s="67">
        <f>((Config!$F42*Commandes!AC19)+IF(ROUND((AC$8-Config!$C$7)/31,0)&gt;=(Config!$D42+Config!$E42),INDEX(Commandes!$C19:'Commandes'!$BJ19,,COLUMN(AC$8)-COLUMN($C$8)+1-(Config!$D42+Config!$E42)),0)*(1-Config!$F42))*Config!$C42</f>
        <v>0</v>
      </c>
      <c r="AD19" s="67">
        <f>((Config!$F42*Commandes!AD19)+IF(ROUND((AD$8-Config!$C$7)/31,0)&gt;=(Config!$D42+Config!$E42),INDEX(Commandes!$C19:'Commandes'!$BJ19,,COLUMN(AD$8)-COLUMN($C$8)+1-(Config!$D42+Config!$E42)),0)*(1-Config!$F42))*Config!$C42</f>
        <v>0</v>
      </c>
      <c r="AE19" s="67">
        <f>((Config!$F42*Commandes!AE19)+IF(ROUND((AE$8-Config!$C$7)/31,0)&gt;=(Config!$D42+Config!$E42),INDEX(Commandes!$C19:'Commandes'!$BJ19,,COLUMN(AE$8)-COLUMN($C$8)+1-(Config!$D42+Config!$E42)),0)*(1-Config!$F42))*Config!$C42</f>
        <v>0</v>
      </c>
      <c r="AF19" s="67">
        <f>((Config!$F42*Commandes!AF19)+IF(ROUND((AF$8-Config!$C$7)/31,0)&gt;=(Config!$D42+Config!$E42),INDEX(Commandes!$C19:'Commandes'!$BJ19,,COLUMN(AF$8)-COLUMN($C$8)+1-(Config!$D42+Config!$E42)),0)*(1-Config!$F42))*Config!$C42</f>
        <v>0</v>
      </c>
      <c r="AG19" s="67">
        <f>((Config!$F42*Commandes!AG19)+IF(ROUND((AG$8-Config!$C$7)/31,0)&gt;=(Config!$D42+Config!$E42),INDEX(Commandes!$C19:'Commandes'!$BJ19,,COLUMN(AG$8)-COLUMN($C$8)+1-(Config!$D42+Config!$E42)),0)*(1-Config!$F42))*Config!$C42</f>
        <v>0</v>
      </c>
      <c r="AH19" s="67">
        <f>((Config!$F42*Commandes!AH19)+IF(ROUND((AH$8-Config!$C$7)/31,0)&gt;=(Config!$D42+Config!$E42),INDEX(Commandes!$C19:'Commandes'!$BJ19,,COLUMN(AH$8)-COLUMN($C$8)+1-(Config!$D42+Config!$E42)),0)*(1-Config!$F42))*Config!$C42</f>
        <v>0</v>
      </c>
      <c r="AI19" s="67">
        <f>((Config!$F42*Commandes!AI19)+IF(ROUND((AI$8-Config!$C$7)/31,0)&gt;=(Config!$D42+Config!$E42),INDEX(Commandes!$C19:'Commandes'!$BJ19,,COLUMN(AI$8)-COLUMN($C$8)+1-(Config!$D42+Config!$E42)),0)*(1-Config!$F42))*Config!$C42</f>
        <v>0</v>
      </c>
      <c r="AJ19" s="67">
        <f>((Config!$F42*Commandes!AJ19)+IF(ROUND((AJ$8-Config!$C$7)/31,0)&gt;=(Config!$D42+Config!$E42),INDEX(Commandes!$C19:'Commandes'!$BJ19,,COLUMN(AJ$8)-COLUMN($C$8)+1-(Config!$D42+Config!$E42)),0)*(1-Config!$F42))*Config!$C42</f>
        <v>0</v>
      </c>
      <c r="AK19" s="67">
        <f>((Config!$F42*Commandes!AK19)+IF(ROUND((AK$8-Config!$C$7)/31,0)&gt;=(Config!$D42+Config!$E42),INDEX(Commandes!$C19:'Commandes'!$BJ19,,COLUMN(AK$8)-COLUMN($C$8)+1-(Config!$D42+Config!$E42)),0)*(1-Config!$F42))*Config!$C42</f>
        <v>0</v>
      </c>
      <c r="AL19" s="67">
        <f>((Config!$F42*Commandes!AL19)+IF(ROUND((AL$8-Config!$C$7)/31,0)&gt;=(Config!$D42+Config!$E42),INDEX(Commandes!$C19:'Commandes'!$BJ19,,COLUMN(AL$8)-COLUMN($C$8)+1-(Config!$D42+Config!$E42)),0)*(1-Config!$F42))*Config!$C42</f>
        <v>0</v>
      </c>
      <c r="AM19" s="67">
        <f>((Config!$F42*Commandes!AM19)+IF(ROUND((AM$8-Config!$C$7)/31,0)&gt;=(Config!$D42+Config!$E42),INDEX(Commandes!$C19:'Commandes'!$BJ19,,COLUMN(AM$8)-COLUMN($C$8)+1-(Config!$D42+Config!$E42)),0)*(1-Config!$F42))*Config!$C42</f>
        <v>0</v>
      </c>
      <c r="AN19" s="67">
        <f>((Config!$F42*Commandes!AN19)+IF(ROUND((AN$8-Config!$C$7)/31,0)&gt;=(Config!$D42+Config!$E42),INDEX(Commandes!$C19:'Commandes'!$BJ19,,COLUMN(AN$8)-COLUMN($C$8)+1-(Config!$D42+Config!$E42)),0)*(1-Config!$F42))*Config!$C42</f>
        <v>0</v>
      </c>
      <c r="AO19" s="67">
        <f>((Config!$F42*Commandes!AO19)+IF(ROUND((AO$8-Config!$C$7)/31,0)&gt;=(Config!$D42+Config!$E42),INDEX(Commandes!$C19:'Commandes'!$BJ19,,COLUMN(AO$8)-COLUMN($C$8)+1-(Config!$D42+Config!$E42)),0)*(1-Config!$F42))*Config!$C42</f>
        <v>0</v>
      </c>
      <c r="AP19" s="67">
        <f>((Config!$F42*Commandes!AP19)+IF(ROUND((AP$8-Config!$C$7)/31,0)&gt;=(Config!$D42+Config!$E42),INDEX(Commandes!$C19:'Commandes'!$BJ19,,COLUMN(AP$8)-COLUMN($C$8)+1-(Config!$D42+Config!$E42)),0)*(1-Config!$F42))*Config!$C42</f>
        <v>0</v>
      </c>
      <c r="AQ19" s="67">
        <f>((Config!$F42*Commandes!AQ19)+IF(ROUND((AQ$8-Config!$C$7)/31,0)&gt;=(Config!$D42+Config!$E42),INDEX(Commandes!$C19:'Commandes'!$BJ19,,COLUMN(AQ$8)-COLUMN($C$8)+1-(Config!$D42+Config!$E42)),0)*(1-Config!$F42))*Config!$C42</f>
        <v>0</v>
      </c>
      <c r="AR19" s="67">
        <f>((Config!$F42*Commandes!AR19)+IF(ROUND((AR$8-Config!$C$7)/31,0)&gt;=(Config!$D42+Config!$E42),INDEX(Commandes!$C19:'Commandes'!$BJ19,,COLUMN(AR$8)-COLUMN($C$8)+1-(Config!$D42+Config!$E42)),0)*(1-Config!$F42))*Config!$C42</f>
        <v>0</v>
      </c>
      <c r="AS19" s="67">
        <f>((Config!$F42*Commandes!AS19)+IF(ROUND((AS$8-Config!$C$7)/31,0)&gt;=(Config!$D42+Config!$E42),INDEX(Commandes!$C19:'Commandes'!$BJ19,,COLUMN(AS$8)-COLUMN($C$8)+1-(Config!$D42+Config!$E42)),0)*(1-Config!$F42))*Config!$C42</f>
        <v>0</v>
      </c>
      <c r="AT19" s="67">
        <f>((Config!$F42*Commandes!AT19)+IF(ROUND((AT$8-Config!$C$7)/31,0)&gt;=(Config!$D42+Config!$E42),INDEX(Commandes!$C19:'Commandes'!$BJ19,,COLUMN(AT$8)-COLUMN($C$8)+1-(Config!$D42+Config!$E42)),0)*(1-Config!$F42))*Config!$C42</f>
        <v>0</v>
      </c>
      <c r="AU19" s="67">
        <f>((Config!$F42*Commandes!AU19)+IF(ROUND((AU$8-Config!$C$7)/31,0)&gt;=(Config!$D42+Config!$E42),INDEX(Commandes!$C19:'Commandes'!$BJ19,,COLUMN(AU$8)-COLUMN($C$8)+1-(Config!$D42+Config!$E42)),0)*(1-Config!$F42))*Config!$C42</f>
        <v>0</v>
      </c>
      <c r="AV19" s="67">
        <f>((Config!$F42*Commandes!AV19)+IF(ROUND((AV$8-Config!$C$7)/31,0)&gt;=(Config!$D42+Config!$E42),INDEX(Commandes!$C19:'Commandes'!$BJ19,,COLUMN(AV$8)-COLUMN($C$8)+1-(Config!$D42+Config!$E42)),0)*(1-Config!$F42))*Config!$C42</f>
        <v>0</v>
      </c>
      <c r="AW19" s="67">
        <f>((Config!$F42*Commandes!AW19)+IF(ROUND((AW$8-Config!$C$7)/31,0)&gt;=(Config!$D42+Config!$E42),INDEX(Commandes!$C19:'Commandes'!$BJ19,,COLUMN(AW$8)-COLUMN($C$8)+1-(Config!$D42+Config!$E42)),0)*(1-Config!$F42))*Config!$C42</f>
        <v>0</v>
      </c>
      <c r="AX19" s="67">
        <f>((Config!$F42*Commandes!AX19)+IF(ROUND((AX$8-Config!$C$7)/31,0)&gt;=(Config!$D42+Config!$E42),INDEX(Commandes!$C19:'Commandes'!$BJ19,,COLUMN(AX$8)-COLUMN($C$8)+1-(Config!$D42+Config!$E42)),0)*(1-Config!$F42))*Config!$C42</f>
        <v>0</v>
      </c>
      <c r="AY19" s="67">
        <f>((Config!$F42*Commandes!AY19)+IF(ROUND((AY$8-Config!$C$7)/31,0)&gt;=(Config!$D42+Config!$E42),INDEX(Commandes!$C19:'Commandes'!$BJ19,,COLUMN(AY$8)-COLUMN($C$8)+1-(Config!$D42+Config!$E42)),0)*(1-Config!$F42))*Config!$C42</f>
        <v>0</v>
      </c>
      <c r="AZ19" s="67">
        <f>((Config!$F42*Commandes!AZ19)+IF(ROUND((AZ$8-Config!$C$7)/31,0)&gt;=(Config!$D42+Config!$E42),INDEX(Commandes!$C19:'Commandes'!$BJ19,,COLUMN(AZ$8)-COLUMN($C$8)+1-(Config!$D42+Config!$E42)),0)*(1-Config!$F42))*Config!$C42</f>
        <v>0</v>
      </c>
      <c r="BA19" s="67">
        <f>((Config!$F42*Commandes!BA19)+IF(ROUND((BA$8-Config!$C$7)/31,0)&gt;=(Config!$D42+Config!$E42),INDEX(Commandes!$C19:'Commandes'!$BJ19,,COLUMN(BA$8)-COLUMN($C$8)+1-(Config!$D42+Config!$E42)),0)*(1-Config!$F42))*Config!$C42</f>
        <v>0</v>
      </c>
      <c r="BB19" s="67">
        <f>((Config!$F42*Commandes!BB19)+IF(ROUND((BB$8-Config!$C$7)/31,0)&gt;=(Config!$D42+Config!$E42),INDEX(Commandes!$C19:'Commandes'!$BJ19,,COLUMN(BB$8)-COLUMN($C$8)+1-(Config!$D42+Config!$E42)),0)*(1-Config!$F42))*Config!$C42</f>
        <v>0</v>
      </c>
      <c r="BC19" s="67">
        <f>((Config!$F42*Commandes!BC19)+IF(ROUND((BC$8-Config!$C$7)/31,0)&gt;=(Config!$D42+Config!$E42),INDEX(Commandes!$C19:'Commandes'!$BJ19,,COLUMN(BC$8)-COLUMN($C$8)+1-(Config!$D42+Config!$E42)),0)*(1-Config!$F42))*Config!$C42</f>
        <v>0</v>
      </c>
      <c r="BD19" s="67">
        <f>((Config!$F42*Commandes!BD19)+IF(ROUND((BD$8-Config!$C$7)/31,0)&gt;=(Config!$D42+Config!$E42),INDEX(Commandes!$C19:'Commandes'!$BJ19,,COLUMN(BD$8)-COLUMN($C$8)+1-(Config!$D42+Config!$E42)),0)*(1-Config!$F42))*Config!$C42</f>
        <v>0</v>
      </c>
      <c r="BE19" s="67">
        <f>((Config!$F42*Commandes!BE19)+IF(ROUND((BE$8-Config!$C$7)/31,0)&gt;=(Config!$D42+Config!$E42),INDEX(Commandes!$C19:'Commandes'!$BJ19,,COLUMN(BE$8)-COLUMN($C$8)+1-(Config!$D42+Config!$E42)),0)*(1-Config!$F42))*Config!$C42</f>
        <v>0</v>
      </c>
      <c r="BF19" s="67">
        <f>((Config!$F42*Commandes!BF19)+IF(ROUND((BF$8-Config!$C$7)/31,0)&gt;=(Config!$D42+Config!$E42),INDEX(Commandes!$C19:'Commandes'!$BJ19,,COLUMN(BF$8)-COLUMN($C$8)+1-(Config!$D42+Config!$E42)),0)*(1-Config!$F42))*Config!$C42</f>
        <v>0</v>
      </c>
      <c r="BG19" s="67">
        <f>((Config!$F42*Commandes!BG19)+IF(ROUND((BG$8-Config!$C$7)/31,0)&gt;=(Config!$D42+Config!$E42),INDEX(Commandes!$C19:'Commandes'!$BJ19,,COLUMN(BG$8)-COLUMN($C$8)+1-(Config!$D42+Config!$E42)),0)*(1-Config!$F42))*Config!$C42</f>
        <v>0</v>
      </c>
      <c r="BH19" s="67">
        <f>((Config!$F42*Commandes!BH19)+IF(ROUND((BH$8-Config!$C$7)/31,0)&gt;=(Config!$D42+Config!$E42),INDEX(Commandes!$C19:'Commandes'!$BJ19,,COLUMN(BH$8)-COLUMN($C$8)+1-(Config!$D42+Config!$E42)),0)*(1-Config!$F42))*Config!$C42</f>
        <v>0</v>
      </c>
      <c r="BI19" s="67">
        <f>((Config!$F42*Commandes!BI19)+IF(ROUND((BI$8-Config!$C$7)/31,0)&gt;=(Config!$D42+Config!$E42),INDEX(Commandes!$C19:'Commandes'!$BJ19,,COLUMN(BI$8)-COLUMN($C$8)+1-(Config!$D42+Config!$E42)),0)*(1-Config!$F42))*Config!$C42</f>
        <v>0</v>
      </c>
      <c r="BJ19" s="67">
        <f>((Config!$F42*Commandes!BJ19)+IF(ROUND((BJ$8-Config!$C$7)/31,0)&gt;=(Config!$D42+Config!$E42),INDEX(Commandes!$C19:'Commandes'!$BJ19,,COLUMN(BJ$8)-COLUMN($C$8)+1-(Config!$D42+Config!$E42)),0)*(1-Config!$F42))*Config!$C42</f>
        <v>0</v>
      </c>
      <c r="BK19" s="70"/>
    </row>
    <row r="20" spans="2:63" x14ac:dyDescent="0.2">
      <c r="B20" s="46">
        <f>Config!$B$25</f>
        <v>0</v>
      </c>
      <c r="C20" s="67">
        <f>((Config!$F43*Commandes!C20)+IF(ROUND((C$8-Config!$C$7)/31,0)&gt;=(Config!$D43+Config!$E43),INDEX(Commandes!$C20:'Commandes'!$BJ20,,COLUMN(C$8)-COLUMN($C$8)+1-(Config!$D43+Config!$E43)),0)*(1-Config!$F43))*Config!$C43</f>
        <v>0</v>
      </c>
      <c r="D20" s="67">
        <f>((Config!$F43*Commandes!D20)+IF(ROUND((D$8-Config!$C$7)/31,0)&gt;=(Config!$D43+Config!$E43),INDEX(Commandes!$C20:'Commandes'!$BJ20,,COLUMN(D$8)-COLUMN($C$8)+1-(Config!$D43+Config!$E43)),0)*(1-Config!$F43))*Config!$C43</f>
        <v>0</v>
      </c>
      <c r="E20" s="67">
        <f>((Config!$F43*Commandes!E20)+IF(ROUND((E$8-Config!$C$7)/31,0)&gt;=(Config!$D43+Config!$E43),INDEX(Commandes!$C20:'Commandes'!$BJ20,,COLUMN(E$8)-COLUMN($C$8)+1-(Config!$D43+Config!$E43)),0)*(1-Config!$F43))*Config!$C43</f>
        <v>0</v>
      </c>
      <c r="F20" s="67">
        <f>((Config!$F43*Commandes!F20)+IF(ROUND((F$8-Config!$C$7)/31,0)&gt;=(Config!$D43+Config!$E43),INDEX(Commandes!$C20:'Commandes'!$BJ20,,COLUMN(F$8)-COLUMN($C$8)+1-(Config!$D43+Config!$E43)),0)*(1-Config!$F43))*Config!$C43</f>
        <v>0</v>
      </c>
      <c r="G20" s="67">
        <f>((Config!$F43*Commandes!G20)+IF(ROUND((G$8-Config!$C$7)/31,0)&gt;=(Config!$D43+Config!$E43),INDEX(Commandes!$C20:'Commandes'!$BJ20,,COLUMN(G$8)-COLUMN($C$8)+1-(Config!$D43+Config!$E43)),0)*(1-Config!$F43))*Config!$C43</f>
        <v>0</v>
      </c>
      <c r="H20" s="67">
        <f>((Config!$F43*Commandes!H20)+IF(ROUND((H$8-Config!$C$7)/31,0)&gt;=(Config!$D43+Config!$E43),INDEX(Commandes!$C20:'Commandes'!$BJ20,,COLUMN(H$8)-COLUMN($C$8)+1-(Config!$D43+Config!$E43)),0)*(1-Config!$F43))*Config!$C43</f>
        <v>0</v>
      </c>
      <c r="I20" s="67">
        <f>((Config!$F43*Commandes!I20)+IF(ROUND((I$8-Config!$C$7)/31,0)&gt;=(Config!$D43+Config!$E43),INDEX(Commandes!$C20:'Commandes'!$BJ20,,COLUMN(I$8)-COLUMN($C$8)+1-(Config!$D43+Config!$E43)),0)*(1-Config!$F43))*Config!$C43</f>
        <v>0</v>
      </c>
      <c r="J20" s="67">
        <f>((Config!$F43*Commandes!J20)+IF(ROUND((J$8-Config!$C$7)/31,0)&gt;=(Config!$D43+Config!$E43),INDEX(Commandes!$C20:'Commandes'!$BJ20,,COLUMN(J$8)-COLUMN($C$8)+1-(Config!$D43+Config!$E43)),0)*(1-Config!$F43))*Config!$C43</f>
        <v>0</v>
      </c>
      <c r="K20" s="67">
        <f>((Config!$F43*Commandes!K20)+IF(ROUND((K$8-Config!$C$7)/31,0)&gt;=(Config!$D43+Config!$E43),INDEX(Commandes!$C20:'Commandes'!$BJ20,,COLUMN(K$8)-COLUMN($C$8)+1-(Config!$D43+Config!$E43)),0)*(1-Config!$F43))*Config!$C43</f>
        <v>0</v>
      </c>
      <c r="L20" s="67">
        <f>((Config!$F43*Commandes!L20)+IF(ROUND((L$8-Config!$C$7)/31,0)&gt;=(Config!$D43+Config!$E43),INDEX(Commandes!$C20:'Commandes'!$BJ20,,COLUMN(L$8)-COLUMN($C$8)+1-(Config!$D43+Config!$E43)),0)*(1-Config!$F43))*Config!$C43</f>
        <v>0</v>
      </c>
      <c r="M20" s="67">
        <f>((Config!$F43*Commandes!M20)+IF(ROUND((M$8-Config!$C$7)/31,0)&gt;=(Config!$D43+Config!$E43),INDEX(Commandes!$C20:'Commandes'!$BJ20,,COLUMN(M$8)-COLUMN($C$8)+1-(Config!$D43+Config!$E43)),0)*(1-Config!$F43))*Config!$C43</f>
        <v>0</v>
      </c>
      <c r="N20" s="67">
        <f>((Config!$F43*Commandes!N20)+IF(ROUND((N$8-Config!$C$7)/31,0)&gt;=(Config!$D43+Config!$E43),INDEX(Commandes!$C20:'Commandes'!$BJ20,,COLUMN(N$8)-COLUMN($C$8)+1-(Config!$D43+Config!$E43)),0)*(1-Config!$F43))*Config!$C43</f>
        <v>0</v>
      </c>
      <c r="O20" s="67">
        <f>((Config!$F43*Commandes!O20)+IF(ROUND((O$8-Config!$C$7)/31,0)&gt;=(Config!$D43+Config!$E43),INDEX(Commandes!$C20:'Commandes'!$BJ20,,COLUMN(O$8)-COLUMN($C$8)+1-(Config!$D43+Config!$E43)),0)*(1-Config!$F43))*Config!$C43</f>
        <v>0</v>
      </c>
      <c r="P20" s="67">
        <f>((Config!$F43*Commandes!P20)+IF(ROUND((P$8-Config!$C$7)/31,0)&gt;=(Config!$D43+Config!$E43),INDEX(Commandes!$C20:'Commandes'!$BJ20,,COLUMN(P$8)-COLUMN($C$8)+1-(Config!$D43+Config!$E43)),0)*(1-Config!$F43))*Config!$C43</f>
        <v>0</v>
      </c>
      <c r="Q20" s="67">
        <f>((Config!$F43*Commandes!Q20)+IF(ROUND((Q$8-Config!$C$7)/31,0)&gt;=(Config!$D43+Config!$E43),INDEX(Commandes!$C20:'Commandes'!$BJ20,,COLUMN(Q$8)-COLUMN($C$8)+1-(Config!$D43+Config!$E43)),0)*(1-Config!$F43))*Config!$C43</f>
        <v>0</v>
      </c>
      <c r="R20" s="67">
        <f>((Config!$F43*Commandes!R20)+IF(ROUND((R$8-Config!$C$7)/31,0)&gt;=(Config!$D43+Config!$E43),INDEX(Commandes!$C20:'Commandes'!$BJ20,,COLUMN(R$8)-COLUMN($C$8)+1-(Config!$D43+Config!$E43)),0)*(1-Config!$F43))*Config!$C43</f>
        <v>0</v>
      </c>
      <c r="S20" s="67">
        <f>((Config!$F43*Commandes!S20)+IF(ROUND((S$8-Config!$C$7)/31,0)&gt;=(Config!$D43+Config!$E43),INDEX(Commandes!$C20:'Commandes'!$BJ20,,COLUMN(S$8)-COLUMN($C$8)+1-(Config!$D43+Config!$E43)),0)*(1-Config!$F43))*Config!$C43</f>
        <v>0</v>
      </c>
      <c r="T20" s="67">
        <f>((Config!$F43*Commandes!T20)+IF(ROUND((T$8-Config!$C$7)/31,0)&gt;=(Config!$D43+Config!$E43),INDEX(Commandes!$C20:'Commandes'!$BJ20,,COLUMN(T$8)-COLUMN($C$8)+1-(Config!$D43+Config!$E43)),0)*(1-Config!$F43))*Config!$C43</f>
        <v>0</v>
      </c>
      <c r="U20" s="67">
        <f>((Config!$F43*Commandes!U20)+IF(ROUND((U$8-Config!$C$7)/31,0)&gt;=(Config!$D43+Config!$E43),INDEX(Commandes!$C20:'Commandes'!$BJ20,,COLUMN(U$8)-COLUMN($C$8)+1-(Config!$D43+Config!$E43)),0)*(1-Config!$F43))*Config!$C43</f>
        <v>0</v>
      </c>
      <c r="V20" s="67">
        <f>((Config!$F43*Commandes!V20)+IF(ROUND((V$8-Config!$C$7)/31,0)&gt;=(Config!$D43+Config!$E43),INDEX(Commandes!$C20:'Commandes'!$BJ20,,COLUMN(V$8)-COLUMN($C$8)+1-(Config!$D43+Config!$E43)),0)*(1-Config!$F43))*Config!$C43</f>
        <v>0</v>
      </c>
      <c r="W20" s="67">
        <f>((Config!$F43*Commandes!W20)+IF(ROUND((W$8-Config!$C$7)/31,0)&gt;=(Config!$D43+Config!$E43),INDEX(Commandes!$C20:'Commandes'!$BJ20,,COLUMN(W$8)-COLUMN($C$8)+1-(Config!$D43+Config!$E43)),0)*(1-Config!$F43))*Config!$C43</f>
        <v>0</v>
      </c>
      <c r="X20" s="67">
        <f>((Config!$F43*Commandes!X20)+IF(ROUND((X$8-Config!$C$7)/31,0)&gt;=(Config!$D43+Config!$E43),INDEX(Commandes!$C20:'Commandes'!$BJ20,,COLUMN(X$8)-COLUMN($C$8)+1-(Config!$D43+Config!$E43)),0)*(1-Config!$F43))*Config!$C43</f>
        <v>0</v>
      </c>
      <c r="Y20" s="67">
        <f>((Config!$F43*Commandes!Y20)+IF(ROUND((Y$8-Config!$C$7)/31,0)&gt;=(Config!$D43+Config!$E43),INDEX(Commandes!$C20:'Commandes'!$BJ20,,COLUMN(Y$8)-COLUMN($C$8)+1-(Config!$D43+Config!$E43)),0)*(1-Config!$F43))*Config!$C43</f>
        <v>0</v>
      </c>
      <c r="Z20" s="67">
        <f>((Config!$F43*Commandes!Z20)+IF(ROUND((Z$8-Config!$C$7)/31,0)&gt;=(Config!$D43+Config!$E43),INDEX(Commandes!$C20:'Commandes'!$BJ20,,COLUMN(Z$8)-COLUMN($C$8)+1-(Config!$D43+Config!$E43)),0)*(1-Config!$F43))*Config!$C43</f>
        <v>0</v>
      </c>
      <c r="AA20" s="67">
        <f>((Config!$F43*Commandes!AA20)+IF(ROUND((AA$8-Config!$C$7)/31,0)&gt;=(Config!$D43+Config!$E43),INDEX(Commandes!$C20:'Commandes'!$BJ20,,COLUMN(AA$8)-COLUMN($C$8)+1-(Config!$D43+Config!$E43)),0)*(1-Config!$F43))*Config!$C43</f>
        <v>0</v>
      </c>
      <c r="AB20" s="67">
        <f>((Config!$F43*Commandes!AB20)+IF(ROUND((AB$8-Config!$C$7)/31,0)&gt;=(Config!$D43+Config!$E43),INDEX(Commandes!$C20:'Commandes'!$BJ20,,COLUMN(AB$8)-COLUMN($C$8)+1-(Config!$D43+Config!$E43)),0)*(1-Config!$F43))*Config!$C43</f>
        <v>0</v>
      </c>
      <c r="AC20" s="67">
        <f>((Config!$F43*Commandes!AC20)+IF(ROUND((AC$8-Config!$C$7)/31,0)&gt;=(Config!$D43+Config!$E43),INDEX(Commandes!$C20:'Commandes'!$BJ20,,COLUMN(AC$8)-COLUMN($C$8)+1-(Config!$D43+Config!$E43)),0)*(1-Config!$F43))*Config!$C43</f>
        <v>0</v>
      </c>
      <c r="AD20" s="67">
        <f>((Config!$F43*Commandes!AD20)+IF(ROUND((AD$8-Config!$C$7)/31,0)&gt;=(Config!$D43+Config!$E43),INDEX(Commandes!$C20:'Commandes'!$BJ20,,COLUMN(AD$8)-COLUMN($C$8)+1-(Config!$D43+Config!$E43)),0)*(1-Config!$F43))*Config!$C43</f>
        <v>0</v>
      </c>
      <c r="AE20" s="67">
        <f>((Config!$F43*Commandes!AE20)+IF(ROUND((AE$8-Config!$C$7)/31,0)&gt;=(Config!$D43+Config!$E43),INDEX(Commandes!$C20:'Commandes'!$BJ20,,COLUMN(AE$8)-COLUMN($C$8)+1-(Config!$D43+Config!$E43)),0)*(1-Config!$F43))*Config!$C43</f>
        <v>0</v>
      </c>
      <c r="AF20" s="67">
        <f>((Config!$F43*Commandes!AF20)+IF(ROUND((AF$8-Config!$C$7)/31,0)&gt;=(Config!$D43+Config!$E43),INDEX(Commandes!$C20:'Commandes'!$BJ20,,COLUMN(AF$8)-COLUMN($C$8)+1-(Config!$D43+Config!$E43)),0)*(1-Config!$F43))*Config!$C43</f>
        <v>0</v>
      </c>
      <c r="AG20" s="67">
        <f>((Config!$F43*Commandes!AG20)+IF(ROUND((AG$8-Config!$C$7)/31,0)&gt;=(Config!$D43+Config!$E43),INDEX(Commandes!$C20:'Commandes'!$BJ20,,COLUMN(AG$8)-COLUMN($C$8)+1-(Config!$D43+Config!$E43)),0)*(1-Config!$F43))*Config!$C43</f>
        <v>0</v>
      </c>
      <c r="AH20" s="67">
        <f>((Config!$F43*Commandes!AH20)+IF(ROUND((AH$8-Config!$C$7)/31,0)&gt;=(Config!$D43+Config!$E43),INDEX(Commandes!$C20:'Commandes'!$BJ20,,COLUMN(AH$8)-COLUMN($C$8)+1-(Config!$D43+Config!$E43)),0)*(1-Config!$F43))*Config!$C43</f>
        <v>0</v>
      </c>
      <c r="AI20" s="67">
        <f>((Config!$F43*Commandes!AI20)+IF(ROUND((AI$8-Config!$C$7)/31,0)&gt;=(Config!$D43+Config!$E43),INDEX(Commandes!$C20:'Commandes'!$BJ20,,COLUMN(AI$8)-COLUMN($C$8)+1-(Config!$D43+Config!$E43)),0)*(1-Config!$F43))*Config!$C43</f>
        <v>0</v>
      </c>
      <c r="AJ20" s="67">
        <f>((Config!$F43*Commandes!AJ20)+IF(ROUND((AJ$8-Config!$C$7)/31,0)&gt;=(Config!$D43+Config!$E43),INDEX(Commandes!$C20:'Commandes'!$BJ20,,COLUMN(AJ$8)-COLUMN($C$8)+1-(Config!$D43+Config!$E43)),0)*(1-Config!$F43))*Config!$C43</f>
        <v>0</v>
      </c>
      <c r="AK20" s="67">
        <f>((Config!$F43*Commandes!AK20)+IF(ROUND((AK$8-Config!$C$7)/31,0)&gt;=(Config!$D43+Config!$E43),INDEX(Commandes!$C20:'Commandes'!$BJ20,,COLUMN(AK$8)-COLUMN($C$8)+1-(Config!$D43+Config!$E43)),0)*(1-Config!$F43))*Config!$C43</f>
        <v>0</v>
      </c>
      <c r="AL20" s="67">
        <f>((Config!$F43*Commandes!AL20)+IF(ROUND((AL$8-Config!$C$7)/31,0)&gt;=(Config!$D43+Config!$E43),INDEX(Commandes!$C20:'Commandes'!$BJ20,,COLUMN(AL$8)-COLUMN($C$8)+1-(Config!$D43+Config!$E43)),0)*(1-Config!$F43))*Config!$C43</f>
        <v>0</v>
      </c>
      <c r="AM20" s="67">
        <f>((Config!$F43*Commandes!AM20)+IF(ROUND((AM$8-Config!$C$7)/31,0)&gt;=(Config!$D43+Config!$E43),INDEX(Commandes!$C20:'Commandes'!$BJ20,,COLUMN(AM$8)-COLUMN($C$8)+1-(Config!$D43+Config!$E43)),0)*(1-Config!$F43))*Config!$C43</f>
        <v>0</v>
      </c>
      <c r="AN20" s="67">
        <f>((Config!$F43*Commandes!AN20)+IF(ROUND((AN$8-Config!$C$7)/31,0)&gt;=(Config!$D43+Config!$E43),INDEX(Commandes!$C20:'Commandes'!$BJ20,,COLUMN(AN$8)-COLUMN($C$8)+1-(Config!$D43+Config!$E43)),0)*(1-Config!$F43))*Config!$C43</f>
        <v>0</v>
      </c>
      <c r="AO20" s="67">
        <f>((Config!$F43*Commandes!AO20)+IF(ROUND((AO$8-Config!$C$7)/31,0)&gt;=(Config!$D43+Config!$E43),INDEX(Commandes!$C20:'Commandes'!$BJ20,,COLUMN(AO$8)-COLUMN($C$8)+1-(Config!$D43+Config!$E43)),0)*(1-Config!$F43))*Config!$C43</f>
        <v>0</v>
      </c>
      <c r="AP20" s="67">
        <f>((Config!$F43*Commandes!AP20)+IF(ROUND((AP$8-Config!$C$7)/31,0)&gt;=(Config!$D43+Config!$E43),INDEX(Commandes!$C20:'Commandes'!$BJ20,,COLUMN(AP$8)-COLUMN($C$8)+1-(Config!$D43+Config!$E43)),0)*(1-Config!$F43))*Config!$C43</f>
        <v>0</v>
      </c>
      <c r="AQ20" s="67">
        <f>((Config!$F43*Commandes!AQ20)+IF(ROUND((AQ$8-Config!$C$7)/31,0)&gt;=(Config!$D43+Config!$E43),INDEX(Commandes!$C20:'Commandes'!$BJ20,,COLUMN(AQ$8)-COLUMN($C$8)+1-(Config!$D43+Config!$E43)),0)*(1-Config!$F43))*Config!$C43</f>
        <v>0</v>
      </c>
      <c r="AR20" s="67">
        <f>((Config!$F43*Commandes!AR20)+IF(ROUND((AR$8-Config!$C$7)/31,0)&gt;=(Config!$D43+Config!$E43),INDEX(Commandes!$C20:'Commandes'!$BJ20,,COLUMN(AR$8)-COLUMN($C$8)+1-(Config!$D43+Config!$E43)),0)*(1-Config!$F43))*Config!$C43</f>
        <v>0</v>
      </c>
      <c r="AS20" s="67">
        <f>((Config!$F43*Commandes!AS20)+IF(ROUND((AS$8-Config!$C$7)/31,0)&gt;=(Config!$D43+Config!$E43),INDEX(Commandes!$C20:'Commandes'!$BJ20,,COLUMN(AS$8)-COLUMN($C$8)+1-(Config!$D43+Config!$E43)),0)*(1-Config!$F43))*Config!$C43</f>
        <v>0</v>
      </c>
      <c r="AT20" s="67">
        <f>((Config!$F43*Commandes!AT20)+IF(ROUND((AT$8-Config!$C$7)/31,0)&gt;=(Config!$D43+Config!$E43),INDEX(Commandes!$C20:'Commandes'!$BJ20,,COLUMN(AT$8)-COLUMN($C$8)+1-(Config!$D43+Config!$E43)),0)*(1-Config!$F43))*Config!$C43</f>
        <v>0</v>
      </c>
      <c r="AU20" s="67">
        <f>((Config!$F43*Commandes!AU20)+IF(ROUND((AU$8-Config!$C$7)/31,0)&gt;=(Config!$D43+Config!$E43),INDEX(Commandes!$C20:'Commandes'!$BJ20,,COLUMN(AU$8)-COLUMN($C$8)+1-(Config!$D43+Config!$E43)),0)*(1-Config!$F43))*Config!$C43</f>
        <v>0</v>
      </c>
      <c r="AV20" s="67">
        <f>((Config!$F43*Commandes!AV20)+IF(ROUND((AV$8-Config!$C$7)/31,0)&gt;=(Config!$D43+Config!$E43),INDEX(Commandes!$C20:'Commandes'!$BJ20,,COLUMN(AV$8)-COLUMN($C$8)+1-(Config!$D43+Config!$E43)),0)*(1-Config!$F43))*Config!$C43</f>
        <v>0</v>
      </c>
      <c r="AW20" s="67">
        <f>((Config!$F43*Commandes!AW20)+IF(ROUND((AW$8-Config!$C$7)/31,0)&gt;=(Config!$D43+Config!$E43),INDEX(Commandes!$C20:'Commandes'!$BJ20,,COLUMN(AW$8)-COLUMN($C$8)+1-(Config!$D43+Config!$E43)),0)*(1-Config!$F43))*Config!$C43</f>
        <v>0</v>
      </c>
      <c r="AX20" s="67">
        <f>((Config!$F43*Commandes!AX20)+IF(ROUND((AX$8-Config!$C$7)/31,0)&gt;=(Config!$D43+Config!$E43),INDEX(Commandes!$C20:'Commandes'!$BJ20,,COLUMN(AX$8)-COLUMN($C$8)+1-(Config!$D43+Config!$E43)),0)*(1-Config!$F43))*Config!$C43</f>
        <v>0</v>
      </c>
      <c r="AY20" s="67">
        <f>((Config!$F43*Commandes!AY20)+IF(ROUND((AY$8-Config!$C$7)/31,0)&gt;=(Config!$D43+Config!$E43),INDEX(Commandes!$C20:'Commandes'!$BJ20,,COLUMN(AY$8)-COLUMN($C$8)+1-(Config!$D43+Config!$E43)),0)*(1-Config!$F43))*Config!$C43</f>
        <v>0</v>
      </c>
      <c r="AZ20" s="67">
        <f>((Config!$F43*Commandes!AZ20)+IF(ROUND((AZ$8-Config!$C$7)/31,0)&gt;=(Config!$D43+Config!$E43),INDEX(Commandes!$C20:'Commandes'!$BJ20,,COLUMN(AZ$8)-COLUMN($C$8)+1-(Config!$D43+Config!$E43)),0)*(1-Config!$F43))*Config!$C43</f>
        <v>0</v>
      </c>
      <c r="BA20" s="67">
        <f>((Config!$F43*Commandes!BA20)+IF(ROUND((BA$8-Config!$C$7)/31,0)&gt;=(Config!$D43+Config!$E43),INDEX(Commandes!$C20:'Commandes'!$BJ20,,COLUMN(BA$8)-COLUMN($C$8)+1-(Config!$D43+Config!$E43)),0)*(1-Config!$F43))*Config!$C43</f>
        <v>0</v>
      </c>
      <c r="BB20" s="67">
        <f>((Config!$F43*Commandes!BB20)+IF(ROUND((BB$8-Config!$C$7)/31,0)&gt;=(Config!$D43+Config!$E43),INDEX(Commandes!$C20:'Commandes'!$BJ20,,COLUMN(BB$8)-COLUMN($C$8)+1-(Config!$D43+Config!$E43)),0)*(1-Config!$F43))*Config!$C43</f>
        <v>0</v>
      </c>
      <c r="BC20" s="67">
        <f>((Config!$F43*Commandes!BC20)+IF(ROUND((BC$8-Config!$C$7)/31,0)&gt;=(Config!$D43+Config!$E43),INDEX(Commandes!$C20:'Commandes'!$BJ20,,COLUMN(BC$8)-COLUMN($C$8)+1-(Config!$D43+Config!$E43)),0)*(1-Config!$F43))*Config!$C43</f>
        <v>0</v>
      </c>
      <c r="BD20" s="67">
        <f>((Config!$F43*Commandes!BD20)+IF(ROUND((BD$8-Config!$C$7)/31,0)&gt;=(Config!$D43+Config!$E43),INDEX(Commandes!$C20:'Commandes'!$BJ20,,COLUMN(BD$8)-COLUMN($C$8)+1-(Config!$D43+Config!$E43)),0)*(1-Config!$F43))*Config!$C43</f>
        <v>0</v>
      </c>
      <c r="BE20" s="67">
        <f>((Config!$F43*Commandes!BE20)+IF(ROUND((BE$8-Config!$C$7)/31,0)&gt;=(Config!$D43+Config!$E43),INDEX(Commandes!$C20:'Commandes'!$BJ20,,COLUMN(BE$8)-COLUMN($C$8)+1-(Config!$D43+Config!$E43)),0)*(1-Config!$F43))*Config!$C43</f>
        <v>0</v>
      </c>
      <c r="BF20" s="67">
        <f>((Config!$F43*Commandes!BF20)+IF(ROUND((BF$8-Config!$C$7)/31,0)&gt;=(Config!$D43+Config!$E43),INDEX(Commandes!$C20:'Commandes'!$BJ20,,COLUMN(BF$8)-COLUMN($C$8)+1-(Config!$D43+Config!$E43)),0)*(1-Config!$F43))*Config!$C43</f>
        <v>0</v>
      </c>
      <c r="BG20" s="67">
        <f>((Config!$F43*Commandes!BG20)+IF(ROUND((BG$8-Config!$C$7)/31,0)&gt;=(Config!$D43+Config!$E43),INDEX(Commandes!$C20:'Commandes'!$BJ20,,COLUMN(BG$8)-COLUMN($C$8)+1-(Config!$D43+Config!$E43)),0)*(1-Config!$F43))*Config!$C43</f>
        <v>0</v>
      </c>
      <c r="BH20" s="67">
        <f>((Config!$F43*Commandes!BH20)+IF(ROUND((BH$8-Config!$C$7)/31,0)&gt;=(Config!$D43+Config!$E43),INDEX(Commandes!$C20:'Commandes'!$BJ20,,COLUMN(BH$8)-COLUMN($C$8)+1-(Config!$D43+Config!$E43)),0)*(1-Config!$F43))*Config!$C43</f>
        <v>0</v>
      </c>
      <c r="BI20" s="67">
        <f>((Config!$F43*Commandes!BI20)+IF(ROUND((BI$8-Config!$C$7)/31,0)&gt;=(Config!$D43+Config!$E43),INDEX(Commandes!$C20:'Commandes'!$BJ20,,COLUMN(BI$8)-COLUMN($C$8)+1-(Config!$D43+Config!$E43)),0)*(1-Config!$F43))*Config!$C43</f>
        <v>0</v>
      </c>
      <c r="BJ20" s="67">
        <f>((Config!$F43*Commandes!BJ20)+IF(ROUND((BJ$8-Config!$C$7)/31,0)&gt;=(Config!$D43+Config!$E43),INDEX(Commandes!$C20:'Commandes'!$BJ20,,COLUMN(BJ$8)-COLUMN($C$8)+1-(Config!$D43+Config!$E43)),0)*(1-Config!$F43))*Config!$C43</f>
        <v>0</v>
      </c>
      <c r="BK20" s="70"/>
    </row>
    <row r="21" spans="2:63" x14ac:dyDescent="0.2">
      <c r="B21" s="115"/>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row>
    <row r="22" spans="2:63" x14ac:dyDescent="0.2">
      <c r="B22" s="144" t="s">
        <v>97</v>
      </c>
      <c r="C22" s="67">
        <f t="shared" ref="C22:AH22" si="2">SUM(C9:C20)</f>
        <v>0</v>
      </c>
      <c r="D22" s="67">
        <f t="shared" si="2"/>
        <v>448</v>
      </c>
      <c r="E22" s="67">
        <f t="shared" si="2"/>
        <v>1029.5</v>
      </c>
      <c r="F22" s="67">
        <f t="shared" si="2"/>
        <v>1853.5</v>
      </c>
      <c r="G22" s="67">
        <f t="shared" si="2"/>
        <v>3553</v>
      </c>
      <c r="H22" s="67">
        <f t="shared" si="2"/>
        <v>5225</v>
      </c>
      <c r="I22" s="67">
        <f t="shared" si="2"/>
        <v>6996</v>
      </c>
      <c r="J22" s="67">
        <f t="shared" si="2"/>
        <v>6800</v>
      </c>
      <c r="K22" s="67">
        <f t="shared" si="2"/>
        <v>6179</v>
      </c>
      <c r="L22" s="67">
        <f t="shared" si="2"/>
        <v>10319</v>
      </c>
      <c r="M22" s="67">
        <f t="shared" si="2"/>
        <v>10438</v>
      </c>
      <c r="N22" s="67">
        <f t="shared" si="2"/>
        <v>11383</v>
      </c>
      <c r="O22" s="67">
        <f t="shared" si="2"/>
        <v>15132.5</v>
      </c>
      <c r="P22" s="67">
        <f t="shared" si="2"/>
        <v>14524</v>
      </c>
      <c r="Q22" s="67">
        <f t="shared" si="2"/>
        <v>14666</v>
      </c>
      <c r="R22" s="67">
        <f t="shared" si="2"/>
        <v>16059</v>
      </c>
      <c r="S22" s="67">
        <f t="shared" si="2"/>
        <v>18581.5</v>
      </c>
      <c r="T22" s="67">
        <f t="shared" si="2"/>
        <v>21442</v>
      </c>
      <c r="U22" s="67">
        <f t="shared" si="2"/>
        <v>23877.5</v>
      </c>
      <c r="V22" s="67">
        <f t="shared" si="2"/>
        <v>23474</v>
      </c>
      <c r="W22" s="67">
        <f t="shared" si="2"/>
        <v>23133.5</v>
      </c>
      <c r="X22" s="67">
        <f t="shared" si="2"/>
        <v>29830.5</v>
      </c>
      <c r="Y22" s="67">
        <f t="shared" si="2"/>
        <v>29742</v>
      </c>
      <c r="Z22" s="67">
        <f t="shared" si="2"/>
        <v>31317</v>
      </c>
      <c r="AA22" s="67">
        <f t="shared" si="2"/>
        <v>36975</v>
      </c>
      <c r="AB22" s="67">
        <f t="shared" si="2"/>
        <v>36602.5</v>
      </c>
      <c r="AC22" s="67">
        <f t="shared" si="2"/>
        <v>35884</v>
      </c>
      <c r="AD22" s="67">
        <f t="shared" si="2"/>
        <v>37655</v>
      </c>
      <c r="AE22" s="67">
        <f t="shared" si="2"/>
        <v>40177.5</v>
      </c>
      <c r="AF22" s="67">
        <f t="shared" si="2"/>
        <v>43463</v>
      </c>
      <c r="AG22" s="67">
        <f t="shared" si="2"/>
        <v>46323.5</v>
      </c>
      <c r="AH22" s="67">
        <f t="shared" si="2"/>
        <v>44755</v>
      </c>
      <c r="AI22" s="67">
        <f t="shared" ref="AI22:BJ22" si="3">SUM(AI9:AI20)</f>
        <v>44099.5</v>
      </c>
      <c r="AJ22" s="67">
        <f t="shared" si="3"/>
        <v>50701.5</v>
      </c>
      <c r="AK22" s="67">
        <f t="shared" si="3"/>
        <v>49763</v>
      </c>
      <c r="AL22" s="67">
        <f t="shared" si="3"/>
        <v>51338</v>
      </c>
      <c r="AM22" s="67">
        <f t="shared" si="3"/>
        <v>59887.5</v>
      </c>
      <c r="AN22" s="67">
        <f t="shared" si="3"/>
        <v>59551.5</v>
      </c>
      <c r="AO22" s="67">
        <f t="shared" si="3"/>
        <v>57605</v>
      </c>
      <c r="AP22" s="67">
        <f t="shared" si="3"/>
        <v>60116</v>
      </c>
      <c r="AQ22" s="67">
        <f t="shared" si="3"/>
        <v>64531</v>
      </c>
      <c r="AR22" s="67">
        <f t="shared" si="3"/>
        <v>69272.5</v>
      </c>
      <c r="AS22" s="67">
        <f t="shared" si="3"/>
        <v>74086</v>
      </c>
      <c r="AT22" s="67">
        <f t="shared" si="3"/>
        <v>72391.5</v>
      </c>
      <c r="AU22" s="67">
        <f t="shared" si="3"/>
        <v>71453</v>
      </c>
      <c r="AV22" s="67">
        <f t="shared" si="3"/>
        <v>82086</v>
      </c>
      <c r="AW22" s="67">
        <f t="shared" si="3"/>
        <v>81494.5</v>
      </c>
      <c r="AX22" s="67">
        <f t="shared" si="3"/>
        <v>84644.5</v>
      </c>
      <c r="AY22" s="67">
        <f t="shared" si="3"/>
        <v>97282.5</v>
      </c>
      <c r="AZ22" s="67">
        <f t="shared" si="3"/>
        <v>96511</v>
      </c>
      <c r="BA22" s="67">
        <f t="shared" si="3"/>
        <v>93966.5</v>
      </c>
      <c r="BB22" s="67">
        <f t="shared" si="3"/>
        <v>97182</v>
      </c>
      <c r="BC22" s="67">
        <f t="shared" si="3"/>
        <v>95218.5</v>
      </c>
      <c r="BD22" s="67">
        <f t="shared" si="3"/>
        <v>110667.5</v>
      </c>
      <c r="BE22" s="67">
        <f t="shared" si="3"/>
        <v>118341.5</v>
      </c>
      <c r="BF22" s="67">
        <f t="shared" si="3"/>
        <v>116558.5</v>
      </c>
      <c r="BG22" s="67">
        <f t="shared" si="3"/>
        <v>115437.5</v>
      </c>
      <c r="BH22" s="67">
        <f t="shared" si="3"/>
        <v>132672.5</v>
      </c>
      <c r="BI22" s="67">
        <f t="shared" si="3"/>
        <v>131142.5</v>
      </c>
      <c r="BJ22" s="67">
        <f t="shared" si="3"/>
        <v>135867.5</v>
      </c>
      <c r="BK22" s="70"/>
    </row>
    <row r="23" spans="2:63" x14ac:dyDescent="0.2">
      <c r="B23" s="144" t="s">
        <v>101</v>
      </c>
      <c r="C23" s="67">
        <f>C22</f>
        <v>0</v>
      </c>
      <c r="D23" s="67">
        <f t="shared" ref="D23:N23" si="4">C23+D22</f>
        <v>448</v>
      </c>
      <c r="E23" s="67">
        <f t="shared" si="4"/>
        <v>1477.5</v>
      </c>
      <c r="F23" s="67">
        <f t="shared" si="4"/>
        <v>3331</v>
      </c>
      <c r="G23" s="67">
        <f t="shared" si="4"/>
        <v>6884</v>
      </c>
      <c r="H23" s="67">
        <f t="shared" si="4"/>
        <v>12109</v>
      </c>
      <c r="I23" s="67">
        <f t="shared" si="4"/>
        <v>19105</v>
      </c>
      <c r="J23" s="67">
        <f t="shared" si="4"/>
        <v>25905</v>
      </c>
      <c r="K23" s="67">
        <f t="shared" si="4"/>
        <v>32084</v>
      </c>
      <c r="L23" s="67">
        <f t="shared" si="4"/>
        <v>42403</v>
      </c>
      <c r="M23" s="67">
        <f t="shared" si="4"/>
        <v>52841</v>
      </c>
      <c r="N23" s="83">
        <f t="shared" si="4"/>
        <v>64224</v>
      </c>
      <c r="O23" s="67">
        <f>O22</f>
        <v>15132.5</v>
      </c>
      <c r="P23" s="67">
        <f t="shared" ref="P23:Z23" si="5">O23+P22</f>
        <v>29656.5</v>
      </c>
      <c r="Q23" s="67">
        <f t="shared" si="5"/>
        <v>44322.5</v>
      </c>
      <c r="R23" s="67">
        <f t="shared" si="5"/>
        <v>60381.5</v>
      </c>
      <c r="S23" s="67">
        <f t="shared" si="5"/>
        <v>78963</v>
      </c>
      <c r="T23" s="67">
        <f t="shared" si="5"/>
        <v>100405</v>
      </c>
      <c r="U23" s="67">
        <f t="shared" si="5"/>
        <v>124282.5</v>
      </c>
      <c r="V23" s="67">
        <f t="shared" si="5"/>
        <v>147756.5</v>
      </c>
      <c r="W23" s="67">
        <f t="shared" si="5"/>
        <v>170890</v>
      </c>
      <c r="X23" s="67">
        <f t="shared" si="5"/>
        <v>200720.5</v>
      </c>
      <c r="Y23" s="67">
        <f t="shared" si="5"/>
        <v>230462.5</v>
      </c>
      <c r="Z23" s="83">
        <f t="shared" si="5"/>
        <v>261779.5</v>
      </c>
      <c r="AA23" s="67">
        <f>AA22</f>
        <v>36975</v>
      </c>
      <c r="AB23" s="67">
        <f t="shared" ref="AB23:AL23" si="6">AA23+AB22</f>
        <v>73577.5</v>
      </c>
      <c r="AC23" s="67">
        <f t="shared" si="6"/>
        <v>109461.5</v>
      </c>
      <c r="AD23" s="67">
        <f t="shared" si="6"/>
        <v>147116.5</v>
      </c>
      <c r="AE23" s="67">
        <f t="shared" si="6"/>
        <v>187294</v>
      </c>
      <c r="AF23" s="67">
        <f t="shared" si="6"/>
        <v>230757</v>
      </c>
      <c r="AG23" s="67">
        <f t="shared" si="6"/>
        <v>277080.5</v>
      </c>
      <c r="AH23" s="67">
        <f t="shared" si="6"/>
        <v>321835.5</v>
      </c>
      <c r="AI23" s="67">
        <f t="shared" si="6"/>
        <v>365935</v>
      </c>
      <c r="AJ23" s="67">
        <f t="shared" si="6"/>
        <v>416636.5</v>
      </c>
      <c r="AK23" s="67">
        <f t="shared" si="6"/>
        <v>466399.5</v>
      </c>
      <c r="AL23" s="83">
        <f t="shared" si="6"/>
        <v>517737.5</v>
      </c>
      <c r="AM23" s="67">
        <f>AM22</f>
        <v>59887.5</v>
      </c>
      <c r="AN23" s="67">
        <f t="shared" ref="AN23:AX23" si="7">AM23+AN22</f>
        <v>119439</v>
      </c>
      <c r="AO23" s="67">
        <f t="shared" si="7"/>
        <v>177044</v>
      </c>
      <c r="AP23" s="67">
        <f t="shared" si="7"/>
        <v>237160</v>
      </c>
      <c r="AQ23" s="67">
        <f t="shared" si="7"/>
        <v>301691</v>
      </c>
      <c r="AR23" s="67">
        <f t="shared" si="7"/>
        <v>370963.5</v>
      </c>
      <c r="AS23" s="67">
        <f t="shared" si="7"/>
        <v>445049.5</v>
      </c>
      <c r="AT23" s="67">
        <f t="shared" si="7"/>
        <v>517441</v>
      </c>
      <c r="AU23" s="67">
        <f t="shared" si="7"/>
        <v>588894</v>
      </c>
      <c r="AV23" s="67">
        <f t="shared" si="7"/>
        <v>670980</v>
      </c>
      <c r="AW23" s="67">
        <f t="shared" si="7"/>
        <v>752474.5</v>
      </c>
      <c r="AX23" s="83">
        <f t="shared" si="7"/>
        <v>837119</v>
      </c>
      <c r="AY23" s="67">
        <f>AY22</f>
        <v>97282.5</v>
      </c>
      <c r="AZ23" s="67">
        <f t="shared" ref="AZ23:BJ23" si="8">AY23+AZ22</f>
        <v>193793.5</v>
      </c>
      <c r="BA23" s="67">
        <f t="shared" si="8"/>
        <v>287760</v>
      </c>
      <c r="BB23" s="67">
        <f t="shared" si="8"/>
        <v>384942</v>
      </c>
      <c r="BC23" s="67">
        <f t="shared" si="8"/>
        <v>480160.5</v>
      </c>
      <c r="BD23" s="67">
        <f t="shared" si="8"/>
        <v>590828</v>
      </c>
      <c r="BE23" s="67">
        <f t="shared" si="8"/>
        <v>709169.5</v>
      </c>
      <c r="BF23" s="67">
        <f t="shared" si="8"/>
        <v>825728</v>
      </c>
      <c r="BG23" s="67">
        <f t="shared" si="8"/>
        <v>941165.5</v>
      </c>
      <c r="BH23" s="67">
        <f t="shared" si="8"/>
        <v>1073838</v>
      </c>
      <c r="BI23" s="67">
        <f t="shared" si="8"/>
        <v>1204980.5</v>
      </c>
      <c r="BJ23" s="83">
        <f t="shared" si="8"/>
        <v>1340848</v>
      </c>
      <c r="BK23" s="70"/>
    </row>
    <row r="24" spans="2:63" x14ac:dyDescent="0.2">
      <c r="B24" s="115"/>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row>
    <row r="25" spans="2:63" x14ac:dyDescent="0.2">
      <c r="B25" s="71"/>
      <c r="C25" s="174" t="s">
        <v>77</v>
      </c>
      <c r="D25" s="157"/>
      <c r="E25" s="157"/>
      <c r="F25" s="157"/>
      <c r="G25" s="157"/>
      <c r="H25" s="157"/>
      <c r="I25" s="157"/>
      <c r="J25" s="157"/>
      <c r="K25" s="157"/>
      <c r="L25" s="157"/>
      <c r="M25" s="157"/>
      <c r="N25" s="158"/>
      <c r="O25" s="174" t="s">
        <v>78</v>
      </c>
      <c r="P25" s="157"/>
      <c r="Q25" s="157"/>
      <c r="R25" s="157"/>
      <c r="S25" s="157"/>
      <c r="T25" s="157"/>
      <c r="U25" s="157"/>
      <c r="V25" s="157"/>
      <c r="W25" s="157"/>
      <c r="X25" s="157"/>
      <c r="Y25" s="157"/>
      <c r="Z25" s="158"/>
      <c r="AA25" s="174" t="s">
        <v>79</v>
      </c>
      <c r="AB25" s="157"/>
      <c r="AC25" s="157"/>
      <c r="AD25" s="157"/>
      <c r="AE25" s="157"/>
      <c r="AF25" s="157"/>
      <c r="AG25" s="157"/>
      <c r="AH25" s="157"/>
      <c r="AI25" s="157"/>
      <c r="AJ25" s="157"/>
      <c r="AK25" s="157"/>
      <c r="AL25" s="158"/>
      <c r="AM25" s="134"/>
      <c r="AN25" s="174" t="s">
        <v>80</v>
      </c>
      <c r="AO25" s="157"/>
      <c r="AP25" s="157"/>
      <c r="AQ25" s="157"/>
      <c r="AR25" s="157"/>
      <c r="AS25" s="157"/>
      <c r="AT25" s="157"/>
      <c r="AU25" s="157"/>
      <c r="AV25" s="157"/>
      <c r="AW25" s="157"/>
      <c r="AX25" s="158"/>
      <c r="AY25" s="174" t="s">
        <v>81</v>
      </c>
      <c r="AZ25" s="157"/>
      <c r="BA25" s="157"/>
      <c r="BB25" s="157"/>
      <c r="BC25" s="157"/>
      <c r="BD25" s="157"/>
      <c r="BE25" s="157"/>
      <c r="BF25" s="157"/>
      <c r="BG25" s="157"/>
      <c r="BH25" s="157"/>
      <c r="BI25" s="157"/>
      <c r="BJ25" s="158"/>
      <c r="BK25" s="70"/>
    </row>
    <row r="26" spans="2:63" x14ac:dyDescent="0.2">
      <c r="B26" s="144" t="s">
        <v>102</v>
      </c>
      <c r="C26" s="55">
        <f>Config!$C$7</f>
        <v>46388</v>
      </c>
      <c r="D26" s="55">
        <f t="shared" ref="D26:AI26" si="9">DATE(YEAR(C26),MONTH(C26)+1,DAY(C26))</f>
        <v>46419</v>
      </c>
      <c r="E26" s="55">
        <f t="shared" si="9"/>
        <v>46447</v>
      </c>
      <c r="F26" s="55">
        <f t="shared" si="9"/>
        <v>46478</v>
      </c>
      <c r="G26" s="55">
        <f t="shared" si="9"/>
        <v>46508</v>
      </c>
      <c r="H26" s="55">
        <f t="shared" si="9"/>
        <v>46539</v>
      </c>
      <c r="I26" s="55">
        <f t="shared" si="9"/>
        <v>46569</v>
      </c>
      <c r="J26" s="55">
        <f t="shared" si="9"/>
        <v>46600</v>
      </c>
      <c r="K26" s="55">
        <f t="shared" si="9"/>
        <v>46631</v>
      </c>
      <c r="L26" s="55">
        <f t="shared" si="9"/>
        <v>46661</v>
      </c>
      <c r="M26" s="55">
        <f t="shared" si="9"/>
        <v>46692</v>
      </c>
      <c r="N26" s="55">
        <f t="shared" si="9"/>
        <v>46722</v>
      </c>
      <c r="O26" s="55">
        <f t="shared" si="9"/>
        <v>46753</v>
      </c>
      <c r="P26" s="55">
        <f t="shared" si="9"/>
        <v>46784</v>
      </c>
      <c r="Q26" s="55">
        <f t="shared" si="9"/>
        <v>46813</v>
      </c>
      <c r="R26" s="55">
        <f t="shared" si="9"/>
        <v>46844</v>
      </c>
      <c r="S26" s="55">
        <f t="shared" si="9"/>
        <v>46874</v>
      </c>
      <c r="T26" s="55">
        <f t="shared" si="9"/>
        <v>46905</v>
      </c>
      <c r="U26" s="55">
        <f t="shared" si="9"/>
        <v>46935</v>
      </c>
      <c r="V26" s="55">
        <f t="shared" si="9"/>
        <v>46966</v>
      </c>
      <c r="W26" s="55">
        <f t="shared" si="9"/>
        <v>46997</v>
      </c>
      <c r="X26" s="55">
        <f t="shared" si="9"/>
        <v>47027</v>
      </c>
      <c r="Y26" s="55">
        <f t="shared" si="9"/>
        <v>47058</v>
      </c>
      <c r="Z26" s="55">
        <f t="shared" si="9"/>
        <v>47088</v>
      </c>
      <c r="AA26" s="55">
        <f t="shared" si="9"/>
        <v>47119</v>
      </c>
      <c r="AB26" s="55">
        <f t="shared" si="9"/>
        <v>47150</v>
      </c>
      <c r="AC26" s="55">
        <f t="shared" si="9"/>
        <v>47178</v>
      </c>
      <c r="AD26" s="55">
        <f t="shared" si="9"/>
        <v>47209</v>
      </c>
      <c r="AE26" s="55">
        <f t="shared" si="9"/>
        <v>47239</v>
      </c>
      <c r="AF26" s="55">
        <f t="shared" si="9"/>
        <v>47270</v>
      </c>
      <c r="AG26" s="55">
        <f t="shared" si="9"/>
        <v>47300</v>
      </c>
      <c r="AH26" s="55">
        <f t="shared" si="9"/>
        <v>47331</v>
      </c>
      <c r="AI26" s="55">
        <f t="shared" si="9"/>
        <v>47362</v>
      </c>
      <c r="AJ26" s="55">
        <f t="shared" ref="AJ26:BJ26" si="10">DATE(YEAR(AI26),MONTH(AI26)+1,DAY(AI26))</f>
        <v>47392</v>
      </c>
      <c r="AK26" s="55">
        <f t="shared" si="10"/>
        <v>47423</v>
      </c>
      <c r="AL26" s="55">
        <f t="shared" si="10"/>
        <v>47453</v>
      </c>
      <c r="AM26" s="55">
        <f t="shared" si="10"/>
        <v>47484</v>
      </c>
      <c r="AN26" s="55">
        <f t="shared" si="10"/>
        <v>47515</v>
      </c>
      <c r="AO26" s="55">
        <f t="shared" si="10"/>
        <v>47543</v>
      </c>
      <c r="AP26" s="55">
        <f t="shared" si="10"/>
        <v>47574</v>
      </c>
      <c r="AQ26" s="55">
        <f t="shared" si="10"/>
        <v>47604</v>
      </c>
      <c r="AR26" s="55">
        <f t="shared" si="10"/>
        <v>47635</v>
      </c>
      <c r="AS26" s="55">
        <f t="shared" si="10"/>
        <v>47665</v>
      </c>
      <c r="AT26" s="55">
        <f t="shared" si="10"/>
        <v>47696</v>
      </c>
      <c r="AU26" s="55">
        <f t="shared" si="10"/>
        <v>47727</v>
      </c>
      <c r="AV26" s="55">
        <f t="shared" si="10"/>
        <v>47757</v>
      </c>
      <c r="AW26" s="55">
        <f t="shared" si="10"/>
        <v>47788</v>
      </c>
      <c r="AX26" s="55">
        <f t="shared" si="10"/>
        <v>47818</v>
      </c>
      <c r="AY26" s="55">
        <f t="shared" si="10"/>
        <v>47849</v>
      </c>
      <c r="AZ26" s="55">
        <f t="shared" si="10"/>
        <v>47880</v>
      </c>
      <c r="BA26" s="55">
        <f t="shared" si="10"/>
        <v>47908</v>
      </c>
      <c r="BB26" s="55">
        <f t="shared" si="10"/>
        <v>47939</v>
      </c>
      <c r="BC26" s="55">
        <f t="shared" si="10"/>
        <v>47969</v>
      </c>
      <c r="BD26" s="55">
        <f t="shared" si="10"/>
        <v>48000</v>
      </c>
      <c r="BE26" s="55">
        <f t="shared" si="10"/>
        <v>48030</v>
      </c>
      <c r="BF26" s="55">
        <f t="shared" si="10"/>
        <v>48061</v>
      </c>
      <c r="BG26" s="55">
        <f t="shared" si="10"/>
        <v>48092</v>
      </c>
      <c r="BH26" s="55">
        <f t="shared" si="10"/>
        <v>48122</v>
      </c>
      <c r="BI26" s="55">
        <f t="shared" si="10"/>
        <v>48153</v>
      </c>
      <c r="BJ26" s="55">
        <f t="shared" si="10"/>
        <v>48183</v>
      </c>
      <c r="BK26" s="70"/>
    </row>
    <row r="27" spans="2:63" x14ac:dyDescent="0.2">
      <c r="B27" s="46" t="str">
        <f>Config!$B$14</f>
        <v>Vente d'abonnement mensuel (30 Shots)</v>
      </c>
      <c r="C27" s="67">
        <f>Config!$C32*Commandes!C9</f>
        <v>0</v>
      </c>
      <c r="D27" s="67">
        <f>Config!$C32*Commandes!D9</f>
        <v>315</v>
      </c>
      <c r="E27" s="67">
        <f>Config!$C32*Commandes!E9</f>
        <v>787.5</v>
      </c>
      <c r="F27" s="67">
        <f>Config!$C32*Commandes!F9</f>
        <v>1417.5</v>
      </c>
      <c r="G27" s="67">
        <f>Config!$C32*Commandes!G9</f>
        <v>2205</v>
      </c>
      <c r="H27" s="67">
        <f>Config!$C32*Commandes!H9</f>
        <v>3150</v>
      </c>
      <c r="I27" s="67">
        <f>Config!$C32*Commandes!I9</f>
        <v>3780</v>
      </c>
      <c r="J27" s="67">
        <f>Config!$C32*Commandes!J9</f>
        <v>4410</v>
      </c>
      <c r="K27" s="67">
        <f>Config!$C32*Commandes!K9</f>
        <v>5670</v>
      </c>
      <c r="L27" s="67">
        <f>Config!$C32*Commandes!L9</f>
        <v>6615</v>
      </c>
      <c r="M27" s="67">
        <f>Config!$C32*Commandes!M9</f>
        <v>7560</v>
      </c>
      <c r="N27" s="67">
        <f>Config!$C32*Commandes!N9</f>
        <v>8820</v>
      </c>
      <c r="O27" s="67">
        <f>Config!$C32*Commandes!O9</f>
        <v>9450</v>
      </c>
      <c r="P27" s="67">
        <f>Config!$C32*Commandes!P9</f>
        <v>10395</v>
      </c>
      <c r="Q27" s="67">
        <f>Config!$C32*Commandes!Q9</f>
        <v>11340</v>
      </c>
      <c r="R27" s="67">
        <f>Config!$C32*Commandes!R9</f>
        <v>12600</v>
      </c>
      <c r="S27" s="67">
        <f>Config!$C32*Commandes!S9</f>
        <v>14175</v>
      </c>
      <c r="T27" s="67">
        <f>Config!$C32*Commandes!T9</f>
        <v>15750</v>
      </c>
      <c r="U27" s="67">
        <f>Config!$C32*Commandes!U9</f>
        <v>17010</v>
      </c>
      <c r="V27" s="67">
        <f>Config!$C32*Commandes!V9</f>
        <v>17955</v>
      </c>
      <c r="W27" s="67">
        <f>Config!$C32*Commandes!W9</f>
        <v>20475</v>
      </c>
      <c r="X27" s="67">
        <f>Config!$C32*Commandes!X9</f>
        <v>22050</v>
      </c>
      <c r="Y27" s="67">
        <f>Config!$C32*Commandes!Y9</f>
        <v>23625</v>
      </c>
      <c r="Z27" s="67">
        <f>Config!$C32*Commandes!Z9</f>
        <v>25200</v>
      </c>
      <c r="AA27" s="67">
        <f>Config!$C32*Commandes!AA9</f>
        <v>26775</v>
      </c>
      <c r="AB27" s="67">
        <f>Config!$C32*Commandes!AB9</f>
        <v>27720</v>
      </c>
      <c r="AC27" s="67">
        <f>Config!$C32*Commandes!AC9</f>
        <v>28665</v>
      </c>
      <c r="AD27" s="67">
        <f>Config!$C32*Commandes!AD9</f>
        <v>29925</v>
      </c>
      <c r="AE27" s="67">
        <f>Config!$C32*Commandes!AE9</f>
        <v>31500</v>
      </c>
      <c r="AF27" s="67">
        <f>Config!$C32*Commandes!AF9</f>
        <v>33075</v>
      </c>
      <c r="AG27" s="67">
        <f>Config!$C32*Commandes!AG9</f>
        <v>34020</v>
      </c>
      <c r="AH27" s="67">
        <f>Config!$C32*Commandes!AH9</f>
        <v>34650</v>
      </c>
      <c r="AI27" s="67">
        <f>Config!$C32*Commandes!AI9</f>
        <v>36225</v>
      </c>
      <c r="AJ27" s="67">
        <f>Config!$C32*Commandes!AJ9</f>
        <v>37800</v>
      </c>
      <c r="AK27" s="67">
        <f>Config!$C32*Commandes!AK9</f>
        <v>39375</v>
      </c>
      <c r="AL27" s="67">
        <f>Config!$C32*Commandes!AL9</f>
        <v>40950</v>
      </c>
      <c r="AM27" s="67">
        <f>Config!$C32*Commandes!AM9</f>
        <v>42525</v>
      </c>
      <c r="AN27" s="67">
        <f>Config!$C32*Commandes!AN9</f>
        <v>43470</v>
      </c>
      <c r="AO27" s="67">
        <f>Config!$C32*Commandes!AO9</f>
        <v>44730</v>
      </c>
      <c r="AP27" s="67">
        <f>Config!$C32*Commandes!AP9</f>
        <v>46620</v>
      </c>
      <c r="AQ27" s="67">
        <f>Config!$C32*Commandes!AQ9</f>
        <v>48825</v>
      </c>
      <c r="AR27" s="67">
        <f>Config!$C32*Commandes!AR9</f>
        <v>51975</v>
      </c>
      <c r="AS27" s="67">
        <f>Config!$C32*Commandes!AS9</f>
        <v>53550</v>
      </c>
      <c r="AT27" s="67">
        <f>Config!$C32*Commandes!AT9</f>
        <v>55125</v>
      </c>
      <c r="AU27" s="67">
        <f>Config!$C32*Commandes!AU9</f>
        <v>58275</v>
      </c>
      <c r="AV27" s="67">
        <f>Config!$C32*Commandes!AV9</f>
        <v>61425</v>
      </c>
      <c r="AW27" s="67">
        <f>Config!$C32*Commandes!AW9</f>
        <v>64575</v>
      </c>
      <c r="AX27" s="67">
        <f>Config!$C32*Commandes!AX9</f>
        <v>67725</v>
      </c>
      <c r="AY27" s="67">
        <f>Config!$C32*Commandes!AY9</f>
        <v>69300</v>
      </c>
      <c r="AZ27" s="67">
        <f>Config!$C32*Commandes!AZ9</f>
        <v>70875</v>
      </c>
      <c r="BA27" s="67">
        <f>Config!$C32*Commandes!BA9</f>
        <v>72450</v>
      </c>
      <c r="BB27" s="67">
        <f>Config!$C32*Commandes!BB9</f>
        <v>75600</v>
      </c>
      <c r="BC27" s="67">
        <f>Config!$C32*Commandes!BC9</f>
        <v>78750</v>
      </c>
      <c r="BD27" s="67">
        <f>Config!$C32*Commandes!BD9</f>
        <v>83475</v>
      </c>
      <c r="BE27" s="67">
        <f>Config!$C32*Commandes!BE9</f>
        <v>86625</v>
      </c>
      <c r="BF27" s="67">
        <f>Config!$C32*Commandes!BF9</f>
        <v>89775</v>
      </c>
      <c r="BG27" s="67">
        <f>Config!$C32*Commandes!BG9</f>
        <v>94500</v>
      </c>
      <c r="BH27" s="67">
        <f>Config!$C32*Commandes!BH9</f>
        <v>99225</v>
      </c>
      <c r="BI27" s="67">
        <f>Config!$C32*Commandes!BI9</f>
        <v>103950</v>
      </c>
      <c r="BJ27" s="67">
        <f>Config!$C32*Commandes!BJ9</f>
        <v>110250</v>
      </c>
      <c r="BK27" s="70"/>
    </row>
    <row r="28" spans="2:63" x14ac:dyDescent="0.2">
      <c r="B28" s="46" t="str">
        <f>Config!$B$15</f>
        <v>Vente de pack découverte (9 Shots)</v>
      </c>
      <c r="C28" s="67">
        <f>Config!$C33*Commandes!C10</f>
        <v>425</v>
      </c>
      <c r="D28" s="67">
        <f>Config!$C33*Commandes!D10</f>
        <v>680</v>
      </c>
      <c r="E28" s="67">
        <f>Config!$C33*Commandes!E10</f>
        <v>1020</v>
      </c>
      <c r="F28" s="67">
        <f>Config!$C33*Commandes!F10</f>
        <v>1700</v>
      </c>
      <c r="G28" s="67">
        <f>Config!$C33*Commandes!G10</f>
        <v>2550</v>
      </c>
      <c r="H28" s="67">
        <f>Config!$C33*Commandes!H10</f>
        <v>2975</v>
      </c>
      <c r="I28" s="67">
        <f>Config!$C33*Commandes!I10</f>
        <v>2550</v>
      </c>
      <c r="J28" s="67">
        <f>Config!$C33*Commandes!J10</f>
        <v>1700</v>
      </c>
      <c r="K28" s="67">
        <f>Config!$C33*Commandes!K10</f>
        <v>3400</v>
      </c>
      <c r="L28" s="67">
        <f>Config!$C33*Commandes!L10</f>
        <v>2975</v>
      </c>
      <c r="M28" s="67">
        <f>Config!$C33*Commandes!M10</f>
        <v>2975</v>
      </c>
      <c r="N28" s="67">
        <f>Config!$C33*Commandes!N10</f>
        <v>4250</v>
      </c>
      <c r="O28" s="67">
        <f>Config!$C33*Commandes!O10</f>
        <v>3825</v>
      </c>
      <c r="P28" s="67">
        <f>Config!$C33*Commandes!P10</f>
        <v>3400</v>
      </c>
      <c r="Q28" s="67">
        <f>Config!$C33*Commandes!Q10</f>
        <v>3825</v>
      </c>
      <c r="R28" s="67">
        <f>Config!$C33*Commandes!R10</f>
        <v>4675</v>
      </c>
      <c r="S28" s="67">
        <f>Config!$C33*Commandes!S10</f>
        <v>5525</v>
      </c>
      <c r="T28" s="67">
        <f>Config!$C33*Commandes!T10</f>
        <v>5950</v>
      </c>
      <c r="U28" s="67">
        <f>Config!$C33*Commandes!U10</f>
        <v>5100</v>
      </c>
      <c r="V28" s="67">
        <f>Config!$C33*Commandes!V10</f>
        <v>4250</v>
      </c>
      <c r="W28" s="67">
        <f>Config!$C33*Commandes!W10</f>
        <v>6800</v>
      </c>
      <c r="X28" s="67">
        <f>Config!$C33*Commandes!X10</f>
        <v>5950</v>
      </c>
      <c r="Y28" s="67">
        <f>Config!$C33*Commandes!Y10</f>
        <v>5950</v>
      </c>
      <c r="Z28" s="67">
        <f>Config!$C33*Commandes!Z10</f>
        <v>7650</v>
      </c>
      <c r="AA28" s="67">
        <f>Config!$C33*Commandes!AA10</f>
        <v>7650</v>
      </c>
      <c r="AB28" s="67">
        <f>Config!$C33*Commandes!AB10</f>
        <v>6800</v>
      </c>
      <c r="AC28" s="67">
        <f>Config!$C33*Commandes!AC10</f>
        <v>7225</v>
      </c>
      <c r="AD28" s="67">
        <f>Config!$C33*Commandes!AD10</f>
        <v>8075</v>
      </c>
      <c r="AE28" s="67">
        <f>Config!$C33*Commandes!AE10</f>
        <v>9350</v>
      </c>
      <c r="AF28" s="67">
        <f>Config!$C33*Commandes!AF10</f>
        <v>10200</v>
      </c>
      <c r="AG28" s="67">
        <f>Config!$C33*Commandes!AG10</f>
        <v>8500</v>
      </c>
      <c r="AH28" s="67">
        <f>Config!$C33*Commandes!AH10</f>
        <v>7650</v>
      </c>
      <c r="AI28" s="67">
        <f>Config!$C33*Commandes!AI10</f>
        <v>11050</v>
      </c>
      <c r="AJ28" s="67">
        <f>Config!$C33*Commandes!AJ10</f>
        <v>9350</v>
      </c>
      <c r="AK28" s="67">
        <f>Config!$C33*Commandes!AK10</f>
        <v>9350</v>
      </c>
      <c r="AL28" s="67">
        <f>Config!$C33*Commandes!AL10</f>
        <v>12750</v>
      </c>
      <c r="AM28" s="67">
        <f>Config!$C33*Commandes!AM10</f>
        <v>13600</v>
      </c>
      <c r="AN28" s="67">
        <f>Config!$C33*Commandes!AN10</f>
        <v>11900</v>
      </c>
      <c r="AO28" s="67">
        <f>Config!$C33*Commandes!AO10</f>
        <v>12750</v>
      </c>
      <c r="AP28" s="67">
        <f>Config!$C33*Commandes!AP10</f>
        <v>14450</v>
      </c>
      <c r="AQ28" s="67">
        <f>Config!$C33*Commandes!AQ10</f>
        <v>16150</v>
      </c>
      <c r="AR28" s="67">
        <f>Config!$C33*Commandes!AR10</f>
        <v>17000</v>
      </c>
      <c r="AS28" s="67">
        <f>Config!$C33*Commandes!AS10</f>
        <v>15300</v>
      </c>
      <c r="AT28" s="67">
        <f>Config!$C33*Commandes!AT10</f>
        <v>13600</v>
      </c>
      <c r="AU28" s="67">
        <f>Config!$C33*Commandes!AU10</f>
        <v>18700</v>
      </c>
      <c r="AV28" s="67">
        <f>Config!$C33*Commandes!AV10</f>
        <v>16150</v>
      </c>
      <c r="AW28" s="67">
        <f>Config!$C33*Commandes!AW10</f>
        <v>16150</v>
      </c>
      <c r="AX28" s="67">
        <f>Config!$C33*Commandes!AX10</f>
        <v>21250</v>
      </c>
      <c r="AY28" s="67">
        <f>Config!$C33*Commandes!AY10</f>
        <v>22100</v>
      </c>
      <c r="AZ28" s="67">
        <f>Config!$C33*Commandes!AZ10</f>
        <v>19550</v>
      </c>
      <c r="BA28" s="67">
        <f>Config!$C33*Commandes!BA10</f>
        <v>20400</v>
      </c>
      <c r="BB28" s="67">
        <f>Config!$C33*Commandes!BB10</f>
        <v>14450</v>
      </c>
      <c r="BC28" s="67">
        <f>Config!$C33*Commandes!BC10</f>
        <v>25500</v>
      </c>
      <c r="BD28" s="67">
        <f>Config!$C33*Commandes!BD10</f>
        <v>27200</v>
      </c>
      <c r="BE28" s="67">
        <f>Config!$C33*Commandes!BE10</f>
        <v>24650</v>
      </c>
      <c r="BF28" s="67">
        <f>Config!$C33*Commandes!BF10</f>
        <v>21250</v>
      </c>
      <c r="BG28" s="67">
        <f>Config!$C33*Commandes!BG10</f>
        <v>29750</v>
      </c>
      <c r="BH28" s="67">
        <f>Config!$C33*Commandes!BH10</f>
        <v>25500</v>
      </c>
      <c r="BI28" s="67">
        <f>Config!$C33*Commandes!BI10</f>
        <v>25500</v>
      </c>
      <c r="BJ28" s="67">
        <f>Config!$C33*Commandes!BJ10</f>
        <v>34000</v>
      </c>
      <c r="BK28" s="70"/>
    </row>
    <row r="29" spans="2:63" x14ac:dyDescent="0.2">
      <c r="B29" s="46" t="str">
        <f>Config!$B$16</f>
        <v xml:space="preserve">Vente de shots à l'unité </v>
      </c>
      <c r="C29" s="67">
        <f>Config!$C34*Commandes!C11</f>
        <v>23</v>
      </c>
      <c r="D29" s="67">
        <f>Config!$C34*Commandes!D11</f>
        <v>34.5</v>
      </c>
      <c r="E29" s="67">
        <f>Config!$C34*Commandes!E11</f>
        <v>46</v>
      </c>
      <c r="F29" s="67">
        <f>Config!$C34*Commandes!F11</f>
        <v>57.499999999999993</v>
      </c>
      <c r="G29" s="67">
        <f>Config!$C34*Commandes!G11</f>
        <v>92</v>
      </c>
      <c r="H29" s="67">
        <f>Config!$C34*Commandes!H11</f>
        <v>114.99999999999999</v>
      </c>
      <c r="I29" s="67">
        <f>Config!$C34*Commandes!I11</f>
        <v>92</v>
      </c>
      <c r="J29" s="67">
        <f>Config!$C34*Commandes!J11</f>
        <v>69</v>
      </c>
      <c r="K29" s="67">
        <f>Config!$C34*Commandes!K11</f>
        <v>114.99999999999999</v>
      </c>
      <c r="L29" s="67">
        <f>Config!$C34*Commandes!L11</f>
        <v>92</v>
      </c>
      <c r="M29" s="67">
        <f>Config!$C34*Commandes!M11</f>
        <v>92</v>
      </c>
      <c r="N29" s="67">
        <f>Config!$C34*Commandes!N11</f>
        <v>172.5</v>
      </c>
      <c r="O29" s="67">
        <f>Config!$C34*Commandes!O11</f>
        <v>114.99999999999999</v>
      </c>
      <c r="P29" s="67">
        <f>Config!$C34*Commandes!P11</f>
        <v>114.99999999999999</v>
      </c>
      <c r="Q29" s="67">
        <f>Config!$C34*Commandes!Q11</f>
        <v>138</v>
      </c>
      <c r="R29" s="67">
        <f>Config!$C34*Commandes!R11</f>
        <v>172.5</v>
      </c>
      <c r="S29" s="67">
        <f>Config!$C34*Commandes!S11</f>
        <v>229.99999999999997</v>
      </c>
      <c r="T29" s="67">
        <f>Config!$C34*Commandes!T11</f>
        <v>287.5</v>
      </c>
      <c r="U29" s="67">
        <f>Config!$C34*Commandes!U11</f>
        <v>229.99999999999997</v>
      </c>
      <c r="V29" s="67">
        <f>Config!$C34*Commandes!V11</f>
        <v>172.5</v>
      </c>
      <c r="W29" s="67">
        <f>Config!$C34*Commandes!W11</f>
        <v>287.5</v>
      </c>
      <c r="X29" s="67">
        <f>Config!$C34*Commandes!X11</f>
        <v>229.99999999999997</v>
      </c>
      <c r="Y29" s="67">
        <f>Config!$C34*Commandes!Y11</f>
        <v>229.99999999999997</v>
      </c>
      <c r="Z29" s="67">
        <f>Config!$C34*Commandes!Z11</f>
        <v>345</v>
      </c>
      <c r="AA29" s="67">
        <f>Config!$C34*Commandes!AA11</f>
        <v>287.5</v>
      </c>
      <c r="AB29" s="67">
        <f>Config!$C34*Commandes!AB11</f>
        <v>229.99999999999997</v>
      </c>
      <c r="AC29" s="67">
        <f>Config!$C34*Commandes!AC11</f>
        <v>252.99999999999997</v>
      </c>
      <c r="AD29" s="67">
        <f>Config!$C34*Commandes!AD11</f>
        <v>287.5</v>
      </c>
      <c r="AE29" s="67">
        <f>Config!$C34*Commandes!AE11</f>
        <v>345</v>
      </c>
      <c r="AF29" s="67">
        <f>Config!$C34*Commandes!AF11</f>
        <v>402.49999999999994</v>
      </c>
      <c r="AG29" s="67">
        <f>Config!$C34*Commandes!AG11</f>
        <v>345</v>
      </c>
      <c r="AH29" s="67">
        <f>Config!$C34*Commandes!AH11</f>
        <v>287.5</v>
      </c>
      <c r="AI29" s="67">
        <f>Config!$C34*Commandes!AI11</f>
        <v>402.49999999999994</v>
      </c>
      <c r="AJ29" s="67">
        <f>Config!$C34*Commandes!AJ11</f>
        <v>345</v>
      </c>
      <c r="AK29" s="67">
        <f>Config!$C34*Commandes!AK11</f>
        <v>345</v>
      </c>
      <c r="AL29" s="67">
        <f>Config!$C34*Commandes!AL11</f>
        <v>517.5</v>
      </c>
      <c r="AM29" s="67">
        <f>Config!$C34*Commandes!AM11</f>
        <v>402.49999999999994</v>
      </c>
      <c r="AN29" s="67">
        <f>Config!$C34*Commandes!AN11</f>
        <v>345</v>
      </c>
      <c r="AO29" s="67">
        <f>Config!$C34*Commandes!AO11</f>
        <v>368</v>
      </c>
      <c r="AP29" s="67">
        <f>Config!$C34*Commandes!AP11</f>
        <v>436.99999999999994</v>
      </c>
      <c r="AQ29" s="67">
        <f>Config!$C34*Commandes!AQ11</f>
        <v>517.5</v>
      </c>
      <c r="AR29" s="67">
        <f>Config!$C34*Commandes!AR11</f>
        <v>575</v>
      </c>
      <c r="AS29" s="67">
        <f>Config!$C34*Commandes!AS11</f>
        <v>517.5</v>
      </c>
      <c r="AT29" s="67">
        <f>Config!$C34*Commandes!AT11</f>
        <v>459.99999999999994</v>
      </c>
      <c r="AU29" s="67">
        <f>Config!$C34*Commandes!AU11</f>
        <v>575</v>
      </c>
      <c r="AV29" s="67">
        <f>Config!$C34*Commandes!AV11</f>
        <v>517.5</v>
      </c>
      <c r="AW29" s="67">
        <f>Config!$C34*Commandes!AW11</f>
        <v>517.5</v>
      </c>
      <c r="AX29" s="67">
        <f>Config!$C34*Commandes!AX11</f>
        <v>747.49999999999989</v>
      </c>
      <c r="AY29" s="67">
        <f>Config!$C34*Commandes!AY11</f>
        <v>575</v>
      </c>
      <c r="AZ29" s="67">
        <f>Config!$C34*Commandes!AZ11</f>
        <v>517.5</v>
      </c>
      <c r="BA29" s="67">
        <f>Config!$C34*Commandes!BA11</f>
        <v>552</v>
      </c>
      <c r="BB29" s="67">
        <f>Config!$C34*Commandes!BB11</f>
        <v>632.5</v>
      </c>
      <c r="BC29" s="67">
        <f>Config!$C34*Commandes!BC11</f>
        <v>747.49999999999989</v>
      </c>
      <c r="BD29" s="67">
        <f>Config!$C34*Commandes!BD11</f>
        <v>862.49999999999989</v>
      </c>
      <c r="BE29" s="67">
        <f>Config!$C34*Commandes!BE11</f>
        <v>747.49999999999989</v>
      </c>
      <c r="BF29" s="67">
        <f>Config!$C34*Commandes!BF11</f>
        <v>632.5</v>
      </c>
      <c r="BG29" s="67">
        <f>Config!$C34*Commandes!BG11</f>
        <v>862.49999999999989</v>
      </c>
      <c r="BH29" s="67">
        <f>Config!$C34*Commandes!BH11</f>
        <v>747.49999999999989</v>
      </c>
      <c r="BI29" s="67">
        <f>Config!$C34*Commandes!BI11</f>
        <v>747.49999999999989</v>
      </c>
      <c r="BJ29" s="67">
        <f>Config!$C34*Commandes!BJ11</f>
        <v>1092.5</v>
      </c>
      <c r="BK29" s="70"/>
    </row>
    <row r="30" spans="2:63" x14ac:dyDescent="0.2">
      <c r="B30" s="46" t="str">
        <f>Config!$B$17</f>
        <v>Vente d'abonnement annuel (360 Shots)</v>
      </c>
      <c r="C30" s="67">
        <f>Config!$C35*Commandes!C12</f>
        <v>0</v>
      </c>
      <c r="D30" s="67">
        <f>Config!$C35*Commandes!D12</f>
        <v>0</v>
      </c>
      <c r="E30" s="67">
        <f>Config!$C35*Commandes!E12</f>
        <v>0</v>
      </c>
      <c r="F30" s="67">
        <f>Config!$C35*Commandes!F12</f>
        <v>378</v>
      </c>
      <c r="G30" s="67">
        <f>Config!$C35*Commandes!G12</f>
        <v>378</v>
      </c>
      <c r="H30" s="67">
        <f>Config!$C35*Commandes!H12</f>
        <v>756</v>
      </c>
      <c r="I30" s="67">
        <f>Config!$C35*Commandes!I12</f>
        <v>378</v>
      </c>
      <c r="J30" s="67">
        <f>Config!$C35*Commandes!J12</f>
        <v>0</v>
      </c>
      <c r="K30" s="67">
        <f>Config!$C35*Commandes!K12</f>
        <v>1134</v>
      </c>
      <c r="L30" s="67">
        <f>Config!$C35*Commandes!L12</f>
        <v>756</v>
      </c>
      <c r="M30" s="67">
        <f>Config!$C35*Commandes!M12</f>
        <v>756</v>
      </c>
      <c r="N30" s="67">
        <f>Config!$C35*Commandes!N12</f>
        <v>1890</v>
      </c>
      <c r="O30" s="67">
        <f>Config!$C35*Commandes!O12</f>
        <v>1134</v>
      </c>
      <c r="P30" s="67">
        <f>Config!$C35*Commandes!P12</f>
        <v>756</v>
      </c>
      <c r="Q30" s="67">
        <f>Config!$C35*Commandes!Q12</f>
        <v>756</v>
      </c>
      <c r="R30" s="67">
        <f>Config!$C35*Commandes!R12</f>
        <v>1134</v>
      </c>
      <c r="S30" s="67">
        <f>Config!$C35*Commandes!S12</f>
        <v>1512</v>
      </c>
      <c r="T30" s="67">
        <f>Config!$C35*Commandes!T12</f>
        <v>1890</v>
      </c>
      <c r="U30" s="67">
        <f>Config!$C35*Commandes!U12</f>
        <v>1134</v>
      </c>
      <c r="V30" s="67">
        <f>Config!$C35*Commandes!V12</f>
        <v>756</v>
      </c>
      <c r="W30" s="67">
        <f>Config!$C35*Commandes!W12</f>
        <v>2268</v>
      </c>
      <c r="X30" s="67">
        <f>Config!$C35*Commandes!X12</f>
        <v>1512</v>
      </c>
      <c r="Y30" s="67">
        <f>Config!$C35*Commandes!Y12</f>
        <v>1512</v>
      </c>
      <c r="Z30" s="67">
        <f>Config!$C35*Commandes!Z12</f>
        <v>3780</v>
      </c>
      <c r="AA30" s="67">
        <f>Config!$C35*Commandes!AA12</f>
        <v>1890</v>
      </c>
      <c r="AB30" s="67">
        <f>Config!$C35*Commandes!AB12</f>
        <v>1134</v>
      </c>
      <c r="AC30" s="67">
        <f>Config!$C35*Commandes!AC12</f>
        <v>1512</v>
      </c>
      <c r="AD30" s="67">
        <f>Config!$C35*Commandes!AD12</f>
        <v>1890</v>
      </c>
      <c r="AE30" s="67">
        <f>Config!$C35*Commandes!AE12</f>
        <v>2268</v>
      </c>
      <c r="AF30" s="67">
        <f>Config!$C35*Commandes!AF12</f>
        <v>2646</v>
      </c>
      <c r="AG30" s="67">
        <f>Config!$C35*Commandes!AG12</f>
        <v>1890</v>
      </c>
      <c r="AH30" s="67">
        <f>Config!$C35*Commandes!AH12</f>
        <v>1512</v>
      </c>
      <c r="AI30" s="67">
        <f>Config!$C35*Commandes!AI12</f>
        <v>3024</v>
      </c>
      <c r="AJ30" s="67">
        <f>Config!$C35*Commandes!AJ12</f>
        <v>2268</v>
      </c>
      <c r="AK30" s="67">
        <f>Config!$C35*Commandes!AK12</f>
        <v>2268</v>
      </c>
      <c r="AL30" s="67">
        <f>Config!$C35*Commandes!AL12</f>
        <v>5670</v>
      </c>
      <c r="AM30" s="67">
        <f>Config!$C35*Commandes!AM12</f>
        <v>3024</v>
      </c>
      <c r="AN30" s="67">
        <f>Config!$C35*Commandes!AN12</f>
        <v>1890</v>
      </c>
      <c r="AO30" s="67">
        <f>Config!$C35*Commandes!AO12</f>
        <v>2268</v>
      </c>
      <c r="AP30" s="67">
        <f>Config!$C35*Commandes!AP12</f>
        <v>3024</v>
      </c>
      <c r="AQ30" s="67">
        <f>Config!$C35*Commandes!AQ12</f>
        <v>3780</v>
      </c>
      <c r="AR30" s="67">
        <f>Config!$C35*Commandes!AR12</f>
        <v>4536</v>
      </c>
      <c r="AS30" s="67">
        <f>Config!$C35*Commandes!AS12</f>
        <v>3024</v>
      </c>
      <c r="AT30" s="67">
        <f>Config!$C35*Commandes!AT12</f>
        <v>2268</v>
      </c>
      <c r="AU30" s="67">
        <f>Config!$C35*Commandes!AU12</f>
        <v>4536</v>
      </c>
      <c r="AV30" s="67">
        <f>Config!$C35*Commandes!AV12</f>
        <v>3402</v>
      </c>
      <c r="AW30" s="67">
        <f>Config!$C35*Commandes!AW12</f>
        <v>3402</v>
      </c>
      <c r="AX30" s="67">
        <f>Config!$C35*Commandes!AX12</f>
        <v>7560</v>
      </c>
      <c r="AY30" s="67">
        <f>Config!$C35*Commandes!AY12</f>
        <v>4536</v>
      </c>
      <c r="AZ30" s="67">
        <f>Config!$C35*Commandes!AZ12</f>
        <v>3024</v>
      </c>
      <c r="BA30" s="67">
        <f>Config!$C35*Commandes!BA12</f>
        <v>3780</v>
      </c>
      <c r="BB30" s="67">
        <f>Config!$C35*Commandes!BB12</f>
        <v>4536</v>
      </c>
      <c r="BC30" s="67">
        <f>Config!$C35*Commandes!BC12</f>
        <v>5670</v>
      </c>
      <c r="BD30" s="67">
        <f>Config!$C35*Commandes!BD12</f>
        <v>6804</v>
      </c>
      <c r="BE30" s="67">
        <f>Config!$C35*Commandes!BE12</f>
        <v>4536</v>
      </c>
      <c r="BF30" s="67">
        <f>Config!$C35*Commandes!BF12</f>
        <v>3780</v>
      </c>
      <c r="BG30" s="67">
        <f>Config!$C35*Commandes!BG12</f>
        <v>7560</v>
      </c>
      <c r="BH30" s="67">
        <f>Config!$C35*Commandes!BH12</f>
        <v>5670</v>
      </c>
      <c r="BI30" s="67">
        <f>Config!$C35*Commandes!BI12</f>
        <v>5670</v>
      </c>
      <c r="BJ30" s="67">
        <f>Config!$C35*Commandes!BJ12</f>
        <v>11340</v>
      </c>
      <c r="BK30" s="70"/>
    </row>
    <row r="31" spans="2:63" x14ac:dyDescent="0.2">
      <c r="B31" s="46">
        <f>Config!$B$18</f>
        <v>0</v>
      </c>
      <c r="C31" s="67">
        <f>Config!$C36*Commandes!C13</f>
        <v>0</v>
      </c>
      <c r="D31" s="67">
        <f>Config!$C36*Commandes!D13</f>
        <v>0</v>
      </c>
      <c r="E31" s="67">
        <f>Config!$C36*Commandes!E13</f>
        <v>0</v>
      </c>
      <c r="F31" s="67">
        <f>Config!$C36*Commandes!F13</f>
        <v>0</v>
      </c>
      <c r="G31" s="67">
        <f>Config!$C36*Commandes!G13</f>
        <v>0</v>
      </c>
      <c r="H31" s="67">
        <f>Config!$C36*Commandes!H13</f>
        <v>0</v>
      </c>
      <c r="I31" s="67">
        <f>Config!$C36*Commandes!I13</f>
        <v>0</v>
      </c>
      <c r="J31" s="67">
        <f>Config!$C36*Commandes!J13</f>
        <v>0</v>
      </c>
      <c r="K31" s="67">
        <f>Config!$C36*Commandes!K13</f>
        <v>0</v>
      </c>
      <c r="L31" s="67">
        <f>Config!$C36*Commandes!L13</f>
        <v>0</v>
      </c>
      <c r="M31" s="67">
        <f>Config!$C36*Commandes!M13</f>
        <v>0</v>
      </c>
      <c r="N31" s="67">
        <f>Config!$C36*Commandes!N13</f>
        <v>0</v>
      </c>
      <c r="O31" s="67">
        <f>Config!$C36*Commandes!O13</f>
        <v>0</v>
      </c>
      <c r="P31" s="67">
        <f>Config!$C36*Commandes!P13</f>
        <v>0</v>
      </c>
      <c r="Q31" s="67">
        <f>Config!$C36*Commandes!Q13</f>
        <v>0</v>
      </c>
      <c r="R31" s="67">
        <f>Config!$C36*Commandes!R13</f>
        <v>0</v>
      </c>
      <c r="S31" s="67">
        <f>Config!$C36*Commandes!S13</f>
        <v>0</v>
      </c>
      <c r="T31" s="67">
        <f>Config!$C36*Commandes!T13</f>
        <v>0</v>
      </c>
      <c r="U31" s="67">
        <f>Config!$C36*Commandes!U13</f>
        <v>0</v>
      </c>
      <c r="V31" s="67">
        <f>Config!$C36*Commandes!V13</f>
        <v>0</v>
      </c>
      <c r="W31" s="67">
        <f>Config!$C36*Commandes!W13</f>
        <v>0</v>
      </c>
      <c r="X31" s="67">
        <f>Config!$C36*Commandes!X13</f>
        <v>0</v>
      </c>
      <c r="Y31" s="67">
        <f>Config!$C36*Commandes!Y13</f>
        <v>0</v>
      </c>
      <c r="Z31" s="67">
        <f>Config!$C36*Commandes!Z13</f>
        <v>0</v>
      </c>
      <c r="AA31" s="67">
        <f>Config!$C36*Commandes!AA13</f>
        <v>0</v>
      </c>
      <c r="AB31" s="67">
        <f>Config!$C36*Commandes!AB13</f>
        <v>0</v>
      </c>
      <c r="AC31" s="67">
        <f>Config!$C36*Commandes!AC13</f>
        <v>0</v>
      </c>
      <c r="AD31" s="67">
        <f>Config!$C36*Commandes!AD13</f>
        <v>0</v>
      </c>
      <c r="AE31" s="67">
        <f>Config!$C36*Commandes!AE13</f>
        <v>0</v>
      </c>
      <c r="AF31" s="67">
        <f>Config!$C36*Commandes!AF13</f>
        <v>0</v>
      </c>
      <c r="AG31" s="67">
        <f>Config!$C36*Commandes!AG13</f>
        <v>0</v>
      </c>
      <c r="AH31" s="67">
        <f>Config!$C36*Commandes!AH13</f>
        <v>0</v>
      </c>
      <c r="AI31" s="67">
        <f>Config!$C36*Commandes!AI13</f>
        <v>0</v>
      </c>
      <c r="AJ31" s="67">
        <f>Config!$C36*Commandes!AJ13</f>
        <v>0</v>
      </c>
      <c r="AK31" s="67">
        <f>Config!$C36*Commandes!AK13</f>
        <v>0</v>
      </c>
      <c r="AL31" s="67">
        <f>Config!$C36*Commandes!AL13</f>
        <v>0</v>
      </c>
      <c r="AM31" s="67">
        <f>Config!$C36*Commandes!AM13</f>
        <v>0</v>
      </c>
      <c r="AN31" s="67">
        <f>Config!$C36*Commandes!AN13</f>
        <v>0</v>
      </c>
      <c r="AO31" s="67">
        <f>Config!$C36*Commandes!AO13</f>
        <v>0</v>
      </c>
      <c r="AP31" s="67">
        <f>Config!$C36*Commandes!AP13</f>
        <v>0</v>
      </c>
      <c r="AQ31" s="67">
        <f>Config!$C36*Commandes!AQ13</f>
        <v>0</v>
      </c>
      <c r="AR31" s="67">
        <f>Config!$C36*Commandes!AR13</f>
        <v>0</v>
      </c>
      <c r="AS31" s="67">
        <f>Config!$C36*Commandes!AS13</f>
        <v>0</v>
      </c>
      <c r="AT31" s="67">
        <f>Config!$C36*Commandes!AT13</f>
        <v>0</v>
      </c>
      <c r="AU31" s="67">
        <f>Config!$C36*Commandes!AU13</f>
        <v>0</v>
      </c>
      <c r="AV31" s="67">
        <f>Config!$C36*Commandes!AV13</f>
        <v>0</v>
      </c>
      <c r="AW31" s="67">
        <f>Config!$C36*Commandes!AW13</f>
        <v>0</v>
      </c>
      <c r="AX31" s="67">
        <f>Config!$C36*Commandes!AX13</f>
        <v>0</v>
      </c>
      <c r="AY31" s="67">
        <f>Config!$C36*Commandes!AY13</f>
        <v>0</v>
      </c>
      <c r="AZ31" s="67">
        <f>Config!$C36*Commandes!AZ13</f>
        <v>0</v>
      </c>
      <c r="BA31" s="67">
        <f>Config!$C36*Commandes!BA13</f>
        <v>0</v>
      </c>
      <c r="BB31" s="67">
        <f>Config!$C36*Commandes!BB13</f>
        <v>0</v>
      </c>
      <c r="BC31" s="67">
        <f>Config!$C36*Commandes!BC13</f>
        <v>0</v>
      </c>
      <c r="BD31" s="67">
        <f>Config!$C36*Commandes!BD13</f>
        <v>0</v>
      </c>
      <c r="BE31" s="67">
        <f>Config!$C36*Commandes!BE13</f>
        <v>0</v>
      </c>
      <c r="BF31" s="67">
        <f>Config!$C36*Commandes!BF13</f>
        <v>0</v>
      </c>
      <c r="BG31" s="67">
        <f>Config!$C36*Commandes!BG13</f>
        <v>0</v>
      </c>
      <c r="BH31" s="67">
        <f>Config!$C36*Commandes!BH13</f>
        <v>0</v>
      </c>
      <c r="BI31" s="67">
        <f>Config!$C36*Commandes!BI13</f>
        <v>0</v>
      </c>
      <c r="BJ31" s="67">
        <f>Config!$C36*Commandes!BJ13</f>
        <v>0</v>
      </c>
      <c r="BK31" s="70"/>
    </row>
    <row r="32" spans="2:63" x14ac:dyDescent="0.2">
      <c r="B32" s="46">
        <f>Config!$B$19</f>
        <v>0</v>
      </c>
      <c r="C32" s="67">
        <f>Config!$C37*Commandes!C14</f>
        <v>0</v>
      </c>
      <c r="D32" s="67">
        <f>Config!$C37*Commandes!D14</f>
        <v>0</v>
      </c>
      <c r="E32" s="67">
        <f>Config!$C37*Commandes!E14</f>
        <v>0</v>
      </c>
      <c r="F32" s="67">
        <f>Config!$C37*Commandes!F14</f>
        <v>0</v>
      </c>
      <c r="G32" s="67">
        <f>Config!$C37*Commandes!G14</f>
        <v>0</v>
      </c>
      <c r="H32" s="67">
        <f>Config!$C37*Commandes!H14</f>
        <v>0</v>
      </c>
      <c r="I32" s="67">
        <f>Config!$C37*Commandes!I14</f>
        <v>0</v>
      </c>
      <c r="J32" s="67">
        <f>Config!$C37*Commandes!J14</f>
        <v>0</v>
      </c>
      <c r="K32" s="67">
        <f>Config!$C37*Commandes!K14</f>
        <v>0</v>
      </c>
      <c r="L32" s="67">
        <f>Config!$C37*Commandes!L14</f>
        <v>0</v>
      </c>
      <c r="M32" s="67">
        <f>Config!$C37*Commandes!M14</f>
        <v>0</v>
      </c>
      <c r="N32" s="67">
        <f>Config!$C37*Commandes!N14</f>
        <v>0</v>
      </c>
      <c r="O32" s="67">
        <f>Config!$C37*Commandes!O14</f>
        <v>0</v>
      </c>
      <c r="P32" s="67">
        <f>Config!$C37*Commandes!P14</f>
        <v>0</v>
      </c>
      <c r="Q32" s="67">
        <f>Config!$C37*Commandes!Q14</f>
        <v>0</v>
      </c>
      <c r="R32" s="67">
        <f>Config!$C37*Commandes!R14</f>
        <v>0</v>
      </c>
      <c r="S32" s="67">
        <f>Config!$C37*Commandes!S14</f>
        <v>0</v>
      </c>
      <c r="T32" s="67">
        <f>Config!$C37*Commandes!T14</f>
        <v>0</v>
      </c>
      <c r="U32" s="67">
        <f>Config!$C37*Commandes!U14</f>
        <v>0</v>
      </c>
      <c r="V32" s="67">
        <f>Config!$C37*Commandes!V14</f>
        <v>0</v>
      </c>
      <c r="W32" s="67">
        <f>Config!$C37*Commandes!W14</f>
        <v>0</v>
      </c>
      <c r="X32" s="67">
        <f>Config!$C37*Commandes!X14</f>
        <v>0</v>
      </c>
      <c r="Y32" s="67">
        <f>Config!$C37*Commandes!Y14</f>
        <v>0</v>
      </c>
      <c r="Z32" s="67">
        <f>Config!$C37*Commandes!Z14</f>
        <v>0</v>
      </c>
      <c r="AA32" s="67">
        <f>Config!$C37*Commandes!AA14</f>
        <v>0</v>
      </c>
      <c r="AB32" s="67">
        <f>Config!$C37*Commandes!AB14</f>
        <v>0</v>
      </c>
      <c r="AC32" s="67">
        <f>Config!$C37*Commandes!AC14</f>
        <v>0</v>
      </c>
      <c r="AD32" s="67">
        <f>Config!$C37*Commandes!AD14</f>
        <v>0</v>
      </c>
      <c r="AE32" s="67">
        <f>Config!$C37*Commandes!AE14</f>
        <v>0</v>
      </c>
      <c r="AF32" s="67">
        <f>Config!$C37*Commandes!AF14</f>
        <v>0</v>
      </c>
      <c r="AG32" s="67">
        <f>Config!$C37*Commandes!AG14</f>
        <v>0</v>
      </c>
      <c r="AH32" s="67">
        <f>Config!$C37*Commandes!AH14</f>
        <v>0</v>
      </c>
      <c r="AI32" s="67">
        <f>Config!$C37*Commandes!AI14</f>
        <v>0</v>
      </c>
      <c r="AJ32" s="67">
        <f>Config!$C37*Commandes!AJ14</f>
        <v>0</v>
      </c>
      <c r="AK32" s="67">
        <f>Config!$C37*Commandes!AK14</f>
        <v>0</v>
      </c>
      <c r="AL32" s="67">
        <f>Config!$C37*Commandes!AL14</f>
        <v>0</v>
      </c>
      <c r="AM32" s="67">
        <f>Config!$C37*Commandes!AM14</f>
        <v>0</v>
      </c>
      <c r="AN32" s="67">
        <f>Config!$C37*Commandes!AN14</f>
        <v>0</v>
      </c>
      <c r="AO32" s="67">
        <f>Config!$C37*Commandes!AO14</f>
        <v>0</v>
      </c>
      <c r="AP32" s="67">
        <f>Config!$C37*Commandes!AP14</f>
        <v>0</v>
      </c>
      <c r="AQ32" s="67">
        <f>Config!$C37*Commandes!AQ14</f>
        <v>0</v>
      </c>
      <c r="AR32" s="67">
        <f>Config!$C37*Commandes!AR14</f>
        <v>0</v>
      </c>
      <c r="AS32" s="67">
        <f>Config!$C37*Commandes!AS14</f>
        <v>0</v>
      </c>
      <c r="AT32" s="67">
        <f>Config!$C37*Commandes!AT14</f>
        <v>0</v>
      </c>
      <c r="AU32" s="67">
        <f>Config!$C37*Commandes!AU14</f>
        <v>0</v>
      </c>
      <c r="AV32" s="67">
        <f>Config!$C37*Commandes!AV14</f>
        <v>0</v>
      </c>
      <c r="AW32" s="67">
        <f>Config!$C37*Commandes!AW14</f>
        <v>0</v>
      </c>
      <c r="AX32" s="67">
        <f>Config!$C37*Commandes!AX14</f>
        <v>0</v>
      </c>
      <c r="AY32" s="67">
        <f>Config!$C37*Commandes!AY14</f>
        <v>0</v>
      </c>
      <c r="AZ32" s="67">
        <f>Config!$C37*Commandes!AZ14</f>
        <v>0</v>
      </c>
      <c r="BA32" s="67">
        <f>Config!$C37*Commandes!BA14</f>
        <v>0</v>
      </c>
      <c r="BB32" s="67">
        <f>Config!$C37*Commandes!BB14</f>
        <v>0</v>
      </c>
      <c r="BC32" s="67">
        <f>Config!$C37*Commandes!BC14</f>
        <v>0</v>
      </c>
      <c r="BD32" s="67">
        <f>Config!$C37*Commandes!BD14</f>
        <v>0</v>
      </c>
      <c r="BE32" s="67">
        <f>Config!$C37*Commandes!BE14</f>
        <v>0</v>
      </c>
      <c r="BF32" s="67">
        <f>Config!$C37*Commandes!BF14</f>
        <v>0</v>
      </c>
      <c r="BG32" s="67">
        <f>Config!$C37*Commandes!BG14</f>
        <v>0</v>
      </c>
      <c r="BH32" s="67">
        <f>Config!$C37*Commandes!BH14</f>
        <v>0</v>
      </c>
      <c r="BI32" s="67">
        <f>Config!$C37*Commandes!BI14</f>
        <v>0</v>
      </c>
      <c r="BJ32" s="67">
        <f>Config!$C37*Commandes!BJ14</f>
        <v>0</v>
      </c>
      <c r="BK32" s="70"/>
    </row>
    <row r="33" spans="2:63" x14ac:dyDescent="0.2">
      <c r="B33" s="46">
        <f>Config!$B$20</f>
        <v>0</v>
      </c>
      <c r="C33" s="67">
        <f>Config!$C38*Commandes!C15</f>
        <v>0</v>
      </c>
      <c r="D33" s="67">
        <f>Config!$C38*Commandes!D15</f>
        <v>0</v>
      </c>
      <c r="E33" s="67">
        <f>Config!$C38*Commandes!E15</f>
        <v>0</v>
      </c>
      <c r="F33" s="67">
        <f>Config!$C38*Commandes!F15</f>
        <v>0</v>
      </c>
      <c r="G33" s="67">
        <f>Config!$C38*Commandes!G15</f>
        <v>0</v>
      </c>
      <c r="H33" s="67">
        <f>Config!$C38*Commandes!H15</f>
        <v>0</v>
      </c>
      <c r="I33" s="67">
        <f>Config!$C38*Commandes!I15</f>
        <v>0</v>
      </c>
      <c r="J33" s="67">
        <f>Config!$C38*Commandes!J15</f>
        <v>0</v>
      </c>
      <c r="K33" s="67">
        <f>Config!$C38*Commandes!K15</f>
        <v>0</v>
      </c>
      <c r="L33" s="67">
        <f>Config!$C38*Commandes!L15</f>
        <v>0</v>
      </c>
      <c r="M33" s="67">
        <f>Config!$C38*Commandes!M15</f>
        <v>0</v>
      </c>
      <c r="N33" s="67">
        <f>Config!$C38*Commandes!N15</f>
        <v>0</v>
      </c>
      <c r="O33" s="67">
        <f>Config!$C38*Commandes!O15</f>
        <v>0</v>
      </c>
      <c r="P33" s="67">
        <f>Config!$C38*Commandes!P15</f>
        <v>0</v>
      </c>
      <c r="Q33" s="67">
        <f>Config!$C38*Commandes!Q15</f>
        <v>0</v>
      </c>
      <c r="R33" s="67">
        <f>Config!$C38*Commandes!R15</f>
        <v>0</v>
      </c>
      <c r="S33" s="67">
        <f>Config!$C38*Commandes!S15</f>
        <v>0</v>
      </c>
      <c r="T33" s="67">
        <f>Config!$C38*Commandes!T15</f>
        <v>0</v>
      </c>
      <c r="U33" s="67">
        <f>Config!$C38*Commandes!U15</f>
        <v>0</v>
      </c>
      <c r="V33" s="67">
        <f>Config!$C38*Commandes!V15</f>
        <v>0</v>
      </c>
      <c r="W33" s="67">
        <f>Config!$C38*Commandes!W15</f>
        <v>0</v>
      </c>
      <c r="X33" s="67">
        <f>Config!$C38*Commandes!X15</f>
        <v>0</v>
      </c>
      <c r="Y33" s="67">
        <f>Config!$C38*Commandes!Y15</f>
        <v>0</v>
      </c>
      <c r="Z33" s="67">
        <f>Config!$C38*Commandes!Z15</f>
        <v>0</v>
      </c>
      <c r="AA33" s="67">
        <f>Config!$C38*Commandes!AA15</f>
        <v>0</v>
      </c>
      <c r="AB33" s="67">
        <f>Config!$C38*Commandes!AB15</f>
        <v>0</v>
      </c>
      <c r="AC33" s="67">
        <f>Config!$C38*Commandes!AC15</f>
        <v>0</v>
      </c>
      <c r="AD33" s="67">
        <f>Config!$C38*Commandes!AD15</f>
        <v>0</v>
      </c>
      <c r="AE33" s="67">
        <f>Config!$C38*Commandes!AE15</f>
        <v>0</v>
      </c>
      <c r="AF33" s="67">
        <f>Config!$C38*Commandes!AF15</f>
        <v>0</v>
      </c>
      <c r="AG33" s="67">
        <f>Config!$C38*Commandes!AG15</f>
        <v>0</v>
      </c>
      <c r="AH33" s="67">
        <f>Config!$C38*Commandes!AH15</f>
        <v>0</v>
      </c>
      <c r="AI33" s="67">
        <f>Config!$C38*Commandes!AI15</f>
        <v>0</v>
      </c>
      <c r="AJ33" s="67">
        <f>Config!$C38*Commandes!AJ15</f>
        <v>0</v>
      </c>
      <c r="AK33" s="67">
        <f>Config!$C38*Commandes!AK15</f>
        <v>0</v>
      </c>
      <c r="AL33" s="67">
        <f>Config!$C38*Commandes!AL15</f>
        <v>0</v>
      </c>
      <c r="AM33" s="67">
        <f>Config!$C38*Commandes!AM15</f>
        <v>0</v>
      </c>
      <c r="AN33" s="67">
        <f>Config!$C38*Commandes!AN15</f>
        <v>0</v>
      </c>
      <c r="AO33" s="67">
        <f>Config!$C38*Commandes!AO15</f>
        <v>0</v>
      </c>
      <c r="AP33" s="67">
        <f>Config!$C38*Commandes!AP15</f>
        <v>0</v>
      </c>
      <c r="AQ33" s="67">
        <f>Config!$C38*Commandes!AQ15</f>
        <v>0</v>
      </c>
      <c r="AR33" s="67">
        <f>Config!$C38*Commandes!AR15</f>
        <v>0</v>
      </c>
      <c r="AS33" s="67">
        <f>Config!$C38*Commandes!AS15</f>
        <v>0</v>
      </c>
      <c r="AT33" s="67">
        <f>Config!$C38*Commandes!AT15</f>
        <v>0</v>
      </c>
      <c r="AU33" s="67">
        <f>Config!$C38*Commandes!AU15</f>
        <v>0</v>
      </c>
      <c r="AV33" s="67">
        <f>Config!$C38*Commandes!AV15</f>
        <v>0</v>
      </c>
      <c r="AW33" s="67">
        <f>Config!$C38*Commandes!AW15</f>
        <v>0</v>
      </c>
      <c r="AX33" s="67">
        <f>Config!$C38*Commandes!AX15</f>
        <v>0</v>
      </c>
      <c r="AY33" s="67">
        <f>Config!$C38*Commandes!AY15</f>
        <v>0</v>
      </c>
      <c r="AZ33" s="67">
        <f>Config!$C38*Commandes!AZ15</f>
        <v>0</v>
      </c>
      <c r="BA33" s="67">
        <f>Config!$C38*Commandes!BA15</f>
        <v>0</v>
      </c>
      <c r="BB33" s="67">
        <f>Config!$C38*Commandes!BB15</f>
        <v>0</v>
      </c>
      <c r="BC33" s="67">
        <f>Config!$C38*Commandes!BC15</f>
        <v>0</v>
      </c>
      <c r="BD33" s="67">
        <f>Config!$C38*Commandes!BD15</f>
        <v>0</v>
      </c>
      <c r="BE33" s="67">
        <f>Config!$C38*Commandes!BE15</f>
        <v>0</v>
      </c>
      <c r="BF33" s="67">
        <f>Config!$C38*Commandes!BF15</f>
        <v>0</v>
      </c>
      <c r="BG33" s="67">
        <f>Config!$C38*Commandes!BG15</f>
        <v>0</v>
      </c>
      <c r="BH33" s="67">
        <f>Config!$C38*Commandes!BH15</f>
        <v>0</v>
      </c>
      <c r="BI33" s="67">
        <f>Config!$C38*Commandes!BI15</f>
        <v>0</v>
      </c>
      <c r="BJ33" s="67">
        <f>Config!$C38*Commandes!BJ15</f>
        <v>0</v>
      </c>
      <c r="BK33" s="70"/>
    </row>
    <row r="34" spans="2:63" x14ac:dyDescent="0.2">
      <c r="B34" s="46">
        <f>Config!$B$21</f>
        <v>0</v>
      </c>
      <c r="C34" s="67">
        <f>Config!$C39*Commandes!C16</f>
        <v>0</v>
      </c>
      <c r="D34" s="67">
        <f>Config!$C39*Commandes!D16</f>
        <v>0</v>
      </c>
      <c r="E34" s="67">
        <f>Config!$C39*Commandes!E16</f>
        <v>0</v>
      </c>
      <c r="F34" s="67">
        <f>Config!$C39*Commandes!F16</f>
        <v>0</v>
      </c>
      <c r="G34" s="67">
        <f>Config!$C39*Commandes!G16</f>
        <v>0</v>
      </c>
      <c r="H34" s="67">
        <f>Config!$C39*Commandes!H16</f>
        <v>0</v>
      </c>
      <c r="I34" s="67">
        <f>Config!$C39*Commandes!I16</f>
        <v>0</v>
      </c>
      <c r="J34" s="67">
        <f>Config!$C39*Commandes!J16</f>
        <v>0</v>
      </c>
      <c r="K34" s="67">
        <f>Config!$C39*Commandes!K16</f>
        <v>0</v>
      </c>
      <c r="L34" s="67">
        <f>Config!$C39*Commandes!L16</f>
        <v>0</v>
      </c>
      <c r="M34" s="67">
        <f>Config!$C39*Commandes!M16</f>
        <v>0</v>
      </c>
      <c r="N34" s="67">
        <f>Config!$C39*Commandes!N16</f>
        <v>0</v>
      </c>
      <c r="O34" s="67">
        <f>Config!$C39*Commandes!O16</f>
        <v>0</v>
      </c>
      <c r="P34" s="67">
        <f>Config!$C39*Commandes!P16</f>
        <v>0</v>
      </c>
      <c r="Q34" s="67">
        <f>Config!$C39*Commandes!Q16</f>
        <v>0</v>
      </c>
      <c r="R34" s="67">
        <f>Config!$C39*Commandes!R16</f>
        <v>0</v>
      </c>
      <c r="S34" s="67">
        <f>Config!$C39*Commandes!S16</f>
        <v>0</v>
      </c>
      <c r="T34" s="67">
        <f>Config!$C39*Commandes!T16</f>
        <v>0</v>
      </c>
      <c r="U34" s="67">
        <f>Config!$C39*Commandes!U16</f>
        <v>0</v>
      </c>
      <c r="V34" s="67">
        <f>Config!$C39*Commandes!V16</f>
        <v>0</v>
      </c>
      <c r="W34" s="67">
        <f>Config!$C39*Commandes!W16</f>
        <v>0</v>
      </c>
      <c r="X34" s="67">
        <f>Config!$C39*Commandes!X16</f>
        <v>0</v>
      </c>
      <c r="Y34" s="67">
        <f>Config!$C39*Commandes!Y16</f>
        <v>0</v>
      </c>
      <c r="Z34" s="67">
        <f>Config!$C39*Commandes!Z16</f>
        <v>0</v>
      </c>
      <c r="AA34" s="67">
        <f>Config!$C39*Commandes!AA16</f>
        <v>0</v>
      </c>
      <c r="AB34" s="67">
        <f>Config!$C39*Commandes!AB16</f>
        <v>0</v>
      </c>
      <c r="AC34" s="67">
        <f>Config!$C39*Commandes!AC16</f>
        <v>0</v>
      </c>
      <c r="AD34" s="67">
        <f>Config!$C39*Commandes!AD16</f>
        <v>0</v>
      </c>
      <c r="AE34" s="67">
        <f>Config!$C39*Commandes!AE16</f>
        <v>0</v>
      </c>
      <c r="AF34" s="67">
        <f>Config!$C39*Commandes!AF16</f>
        <v>0</v>
      </c>
      <c r="AG34" s="67">
        <f>Config!$C39*Commandes!AG16</f>
        <v>0</v>
      </c>
      <c r="AH34" s="67">
        <f>Config!$C39*Commandes!AH16</f>
        <v>0</v>
      </c>
      <c r="AI34" s="67">
        <f>Config!$C39*Commandes!AI16</f>
        <v>0</v>
      </c>
      <c r="AJ34" s="67">
        <f>Config!$C39*Commandes!AJ16</f>
        <v>0</v>
      </c>
      <c r="AK34" s="67">
        <f>Config!$C39*Commandes!AK16</f>
        <v>0</v>
      </c>
      <c r="AL34" s="67">
        <f>Config!$C39*Commandes!AL16</f>
        <v>0</v>
      </c>
      <c r="AM34" s="67">
        <f>Config!$C39*Commandes!AM16</f>
        <v>0</v>
      </c>
      <c r="AN34" s="67">
        <f>Config!$C39*Commandes!AN16</f>
        <v>0</v>
      </c>
      <c r="AO34" s="67">
        <f>Config!$C39*Commandes!AO16</f>
        <v>0</v>
      </c>
      <c r="AP34" s="67">
        <f>Config!$C39*Commandes!AP16</f>
        <v>0</v>
      </c>
      <c r="AQ34" s="67">
        <f>Config!$C39*Commandes!AQ16</f>
        <v>0</v>
      </c>
      <c r="AR34" s="67">
        <f>Config!$C39*Commandes!AR16</f>
        <v>0</v>
      </c>
      <c r="AS34" s="67">
        <f>Config!$C39*Commandes!AS16</f>
        <v>0</v>
      </c>
      <c r="AT34" s="67">
        <f>Config!$C39*Commandes!AT16</f>
        <v>0</v>
      </c>
      <c r="AU34" s="67">
        <f>Config!$C39*Commandes!AU16</f>
        <v>0</v>
      </c>
      <c r="AV34" s="67">
        <f>Config!$C39*Commandes!AV16</f>
        <v>0</v>
      </c>
      <c r="AW34" s="67">
        <f>Config!$C39*Commandes!AW16</f>
        <v>0</v>
      </c>
      <c r="AX34" s="67">
        <f>Config!$C39*Commandes!AX16</f>
        <v>0</v>
      </c>
      <c r="AY34" s="67">
        <f>Config!$C39*Commandes!AY16</f>
        <v>0</v>
      </c>
      <c r="AZ34" s="67">
        <f>Config!$C39*Commandes!AZ16</f>
        <v>0</v>
      </c>
      <c r="BA34" s="67">
        <f>Config!$C39*Commandes!BA16</f>
        <v>0</v>
      </c>
      <c r="BB34" s="67">
        <f>Config!$C39*Commandes!BB16</f>
        <v>0</v>
      </c>
      <c r="BC34" s="67">
        <f>Config!$C39*Commandes!BC16</f>
        <v>0</v>
      </c>
      <c r="BD34" s="67">
        <f>Config!$C39*Commandes!BD16</f>
        <v>0</v>
      </c>
      <c r="BE34" s="67">
        <f>Config!$C39*Commandes!BE16</f>
        <v>0</v>
      </c>
      <c r="BF34" s="67">
        <f>Config!$C39*Commandes!BF16</f>
        <v>0</v>
      </c>
      <c r="BG34" s="67">
        <f>Config!$C39*Commandes!BG16</f>
        <v>0</v>
      </c>
      <c r="BH34" s="67">
        <f>Config!$C39*Commandes!BH16</f>
        <v>0</v>
      </c>
      <c r="BI34" s="67">
        <f>Config!$C39*Commandes!BI16</f>
        <v>0</v>
      </c>
      <c r="BJ34" s="67">
        <f>Config!$C39*Commandes!BJ16</f>
        <v>0</v>
      </c>
      <c r="BK34" s="70"/>
    </row>
    <row r="35" spans="2:63" x14ac:dyDescent="0.2">
      <c r="B35" s="46">
        <f>Config!$B$22</f>
        <v>0</v>
      </c>
      <c r="C35" s="67">
        <f>Config!$C40*Commandes!C17</f>
        <v>0</v>
      </c>
      <c r="D35" s="67">
        <f>Config!$C40*Commandes!D17</f>
        <v>0</v>
      </c>
      <c r="E35" s="67">
        <f>Config!$C40*Commandes!E17</f>
        <v>0</v>
      </c>
      <c r="F35" s="67">
        <f>Config!$C40*Commandes!F17</f>
        <v>0</v>
      </c>
      <c r="G35" s="67">
        <f>Config!$C40*Commandes!G17</f>
        <v>0</v>
      </c>
      <c r="H35" s="67">
        <f>Config!$C40*Commandes!H17</f>
        <v>0</v>
      </c>
      <c r="I35" s="67">
        <f>Config!$C40*Commandes!I17</f>
        <v>0</v>
      </c>
      <c r="J35" s="67">
        <f>Config!$C40*Commandes!J17</f>
        <v>0</v>
      </c>
      <c r="K35" s="67">
        <f>Config!$C40*Commandes!K17</f>
        <v>0</v>
      </c>
      <c r="L35" s="67">
        <f>Config!$C40*Commandes!L17</f>
        <v>0</v>
      </c>
      <c r="M35" s="67">
        <f>Config!$C40*Commandes!M17</f>
        <v>0</v>
      </c>
      <c r="N35" s="67">
        <f>Config!$C40*Commandes!N17</f>
        <v>0</v>
      </c>
      <c r="O35" s="67">
        <f>Config!$C40*Commandes!O17</f>
        <v>0</v>
      </c>
      <c r="P35" s="67">
        <f>Config!$C40*Commandes!P17</f>
        <v>0</v>
      </c>
      <c r="Q35" s="67">
        <f>Config!$C40*Commandes!Q17</f>
        <v>0</v>
      </c>
      <c r="R35" s="67">
        <f>Config!$C40*Commandes!R17</f>
        <v>0</v>
      </c>
      <c r="S35" s="67">
        <f>Config!$C40*Commandes!S17</f>
        <v>0</v>
      </c>
      <c r="T35" s="67">
        <f>Config!$C40*Commandes!T17</f>
        <v>0</v>
      </c>
      <c r="U35" s="67">
        <f>Config!$C40*Commandes!U17</f>
        <v>0</v>
      </c>
      <c r="V35" s="67">
        <f>Config!$C40*Commandes!V17</f>
        <v>0</v>
      </c>
      <c r="W35" s="67">
        <f>Config!$C40*Commandes!W17</f>
        <v>0</v>
      </c>
      <c r="X35" s="67">
        <f>Config!$C40*Commandes!X17</f>
        <v>0</v>
      </c>
      <c r="Y35" s="67">
        <f>Config!$C40*Commandes!Y17</f>
        <v>0</v>
      </c>
      <c r="Z35" s="67">
        <f>Config!$C40*Commandes!Z17</f>
        <v>0</v>
      </c>
      <c r="AA35" s="67">
        <f>Config!$C40*Commandes!AA17</f>
        <v>0</v>
      </c>
      <c r="AB35" s="67">
        <f>Config!$C40*Commandes!AB17</f>
        <v>0</v>
      </c>
      <c r="AC35" s="67">
        <f>Config!$C40*Commandes!AC17</f>
        <v>0</v>
      </c>
      <c r="AD35" s="67">
        <f>Config!$C40*Commandes!AD17</f>
        <v>0</v>
      </c>
      <c r="AE35" s="67">
        <f>Config!$C40*Commandes!AE17</f>
        <v>0</v>
      </c>
      <c r="AF35" s="67">
        <f>Config!$C40*Commandes!AF17</f>
        <v>0</v>
      </c>
      <c r="AG35" s="67">
        <f>Config!$C40*Commandes!AG17</f>
        <v>0</v>
      </c>
      <c r="AH35" s="67">
        <f>Config!$C40*Commandes!AH17</f>
        <v>0</v>
      </c>
      <c r="AI35" s="67">
        <f>Config!$C40*Commandes!AI17</f>
        <v>0</v>
      </c>
      <c r="AJ35" s="67">
        <f>Config!$C40*Commandes!AJ17</f>
        <v>0</v>
      </c>
      <c r="AK35" s="67">
        <f>Config!$C40*Commandes!AK17</f>
        <v>0</v>
      </c>
      <c r="AL35" s="67">
        <f>Config!$C40*Commandes!AL17</f>
        <v>0</v>
      </c>
      <c r="AM35" s="67">
        <f>Config!$C40*Commandes!AM17</f>
        <v>0</v>
      </c>
      <c r="AN35" s="67">
        <f>Config!$C40*Commandes!AN17</f>
        <v>0</v>
      </c>
      <c r="AO35" s="67">
        <f>Config!$C40*Commandes!AO17</f>
        <v>0</v>
      </c>
      <c r="AP35" s="67">
        <f>Config!$C40*Commandes!AP17</f>
        <v>0</v>
      </c>
      <c r="AQ35" s="67">
        <f>Config!$C40*Commandes!AQ17</f>
        <v>0</v>
      </c>
      <c r="AR35" s="67">
        <f>Config!$C40*Commandes!AR17</f>
        <v>0</v>
      </c>
      <c r="AS35" s="67">
        <f>Config!$C40*Commandes!AS17</f>
        <v>0</v>
      </c>
      <c r="AT35" s="67">
        <f>Config!$C40*Commandes!AT17</f>
        <v>0</v>
      </c>
      <c r="AU35" s="67">
        <f>Config!$C40*Commandes!AU17</f>
        <v>0</v>
      </c>
      <c r="AV35" s="67">
        <f>Config!$C40*Commandes!AV17</f>
        <v>0</v>
      </c>
      <c r="AW35" s="67">
        <f>Config!$C40*Commandes!AW17</f>
        <v>0</v>
      </c>
      <c r="AX35" s="67">
        <f>Config!$C40*Commandes!AX17</f>
        <v>0</v>
      </c>
      <c r="AY35" s="67">
        <f>Config!$C40*Commandes!AY17</f>
        <v>0</v>
      </c>
      <c r="AZ35" s="67">
        <f>Config!$C40*Commandes!AZ17</f>
        <v>0</v>
      </c>
      <c r="BA35" s="67">
        <f>Config!$C40*Commandes!BA17</f>
        <v>0</v>
      </c>
      <c r="BB35" s="67">
        <f>Config!$C40*Commandes!BB17</f>
        <v>0</v>
      </c>
      <c r="BC35" s="67">
        <f>Config!$C40*Commandes!BC17</f>
        <v>0</v>
      </c>
      <c r="BD35" s="67">
        <f>Config!$C40*Commandes!BD17</f>
        <v>0</v>
      </c>
      <c r="BE35" s="67">
        <f>Config!$C40*Commandes!BE17</f>
        <v>0</v>
      </c>
      <c r="BF35" s="67">
        <f>Config!$C40*Commandes!BF17</f>
        <v>0</v>
      </c>
      <c r="BG35" s="67">
        <f>Config!$C40*Commandes!BG17</f>
        <v>0</v>
      </c>
      <c r="BH35" s="67">
        <f>Config!$C40*Commandes!BH17</f>
        <v>0</v>
      </c>
      <c r="BI35" s="67">
        <f>Config!$C40*Commandes!BI17</f>
        <v>0</v>
      </c>
      <c r="BJ35" s="67">
        <f>Config!$C40*Commandes!BJ17</f>
        <v>0</v>
      </c>
      <c r="BK35" s="70"/>
    </row>
    <row r="36" spans="2:63" x14ac:dyDescent="0.2">
      <c r="B36" s="46">
        <f>Config!$B$23</f>
        <v>0</v>
      </c>
      <c r="C36" s="67">
        <f>Config!$C41*Commandes!C18</f>
        <v>0</v>
      </c>
      <c r="D36" s="67">
        <f>Config!$C41*Commandes!D18</f>
        <v>0</v>
      </c>
      <c r="E36" s="67">
        <f>Config!$C41*Commandes!E18</f>
        <v>0</v>
      </c>
      <c r="F36" s="67">
        <f>Config!$C41*Commandes!F18</f>
        <v>0</v>
      </c>
      <c r="G36" s="67">
        <f>Config!$C41*Commandes!G18</f>
        <v>0</v>
      </c>
      <c r="H36" s="67">
        <f>Config!$C41*Commandes!H18</f>
        <v>0</v>
      </c>
      <c r="I36" s="67">
        <f>Config!$C41*Commandes!I18</f>
        <v>0</v>
      </c>
      <c r="J36" s="67">
        <f>Config!$C41*Commandes!J18</f>
        <v>0</v>
      </c>
      <c r="K36" s="67">
        <f>Config!$C41*Commandes!K18</f>
        <v>0</v>
      </c>
      <c r="L36" s="67">
        <f>Config!$C41*Commandes!L18</f>
        <v>0</v>
      </c>
      <c r="M36" s="67">
        <f>Config!$C41*Commandes!M18</f>
        <v>0</v>
      </c>
      <c r="N36" s="67">
        <f>Config!$C41*Commandes!N18</f>
        <v>0</v>
      </c>
      <c r="O36" s="67">
        <f>Config!$C41*Commandes!O18</f>
        <v>0</v>
      </c>
      <c r="P36" s="67">
        <f>Config!$C41*Commandes!P18</f>
        <v>0</v>
      </c>
      <c r="Q36" s="67">
        <f>Config!$C41*Commandes!Q18</f>
        <v>0</v>
      </c>
      <c r="R36" s="67">
        <f>Config!$C41*Commandes!R18</f>
        <v>0</v>
      </c>
      <c r="S36" s="67">
        <f>Config!$C41*Commandes!S18</f>
        <v>0</v>
      </c>
      <c r="T36" s="67">
        <f>Config!$C41*Commandes!T18</f>
        <v>0</v>
      </c>
      <c r="U36" s="67">
        <f>Config!$C41*Commandes!U18</f>
        <v>0</v>
      </c>
      <c r="V36" s="67">
        <f>Config!$C41*Commandes!V18</f>
        <v>0</v>
      </c>
      <c r="W36" s="67">
        <f>Config!$C41*Commandes!W18</f>
        <v>0</v>
      </c>
      <c r="X36" s="67">
        <f>Config!$C41*Commandes!X18</f>
        <v>0</v>
      </c>
      <c r="Y36" s="67">
        <f>Config!$C41*Commandes!Y18</f>
        <v>0</v>
      </c>
      <c r="Z36" s="67">
        <f>Config!$C41*Commandes!Z18</f>
        <v>0</v>
      </c>
      <c r="AA36" s="67">
        <f>Config!$C41*Commandes!AA18</f>
        <v>0</v>
      </c>
      <c r="AB36" s="67">
        <f>Config!$C41*Commandes!AB18</f>
        <v>0</v>
      </c>
      <c r="AC36" s="67">
        <f>Config!$C41*Commandes!AC18</f>
        <v>0</v>
      </c>
      <c r="AD36" s="67">
        <f>Config!$C41*Commandes!AD18</f>
        <v>0</v>
      </c>
      <c r="AE36" s="67">
        <f>Config!$C41*Commandes!AE18</f>
        <v>0</v>
      </c>
      <c r="AF36" s="67">
        <f>Config!$C41*Commandes!AF18</f>
        <v>0</v>
      </c>
      <c r="AG36" s="67">
        <f>Config!$C41*Commandes!AG18</f>
        <v>0</v>
      </c>
      <c r="AH36" s="67">
        <f>Config!$C41*Commandes!AH18</f>
        <v>0</v>
      </c>
      <c r="AI36" s="67">
        <f>Config!$C41*Commandes!AI18</f>
        <v>0</v>
      </c>
      <c r="AJ36" s="67">
        <f>Config!$C41*Commandes!AJ18</f>
        <v>0</v>
      </c>
      <c r="AK36" s="67">
        <f>Config!$C41*Commandes!AK18</f>
        <v>0</v>
      </c>
      <c r="AL36" s="67">
        <f>Config!$C41*Commandes!AL18</f>
        <v>0</v>
      </c>
      <c r="AM36" s="67">
        <f>Config!$C41*Commandes!AM18</f>
        <v>0</v>
      </c>
      <c r="AN36" s="67">
        <f>Config!$C41*Commandes!AN18</f>
        <v>0</v>
      </c>
      <c r="AO36" s="67">
        <f>Config!$C41*Commandes!AO18</f>
        <v>0</v>
      </c>
      <c r="AP36" s="67">
        <f>Config!$C41*Commandes!AP18</f>
        <v>0</v>
      </c>
      <c r="AQ36" s="67">
        <f>Config!$C41*Commandes!AQ18</f>
        <v>0</v>
      </c>
      <c r="AR36" s="67">
        <f>Config!$C41*Commandes!AR18</f>
        <v>0</v>
      </c>
      <c r="AS36" s="67">
        <f>Config!$C41*Commandes!AS18</f>
        <v>0</v>
      </c>
      <c r="AT36" s="67">
        <f>Config!$C41*Commandes!AT18</f>
        <v>0</v>
      </c>
      <c r="AU36" s="67">
        <f>Config!$C41*Commandes!AU18</f>
        <v>0</v>
      </c>
      <c r="AV36" s="67">
        <f>Config!$C41*Commandes!AV18</f>
        <v>0</v>
      </c>
      <c r="AW36" s="67">
        <f>Config!$C41*Commandes!AW18</f>
        <v>0</v>
      </c>
      <c r="AX36" s="67">
        <f>Config!$C41*Commandes!AX18</f>
        <v>0</v>
      </c>
      <c r="AY36" s="67">
        <f>Config!$C41*Commandes!AY18</f>
        <v>0</v>
      </c>
      <c r="AZ36" s="67">
        <f>Config!$C41*Commandes!AZ18</f>
        <v>0</v>
      </c>
      <c r="BA36" s="67">
        <f>Config!$C41*Commandes!BA18</f>
        <v>0</v>
      </c>
      <c r="BB36" s="67">
        <f>Config!$C41*Commandes!BB18</f>
        <v>0</v>
      </c>
      <c r="BC36" s="67">
        <f>Config!$C41*Commandes!BC18</f>
        <v>0</v>
      </c>
      <c r="BD36" s="67">
        <f>Config!$C41*Commandes!BD18</f>
        <v>0</v>
      </c>
      <c r="BE36" s="67">
        <f>Config!$C41*Commandes!BE18</f>
        <v>0</v>
      </c>
      <c r="BF36" s="67">
        <f>Config!$C41*Commandes!BF18</f>
        <v>0</v>
      </c>
      <c r="BG36" s="67">
        <f>Config!$C41*Commandes!BG18</f>
        <v>0</v>
      </c>
      <c r="BH36" s="67">
        <f>Config!$C41*Commandes!BH18</f>
        <v>0</v>
      </c>
      <c r="BI36" s="67">
        <f>Config!$C41*Commandes!BI18</f>
        <v>0</v>
      </c>
      <c r="BJ36" s="67">
        <f>Config!$C41*Commandes!BJ18</f>
        <v>0</v>
      </c>
      <c r="BK36" s="70"/>
    </row>
    <row r="37" spans="2:63" x14ac:dyDescent="0.2">
      <c r="B37" s="46">
        <f>Config!$B$24</f>
        <v>0</v>
      </c>
      <c r="C37" s="67">
        <f>Config!$C42*Commandes!C19</f>
        <v>0</v>
      </c>
      <c r="D37" s="67">
        <f>Config!$C42*Commandes!D19</f>
        <v>0</v>
      </c>
      <c r="E37" s="67">
        <f>Config!$C42*Commandes!E19</f>
        <v>0</v>
      </c>
      <c r="F37" s="67">
        <f>Config!$C42*Commandes!F19</f>
        <v>0</v>
      </c>
      <c r="G37" s="67">
        <f>Config!$C42*Commandes!G19</f>
        <v>0</v>
      </c>
      <c r="H37" s="67">
        <f>Config!$C42*Commandes!H19</f>
        <v>0</v>
      </c>
      <c r="I37" s="67">
        <f>Config!$C42*Commandes!I19</f>
        <v>0</v>
      </c>
      <c r="J37" s="67">
        <f>Config!$C42*Commandes!J19</f>
        <v>0</v>
      </c>
      <c r="K37" s="67">
        <f>Config!$C42*Commandes!K19</f>
        <v>0</v>
      </c>
      <c r="L37" s="67">
        <f>Config!$C42*Commandes!L19</f>
        <v>0</v>
      </c>
      <c r="M37" s="67">
        <f>Config!$C42*Commandes!M19</f>
        <v>0</v>
      </c>
      <c r="N37" s="67">
        <f>Config!$C42*Commandes!N19</f>
        <v>0</v>
      </c>
      <c r="O37" s="67">
        <f>Config!$C42*Commandes!O19</f>
        <v>0</v>
      </c>
      <c r="P37" s="67">
        <f>Config!$C42*Commandes!P19</f>
        <v>0</v>
      </c>
      <c r="Q37" s="67">
        <f>Config!$C42*Commandes!Q19</f>
        <v>0</v>
      </c>
      <c r="R37" s="67">
        <f>Config!$C42*Commandes!R19</f>
        <v>0</v>
      </c>
      <c r="S37" s="67">
        <f>Config!$C42*Commandes!S19</f>
        <v>0</v>
      </c>
      <c r="T37" s="67">
        <f>Config!$C42*Commandes!T19</f>
        <v>0</v>
      </c>
      <c r="U37" s="67">
        <f>Config!$C42*Commandes!U19</f>
        <v>0</v>
      </c>
      <c r="V37" s="67">
        <f>Config!$C42*Commandes!V19</f>
        <v>0</v>
      </c>
      <c r="W37" s="67">
        <f>Config!$C42*Commandes!W19</f>
        <v>0</v>
      </c>
      <c r="X37" s="67">
        <f>Config!$C42*Commandes!X19</f>
        <v>0</v>
      </c>
      <c r="Y37" s="67">
        <f>Config!$C42*Commandes!Y19</f>
        <v>0</v>
      </c>
      <c r="Z37" s="67">
        <f>Config!$C42*Commandes!Z19</f>
        <v>0</v>
      </c>
      <c r="AA37" s="67">
        <f>Config!$C42*Commandes!AA19</f>
        <v>0</v>
      </c>
      <c r="AB37" s="67">
        <f>Config!$C42*Commandes!AB19</f>
        <v>0</v>
      </c>
      <c r="AC37" s="67">
        <f>Config!$C42*Commandes!AC19</f>
        <v>0</v>
      </c>
      <c r="AD37" s="67">
        <f>Config!$C42*Commandes!AD19</f>
        <v>0</v>
      </c>
      <c r="AE37" s="67">
        <f>Config!$C42*Commandes!AE19</f>
        <v>0</v>
      </c>
      <c r="AF37" s="67">
        <f>Config!$C42*Commandes!AF19</f>
        <v>0</v>
      </c>
      <c r="AG37" s="67">
        <f>Config!$C42*Commandes!AG19</f>
        <v>0</v>
      </c>
      <c r="AH37" s="67">
        <f>Config!$C42*Commandes!AH19</f>
        <v>0</v>
      </c>
      <c r="AI37" s="67">
        <f>Config!$C42*Commandes!AI19</f>
        <v>0</v>
      </c>
      <c r="AJ37" s="67">
        <f>Config!$C42*Commandes!AJ19</f>
        <v>0</v>
      </c>
      <c r="AK37" s="67">
        <f>Config!$C42*Commandes!AK19</f>
        <v>0</v>
      </c>
      <c r="AL37" s="67">
        <f>Config!$C42*Commandes!AL19</f>
        <v>0</v>
      </c>
      <c r="AM37" s="67">
        <f>Config!$C42*Commandes!AM19</f>
        <v>0</v>
      </c>
      <c r="AN37" s="67">
        <f>Config!$C42*Commandes!AN19</f>
        <v>0</v>
      </c>
      <c r="AO37" s="67">
        <f>Config!$C42*Commandes!AO19</f>
        <v>0</v>
      </c>
      <c r="AP37" s="67">
        <f>Config!$C42*Commandes!AP19</f>
        <v>0</v>
      </c>
      <c r="AQ37" s="67">
        <f>Config!$C42*Commandes!AQ19</f>
        <v>0</v>
      </c>
      <c r="AR37" s="67">
        <f>Config!$C42*Commandes!AR19</f>
        <v>0</v>
      </c>
      <c r="AS37" s="67">
        <f>Config!$C42*Commandes!AS19</f>
        <v>0</v>
      </c>
      <c r="AT37" s="67">
        <f>Config!$C42*Commandes!AT19</f>
        <v>0</v>
      </c>
      <c r="AU37" s="67">
        <f>Config!$C42*Commandes!AU19</f>
        <v>0</v>
      </c>
      <c r="AV37" s="67">
        <f>Config!$C42*Commandes!AV19</f>
        <v>0</v>
      </c>
      <c r="AW37" s="67">
        <f>Config!$C42*Commandes!AW19</f>
        <v>0</v>
      </c>
      <c r="AX37" s="67">
        <f>Config!$C42*Commandes!AX19</f>
        <v>0</v>
      </c>
      <c r="AY37" s="67">
        <f>Config!$C42*Commandes!AY19</f>
        <v>0</v>
      </c>
      <c r="AZ37" s="67">
        <f>Config!$C42*Commandes!AZ19</f>
        <v>0</v>
      </c>
      <c r="BA37" s="67">
        <f>Config!$C42*Commandes!BA19</f>
        <v>0</v>
      </c>
      <c r="BB37" s="67">
        <f>Config!$C42*Commandes!BB19</f>
        <v>0</v>
      </c>
      <c r="BC37" s="67">
        <f>Config!$C42*Commandes!BC19</f>
        <v>0</v>
      </c>
      <c r="BD37" s="67">
        <f>Config!$C42*Commandes!BD19</f>
        <v>0</v>
      </c>
      <c r="BE37" s="67">
        <f>Config!$C42*Commandes!BE19</f>
        <v>0</v>
      </c>
      <c r="BF37" s="67">
        <f>Config!$C42*Commandes!BF19</f>
        <v>0</v>
      </c>
      <c r="BG37" s="67">
        <f>Config!$C42*Commandes!BG19</f>
        <v>0</v>
      </c>
      <c r="BH37" s="67">
        <f>Config!$C42*Commandes!BH19</f>
        <v>0</v>
      </c>
      <c r="BI37" s="67">
        <f>Config!$C42*Commandes!BI19</f>
        <v>0</v>
      </c>
      <c r="BJ37" s="67">
        <f>Config!$C42*Commandes!BJ19</f>
        <v>0</v>
      </c>
      <c r="BK37" s="70"/>
    </row>
    <row r="38" spans="2:63" x14ac:dyDescent="0.2">
      <c r="B38" s="46">
        <f>Config!$B$25</f>
        <v>0</v>
      </c>
      <c r="C38" s="67">
        <f>Config!$C43*Commandes!C20</f>
        <v>0</v>
      </c>
      <c r="D38" s="67">
        <f>Config!$C43*Commandes!D20</f>
        <v>0</v>
      </c>
      <c r="E38" s="67">
        <f>Config!$C43*Commandes!E20</f>
        <v>0</v>
      </c>
      <c r="F38" s="67">
        <f>Config!$C43*Commandes!F20</f>
        <v>0</v>
      </c>
      <c r="G38" s="67">
        <f>Config!$C43*Commandes!G20</f>
        <v>0</v>
      </c>
      <c r="H38" s="67">
        <f>Config!$C43*Commandes!H20</f>
        <v>0</v>
      </c>
      <c r="I38" s="67">
        <f>Config!$C43*Commandes!I20</f>
        <v>0</v>
      </c>
      <c r="J38" s="67">
        <f>Config!$C43*Commandes!J20</f>
        <v>0</v>
      </c>
      <c r="K38" s="67">
        <f>Config!$C43*Commandes!K20</f>
        <v>0</v>
      </c>
      <c r="L38" s="67">
        <f>Config!$C43*Commandes!L20</f>
        <v>0</v>
      </c>
      <c r="M38" s="67">
        <f>Config!$C43*Commandes!M20</f>
        <v>0</v>
      </c>
      <c r="N38" s="67">
        <f>Config!$C43*Commandes!N20</f>
        <v>0</v>
      </c>
      <c r="O38" s="67">
        <f>Config!$C43*Commandes!O20</f>
        <v>0</v>
      </c>
      <c r="P38" s="67">
        <f>Config!$C43*Commandes!P20</f>
        <v>0</v>
      </c>
      <c r="Q38" s="67">
        <f>Config!$C43*Commandes!Q20</f>
        <v>0</v>
      </c>
      <c r="R38" s="67">
        <f>Config!$C43*Commandes!R20</f>
        <v>0</v>
      </c>
      <c r="S38" s="67">
        <f>Config!$C43*Commandes!S20</f>
        <v>0</v>
      </c>
      <c r="T38" s="67">
        <f>Config!$C43*Commandes!T20</f>
        <v>0</v>
      </c>
      <c r="U38" s="67">
        <f>Config!$C43*Commandes!U20</f>
        <v>0</v>
      </c>
      <c r="V38" s="67">
        <f>Config!$C43*Commandes!V20</f>
        <v>0</v>
      </c>
      <c r="W38" s="67">
        <f>Config!$C43*Commandes!W20</f>
        <v>0</v>
      </c>
      <c r="X38" s="67">
        <f>Config!$C43*Commandes!X20</f>
        <v>0</v>
      </c>
      <c r="Y38" s="67">
        <f>Config!$C43*Commandes!Y20</f>
        <v>0</v>
      </c>
      <c r="Z38" s="67">
        <f>Config!$C43*Commandes!Z20</f>
        <v>0</v>
      </c>
      <c r="AA38" s="67">
        <f>Config!$C43*Commandes!AA20</f>
        <v>0</v>
      </c>
      <c r="AB38" s="67">
        <f>Config!$C43*Commandes!AB20</f>
        <v>0</v>
      </c>
      <c r="AC38" s="67">
        <f>Config!$C43*Commandes!AC20</f>
        <v>0</v>
      </c>
      <c r="AD38" s="67">
        <f>Config!$C43*Commandes!AD20</f>
        <v>0</v>
      </c>
      <c r="AE38" s="67">
        <f>Config!$C43*Commandes!AE20</f>
        <v>0</v>
      </c>
      <c r="AF38" s="67">
        <f>Config!$C43*Commandes!AF20</f>
        <v>0</v>
      </c>
      <c r="AG38" s="67">
        <f>Config!$C43*Commandes!AG20</f>
        <v>0</v>
      </c>
      <c r="AH38" s="67">
        <f>Config!$C43*Commandes!AH20</f>
        <v>0</v>
      </c>
      <c r="AI38" s="67">
        <f>Config!$C43*Commandes!AI20</f>
        <v>0</v>
      </c>
      <c r="AJ38" s="67">
        <f>Config!$C43*Commandes!AJ20</f>
        <v>0</v>
      </c>
      <c r="AK38" s="67">
        <f>Config!$C43*Commandes!AK20</f>
        <v>0</v>
      </c>
      <c r="AL38" s="67">
        <f>Config!$C43*Commandes!AL20</f>
        <v>0</v>
      </c>
      <c r="AM38" s="67">
        <f>Config!$C43*Commandes!AM20</f>
        <v>0</v>
      </c>
      <c r="AN38" s="67">
        <f>Config!$C43*Commandes!AN20</f>
        <v>0</v>
      </c>
      <c r="AO38" s="67">
        <f>Config!$C43*Commandes!AO20</f>
        <v>0</v>
      </c>
      <c r="AP38" s="67">
        <f>Config!$C43*Commandes!AP20</f>
        <v>0</v>
      </c>
      <c r="AQ38" s="67">
        <f>Config!$C43*Commandes!AQ20</f>
        <v>0</v>
      </c>
      <c r="AR38" s="67">
        <f>Config!$C43*Commandes!AR20</f>
        <v>0</v>
      </c>
      <c r="AS38" s="67">
        <f>Config!$C43*Commandes!AS20</f>
        <v>0</v>
      </c>
      <c r="AT38" s="67">
        <f>Config!$C43*Commandes!AT20</f>
        <v>0</v>
      </c>
      <c r="AU38" s="67">
        <f>Config!$C43*Commandes!AU20</f>
        <v>0</v>
      </c>
      <c r="AV38" s="67">
        <f>Config!$C43*Commandes!AV20</f>
        <v>0</v>
      </c>
      <c r="AW38" s="67">
        <f>Config!$C43*Commandes!AW20</f>
        <v>0</v>
      </c>
      <c r="AX38" s="67">
        <f>Config!$C43*Commandes!AX20</f>
        <v>0</v>
      </c>
      <c r="AY38" s="67">
        <f>Config!$C43*Commandes!AY20</f>
        <v>0</v>
      </c>
      <c r="AZ38" s="67">
        <f>Config!$C43*Commandes!AZ20</f>
        <v>0</v>
      </c>
      <c r="BA38" s="67">
        <f>Config!$C43*Commandes!BA20</f>
        <v>0</v>
      </c>
      <c r="BB38" s="67">
        <f>Config!$C43*Commandes!BB20</f>
        <v>0</v>
      </c>
      <c r="BC38" s="67">
        <f>Config!$C43*Commandes!BC20</f>
        <v>0</v>
      </c>
      <c r="BD38" s="67">
        <f>Config!$C43*Commandes!BD20</f>
        <v>0</v>
      </c>
      <c r="BE38" s="67">
        <f>Config!$C43*Commandes!BE20</f>
        <v>0</v>
      </c>
      <c r="BF38" s="67">
        <f>Config!$C43*Commandes!BF20</f>
        <v>0</v>
      </c>
      <c r="BG38" s="67">
        <f>Config!$C43*Commandes!BG20</f>
        <v>0</v>
      </c>
      <c r="BH38" s="67">
        <f>Config!$C43*Commandes!BH20</f>
        <v>0</v>
      </c>
      <c r="BI38" s="67">
        <f>Config!$C43*Commandes!BI20</f>
        <v>0</v>
      </c>
      <c r="BJ38" s="67">
        <f>Config!$C43*Commandes!BJ20</f>
        <v>0</v>
      </c>
      <c r="BK38" s="70"/>
    </row>
    <row r="39" spans="2:63" x14ac:dyDescent="0.2">
      <c r="B39" s="115"/>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row>
    <row r="40" spans="2:63" x14ac:dyDescent="0.2">
      <c r="B40" s="144" t="s">
        <v>97</v>
      </c>
      <c r="C40" s="67">
        <f t="shared" ref="C40:AH40" si="11">SUM(C27:C38)</f>
        <v>448</v>
      </c>
      <c r="D40" s="67">
        <f t="shared" si="11"/>
        <v>1029.5</v>
      </c>
      <c r="E40" s="67">
        <f t="shared" si="11"/>
        <v>1853.5</v>
      </c>
      <c r="F40" s="67">
        <f t="shared" si="11"/>
        <v>3553</v>
      </c>
      <c r="G40" s="67">
        <f t="shared" si="11"/>
        <v>5225</v>
      </c>
      <c r="H40" s="67">
        <f t="shared" si="11"/>
        <v>6996</v>
      </c>
      <c r="I40" s="67">
        <f t="shared" si="11"/>
        <v>6800</v>
      </c>
      <c r="J40" s="67">
        <f t="shared" si="11"/>
        <v>6179</v>
      </c>
      <c r="K40" s="67">
        <f t="shared" si="11"/>
        <v>10319</v>
      </c>
      <c r="L40" s="67">
        <f t="shared" si="11"/>
        <v>10438</v>
      </c>
      <c r="M40" s="67">
        <f t="shared" si="11"/>
        <v>11383</v>
      </c>
      <c r="N40" s="67">
        <f t="shared" si="11"/>
        <v>15132.5</v>
      </c>
      <c r="O40" s="67">
        <f t="shared" si="11"/>
        <v>14524</v>
      </c>
      <c r="P40" s="67">
        <f t="shared" si="11"/>
        <v>14666</v>
      </c>
      <c r="Q40" s="67">
        <f t="shared" si="11"/>
        <v>16059</v>
      </c>
      <c r="R40" s="67">
        <f t="shared" si="11"/>
        <v>18581.5</v>
      </c>
      <c r="S40" s="67">
        <f t="shared" si="11"/>
        <v>21442</v>
      </c>
      <c r="T40" s="67">
        <f t="shared" si="11"/>
        <v>23877.5</v>
      </c>
      <c r="U40" s="67">
        <f t="shared" si="11"/>
        <v>23474</v>
      </c>
      <c r="V40" s="67">
        <f t="shared" si="11"/>
        <v>23133.5</v>
      </c>
      <c r="W40" s="67">
        <f t="shared" si="11"/>
        <v>29830.5</v>
      </c>
      <c r="X40" s="67">
        <f t="shared" si="11"/>
        <v>29742</v>
      </c>
      <c r="Y40" s="67">
        <f t="shared" si="11"/>
        <v>31317</v>
      </c>
      <c r="Z40" s="67">
        <f t="shared" si="11"/>
        <v>36975</v>
      </c>
      <c r="AA40" s="67">
        <f t="shared" si="11"/>
        <v>36602.5</v>
      </c>
      <c r="AB40" s="67">
        <f t="shared" si="11"/>
        <v>35884</v>
      </c>
      <c r="AC40" s="67">
        <f t="shared" si="11"/>
        <v>37655</v>
      </c>
      <c r="AD40" s="67">
        <f t="shared" si="11"/>
        <v>40177.5</v>
      </c>
      <c r="AE40" s="67">
        <f t="shared" si="11"/>
        <v>43463</v>
      </c>
      <c r="AF40" s="67">
        <f t="shared" si="11"/>
        <v>46323.5</v>
      </c>
      <c r="AG40" s="67">
        <f t="shared" si="11"/>
        <v>44755</v>
      </c>
      <c r="AH40" s="67">
        <f t="shared" si="11"/>
        <v>44099.5</v>
      </c>
      <c r="AI40" s="67">
        <f t="shared" ref="AI40:BJ40" si="12">SUM(AI27:AI38)</f>
        <v>50701.5</v>
      </c>
      <c r="AJ40" s="67">
        <f t="shared" si="12"/>
        <v>49763</v>
      </c>
      <c r="AK40" s="67">
        <f t="shared" si="12"/>
        <v>51338</v>
      </c>
      <c r="AL40" s="67">
        <f t="shared" si="12"/>
        <v>59887.5</v>
      </c>
      <c r="AM40" s="67">
        <f t="shared" si="12"/>
        <v>59551.5</v>
      </c>
      <c r="AN40" s="67">
        <f t="shared" si="12"/>
        <v>57605</v>
      </c>
      <c r="AO40" s="67">
        <f t="shared" si="12"/>
        <v>60116</v>
      </c>
      <c r="AP40" s="67">
        <f t="shared" si="12"/>
        <v>64531</v>
      </c>
      <c r="AQ40" s="67">
        <f t="shared" si="12"/>
        <v>69272.5</v>
      </c>
      <c r="AR40" s="67">
        <f t="shared" si="12"/>
        <v>74086</v>
      </c>
      <c r="AS40" s="67">
        <f t="shared" si="12"/>
        <v>72391.5</v>
      </c>
      <c r="AT40" s="67">
        <f t="shared" si="12"/>
        <v>71453</v>
      </c>
      <c r="AU40" s="67">
        <f t="shared" si="12"/>
        <v>82086</v>
      </c>
      <c r="AV40" s="67">
        <f t="shared" si="12"/>
        <v>81494.5</v>
      </c>
      <c r="AW40" s="67">
        <f t="shared" si="12"/>
        <v>84644.5</v>
      </c>
      <c r="AX40" s="67">
        <f t="shared" si="12"/>
        <v>97282.5</v>
      </c>
      <c r="AY40" s="67">
        <f t="shared" si="12"/>
        <v>96511</v>
      </c>
      <c r="AZ40" s="67">
        <f t="shared" si="12"/>
        <v>93966.5</v>
      </c>
      <c r="BA40" s="67">
        <f t="shared" si="12"/>
        <v>97182</v>
      </c>
      <c r="BB40" s="67">
        <f t="shared" si="12"/>
        <v>95218.5</v>
      </c>
      <c r="BC40" s="67">
        <f t="shared" si="12"/>
        <v>110667.5</v>
      </c>
      <c r="BD40" s="67">
        <f t="shared" si="12"/>
        <v>118341.5</v>
      </c>
      <c r="BE40" s="67">
        <f t="shared" si="12"/>
        <v>116558.5</v>
      </c>
      <c r="BF40" s="67">
        <f t="shared" si="12"/>
        <v>115437.5</v>
      </c>
      <c r="BG40" s="67">
        <f t="shared" si="12"/>
        <v>132672.5</v>
      </c>
      <c r="BH40" s="67">
        <f t="shared" si="12"/>
        <v>131142.5</v>
      </c>
      <c r="BI40" s="67">
        <f t="shared" si="12"/>
        <v>135867.5</v>
      </c>
      <c r="BJ40" s="67">
        <f t="shared" si="12"/>
        <v>156682.5</v>
      </c>
      <c r="BK40" s="70"/>
    </row>
    <row r="41" spans="2:63" x14ac:dyDescent="0.2">
      <c r="B41" s="144" t="s">
        <v>101</v>
      </c>
      <c r="C41" s="67">
        <f>C40</f>
        <v>448</v>
      </c>
      <c r="D41" s="67">
        <f t="shared" ref="D41:N41" si="13">C41+D40</f>
        <v>1477.5</v>
      </c>
      <c r="E41" s="67">
        <f t="shared" si="13"/>
        <v>3331</v>
      </c>
      <c r="F41" s="67">
        <f t="shared" si="13"/>
        <v>6884</v>
      </c>
      <c r="G41" s="67">
        <f t="shared" si="13"/>
        <v>12109</v>
      </c>
      <c r="H41" s="67">
        <f t="shared" si="13"/>
        <v>19105</v>
      </c>
      <c r="I41" s="67">
        <f t="shared" si="13"/>
        <v>25905</v>
      </c>
      <c r="J41" s="67">
        <f t="shared" si="13"/>
        <v>32084</v>
      </c>
      <c r="K41" s="67">
        <f t="shared" si="13"/>
        <v>42403</v>
      </c>
      <c r="L41" s="67">
        <f t="shared" si="13"/>
        <v>52841</v>
      </c>
      <c r="M41" s="67">
        <f t="shared" si="13"/>
        <v>64224</v>
      </c>
      <c r="N41" s="83">
        <f t="shared" si="13"/>
        <v>79356.5</v>
      </c>
      <c r="O41" s="67">
        <f>O40</f>
        <v>14524</v>
      </c>
      <c r="P41" s="67">
        <f t="shared" ref="P41:Z41" si="14">O41+P40</f>
        <v>29190</v>
      </c>
      <c r="Q41" s="67">
        <f t="shared" si="14"/>
        <v>45249</v>
      </c>
      <c r="R41" s="67">
        <f t="shared" si="14"/>
        <v>63830.5</v>
      </c>
      <c r="S41" s="67">
        <f t="shared" si="14"/>
        <v>85272.5</v>
      </c>
      <c r="T41" s="67">
        <f t="shared" si="14"/>
        <v>109150</v>
      </c>
      <c r="U41" s="67">
        <f t="shared" si="14"/>
        <v>132624</v>
      </c>
      <c r="V41" s="67">
        <f t="shared" si="14"/>
        <v>155757.5</v>
      </c>
      <c r="W41" s="67">
        <f t="shared" si="14"/>
        <v>185588</v>
      </c>
      <c r="X41" s="67">
        <f t="shared" si="14"/>
        <v>215330</v>
      </c>
      <c r="Y41" s="67">
        <f t="shared" si="14"/>
        <v>246647</v>
      </c>
      <c r="Z41" s="83">
        <f t="shared" si="14"/>
        <v>283622</v>
      </c>
      <c r="AA41" s="67">
        <f>AA40</f>
        <v>36602.5</v>
      </c>
      <c r="AB41" s="67">
        <f t="shared" ref="AB41:AL41" si="15">AA41+AB40</f>
        <v>72486.5</v>
      </c>
      <c r="AC41" s="67">
        <f t="shared" si="15"/>
        <v>110141.5</v>
      </c>
      <c r="AD41" s="67">
        <f t="shared" si="15"/>
        <v>150319</v>
      </c>
      <c r="AE41" s="67">
        <f t="shared" si="15"/>
        <v>193782</v>
      </c>
      <c r="AF41" s="67">
        <f t="shared" si="15"/>
        <v>240105.5</v>
      </c>
      <c r="AG41" s="67">
        <f t="shared" si="15"/>
        <v>284860.5</v>
      </c>
      <c r="AH41" s="67">
        <f t="shared" si="15"/>
        <v>328960</v>
      </c>
      <c r="AI41" s="67">
        <f t="shared" si="15"/>
        <v>379661.5</v>
      </c>
      <c r="AJ41" s="67">
        <f t="shared" si="15"/>
        <v>429424.5</v>
      </c>
      <c r="AK41" s="67">
        <f t="shared" si="15"/>
        <v>480762.5</v>
      </c>
      <c r="AL41" s="83">
        <f t="shared" si="15"/>
        <v>540650</v>
      </c>
      <c r="AM41" s="67">
        <f>AM40</f>
        <v>59551.5</v>
      </c>
      <c r="AN41" s="67">
        <f t="shared" ref="AN41:AX41" si="16">AM41+AN40</f>
        <v>117156.5</v>
      </c>
      <c r="AO41" s="67">
        <f t="shared" si="16"/>
        <v>177272.5</v>
      </c>
      <c r="AP41" s="67">
        <f t="shared" si="16"/>
        <v>241803.5</v>
      </c>
      <c r="AQ41" s="67">
        <f t="shared" si="16"/>
        <v>311076</v>
      </c>
      <c r="AR41" s="67">
        <f t="shared" si="16"/>
        <v>385162</v>
      </c>
      <c r="AS41" s="67">
        <f t="shared" si="16"/>
        <v>457553.5</v>
      </c>
      <c r="AT41" s="67">
        <f t="shared" si="16"/>
        <v>529006.5</v>
      </c>
      <c r="AU41" s="67">
        <f t="shared" si="16"/>
        <v>611092.5</v>
      </c>
      <c r="AV41" s="67">
        <f t="shared" si="16"/>
        <v>692587</v>
      </c>
      <c r="AW41" s="67">
        <f t="shared" si="16"/>
        <v>777231.5</v>
      </c>
      <c r="AX41" s="83">
        <f t="shared" si="16"/>
        <v>874514</v>
      </c>
      <c r="AY41" s="67">
        <f>AY40</f>
        <v>96511</v>
      </c>
      <c r="AZ41" s="67">
        <f t="shared" ref="AZ41:BJ41" si="17">AY41+AZ40</f>
        <v>190477.5</v>
      </c>
      <c r="BA41" s="67">
        <f t="shared" si="17"/>
        <v>287659.5</v>
      </c>
      <c r="BB41" s="67">
        <f t="shared" si="17"/>
        <v>382878</v>
      </c>
      <c r="BC41" s="67">
        <f t="shared" si="17"/>
        <v>493545.5</v>
      </c>
      <c r="BD41" s="67">
        <f t="shared" si="17"/>
        <v>611887</v>
      </c>
      <c r="BE41" s="67">
        <f t="shared" si="17"/>
        <v>728445.5</v>
      </c>
      <c r="BF41" s="67">
        <f t="shared" si="17"/>
        <v>843883</v>
      </c>
      <c r="BG41" s="67">
        <f t="shared" si="17"/>
        <v>976555.5</v>
      </c>
      <c r="BH41" s="67">
        <f t="shared" si="17"/>
        <v>1107698</v>
      </c>
      <c r="BI41" s="67">
        <f t="shared" si="17"/>
        <v>1243565.5</v>
      </c>
      <c r="BJ41" s="83">
        <f t="shared" si="17"/>
        <v>1400248</v>
      </c>
      <c r="BK41" s="70"/>
    </row>
    <row r="42" spans="2:63" x14ac:dyDescent="0.2">
      <c r="B42" s="115"/>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row>
  </sheetData>
  <sheetProtection sheet="1" objects="1" scenarios="1"/>
  <mergeCells count="12">
    <mergeCell ref="AY25:BJ25"/>
    <mergeCell ref="AY7:BJ7"/>
    <mergeCell ref="B5:O5"/>
    <mergeCell ref="B2:B3"/>
    <mergeCell ref="AN25:AX25"/>
    <mergeCell ref="O7:Z7"/>
    <mergeCell ref="C7:N7"/>
    <mergeCell ref="AM7:AX7"/>
    <mergeCell ref="O25:Z25"/>
    <mergeCell ref="AA7:AL7"/>
    <mergeCell ref="AA25:AL25"/>
    <mergeCell ref="C25:N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6">
    <tabColor theme="3" tint="0.39997558519241921"/>
  </sheetPr>
  <dimension ref="B2:AK82"/>
  <sheetViews>
    <sheetView showGridLines="0" showRowColHeaders="0" zoomScale="55" zoomScaleNormal="55" workbookViewId="0">
      <selection activeCell="H102" sqref="H102"/>
    </sheetView>
  </sheetViews>
  <sheetFormatPr baseColWidth="10" defaultColWidth="11.5" defaultRowHeight="15" x14ac:dyDescent="0.2"/>
  <cols>
    <col min="1" max="1" width="3.5" customWidth="1"/>
    <col min="37" max="37" width="3.6640625" customWidth="1"/>
  </cols>
  <sheetData>
    <row r="2" spans="2:37" x14ac:dyDescent="0.2">
      <c r="B2" s="172" t="s">
        <v>103</v>
      </c>
      <c r="C2" s="176"/>
      <c r="D2" s="176"/>
      <c r="E2" s="177"/>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row>
    <row r="3" spans="2:37" x14ac:dyDescent="0.2">
      <c r="B3" s="161"/>
      <c r="C3" s="178"/>
      <c r="D3" s="178"/>
      <c r="E3" s="179"/>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row>
    <row r="4" spans="2:37" x14ac:dyDescent="0.2">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row>
    <row r="5" spans="2:37" x14ac:dyDescent="0.2">
      <c r="B5" s="70"/>
      <c r="C5" s="138" t="s">
        <v>77</v>
      </c>
      <c r="D5" s="138" t="s">
        <v>78</v>
      </c>
      <c r="E5" s="138" t="s">
        <v>79</v>
      </c>
      <c r="F5" s="138" t="s">
        <v>80</v>
      </c>
      <c r="G5" s="138" t="s">
        <v>81</v>
      </c>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row>
    <row r="6" spans="2:37" x14ac:dyDescent="0.2">
      <c r="B6" s="134" t="s">
        <v>104</v>
      </c>
      <c r="C6" s="133">
        <f>Personnel!P30</f>
        <v>3.166666666666667</v>
      </c>
      <c r="D6" s="133">
        <f>Personnel!AD30</f>
        <v>4.25</v>
      </c>
      <c r="E6" s="133">
        <f>Personnel!AH30</f>
        <v>6</v>
      </c>
      <c r="F6" s="133">
        <f>Personnel!AL30</f>
        <v>7</v>
      </c>
      <c r="G6" s="133">
        <f>Personnel!AP30</f>
        <v>8</v>
      </c>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row>
    <row r="7" spans="2:37" x14ac:dyDescent="0.2">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row>
    <row r="8" spans="2:37" ht="15" customHeight="1" x14ac:dyDescent="0.2">
      <c r="B8" s="170" t="s">
        <v>105</v>
      </c>
      <c r="C8" s="157"/>
      <c r="D8" s="157"/>
      <c r="E8" s="157"/>
      <c r="F8" s="157"/>
      <c r="G8" s="157"/>
      <c r="H8" s="157"/>
      <c r="I8" s="157"/>
      <c r="J8" s="157"/>
      <c r="K8" s="157"/>
      <c r="L8" s="157"/>
      <c r="M8" s="157"/>
      <c r="N8" s="158"/>
      <c r="O8" s="54"/>
      <c r="P8" s="54"/>
      <c r="Q8" s="54"/>
      <c r="R8" s="54"/>
      <c r="S8" s="54"/>
      <c r="T8" s="54"/>
      <c r="U8" s="54"/>
      <c r="V8" s="54"/>
      <c r="W8" s="54"/>
      <c r="X8" s="54"/>
      <c r="Y8" s="54"/>
      <c r="Z8" s="54"/>
      <c r="AA8" s="54"/>
      <c r="AB8" s="54"/>
      <c r="AC8" s="54"/>
      <c r="AD8" s="54"/>
      <c r="AE8" s="54"/>
      <c r="AF8" s="54"/>
      <c r="AG8" s="54"/>
      <c r="AH8" s="54"/>
      <c r="AI8" s="54"/>
      <c r="AJ8" s="54"/>
      <c r="AK8" s="70"/>
    </row>
    <row r="9" spans="2:37" x14ac:dyDescent="0.2">
      <c r="B9" s="170" t="s">
        <v>77</v>
      </c>
      <c r="C9" s="157"/>
      <c r="D9" s="157"/>
      <c r="E9" s="157"/>
      <c r="F9" s="157"/>
      <c r="G9" s="157"/>
      <c r="H9" s="157"/>
      <c r="I9" s="157"/>
      <c r="J9" s="157"/>
      <c r="K9" s="157"/>
      <c r="L9" s="157"/>
      <c r="M9" s="157"/>
      <c r="N9" s="158"/>
      <c r="O9" s="170" t="s">
        <v>78</v>
      </c>
      <c r="P9" s="157"/>
      <c r="Q9" s="157"/>
      <c r="R9" s="157"/>
      <c r="S9" s="157"/>
      <c r="T9" s="157"/>
      <c r="U9" s="157"/>
      <c r="V9" s="157"/>
      <c r="W9" s="157"/>
      <c r="X9" s="157"/>
      <c r="Y9" s="157"/>
      <c r="Z9" s="157"/>
      <c r="AA9" s="158"/>
      <c r="AB9" s="170" t="s">
        <v>79</v>
      </c>
      <c r="AC9" s="157"/>
      <c r="AD9" s="158"/>
      <c r="AE9" s="170" t="s">
        <v>80</v>
      </c>
      <c r="AF9" s="157"/>
      <c r="AG9" s="158"/>
      <c r="AH9" s="170" t="s">
        <v>81</v>
      </c>
      <c r="AI9" s="157"/>
      <c r="AJ9" s="158"/>
      <c r="AK9" s="70"/>
    </row>
    <row r="10" spans="2:37" x14ac:dyDescent="0.2">
      <c r="B10" s="55">
        <f>Config!$C$7</f>
        <v>46388</v>
      </c>
      <c r="C10" s="55">
        <f t="shared" ref="C10:M10" si="0">DATE(YEAR(B10),MONTH(B10)+1,DAY(B10))</f>
        <v>46419</v>
      </c>
      <c r="D10" s="55">
        <f t="shared" si="0"/>
        <v>46447</v>
      </c>
      <c r="E10" s="55">
        <f t="shared" si="0"/>
        <v>46478</v>
      </c>
      <c r="F10" s="55">
        <f t="shared" si="0"/>
        <v>46508</v>
      </c>
      <c r="G10" s="55">
        <f t="shared" si="0"/>
        <v>46539</v>
      </c>
      <c r="H10" s="55">
        <f t="shared" si="0"/>
        <v>46569</v>
      </c>
      <c r="I10" s="55">
        <f t="shared" si="0"/>
        <v>46600</v>
      </c>
      <c r="J10" s="55">
        <f t="shared" si="0"/>
        <v>46631</v>
      </c>
      <c r="K10" s="55">
        <f t="shared" si="0"/>
        <v>46661</v>
      </c>
      <c r="L10" s="55">
        <f t="shared" si="0"/>
        <v>46692</v>
      </c>
      <c r="M10" s="55">
        <f t="shared" si="0"/>
        <v>46722</v>
      </c>
      <c r="N10" s="139" t="s">
        <v>106</v>
      </c>
      <c r="O10" s="55">
        <f>DATE(YEAR(M10),MONTH(M10)+1,DAY(M10))</f>
        <v>46753</v>
      </c>
      <c r="P10" s="55">
        <f t="shared" ref="P10:Z10" si="1">DATE(YEAR(O10),MONTH(O10)+1,DAY(O10))</f>
        <v>46784</v>
      </c>
      <c r="Q10" s="55">
        <f t="shared" si="1"/>
        <v>46813</v>
      </c>
      <c r="R10" s="55">
        <f t="shared" si="1"/>
        <v>46844</v>
      </c>
      <c r="S10" s="55">
        <f t="shared" si="1"/>
        <v>46874</v>
      </c>
      <c r="T10" s="55">
        <f t="shared" si="1"/>
        <v>46905</v>
      </c>
      <c r="U10" s="55">
        <f t="shared" si="1"/>
        <v>46935</v>
      </c>
      <c r="V10" s="55">
        <f t="shared" si="1"/>
        <v>46966</v>
      </c>
      <c r="W10" s="55">
        <f t="shared" si="1"/>
        <v>46997</v>
      </c>
      <c r="X10" s="55">
        <f t="shared" si="1"/>
        <v>47027</v>
      </c>
      <c r="Y10" s="55">
        <f t="shared" si="1"/>
        <v>47058</v>
      </c>
      <c r="Z10" s="55">
        <f t="shared" si="1"/>
        <v>47088</v>
      </c>
      <c r="AA10" s="139" t="s">
        <v>106</v>
      </c>
      <c r="AB10" s="140" t="s">
        <v>85</v>
      </c>
      <c r="AC10" s="140" t="s">
        <v>86</v>
      </c>
      <c r="AD10" s="139" t="s">
        <v>106</v>
      </c>
      <c r="AE10" s="140" t="s">
        <v>85</v>
      </c>
      <c r="AF10" s="140" t="s">
        <v>86</v>
      </c>
      <c r="AG10" s="139" t="s">
        <v>106</v>
      </c>
      <c r="AH10" s="140" t="s">
        <v>85</v>
      </c>
      <c r="AI10" s="140" t="s">
        <v>86</v>
      </c>
      <c r="AJ10" s="139" t="s">
        <v>106</v>
      </c>
      <c r="AK10" s="70"/>
    </row>
    <row r="11" spans="2:37" x14ac:dyDescent="0.2">
      <c r="B11" s="122">
        <f>Personnel!$C10*Personnel!D10/12</f>
        <v>0</v>
      </c>
      <c r="C11" s="122">
        <f>Personnel!$C10*Personnel!E10/12</f>
        <v>0</v>
      </c>
      <c r="D11" s="122">
        <f>Personnel!$C10*Personnel!F10/12</f>
        <v>0</v>
      </c>
      <c r="E11" s="122">
        <f>Personnel!$C10*Personnel!G10/12</f>
        <v>0</v>
      </c>
      <c r="F11" s="122">
        <f>Personnel!$C10*Personnel!H10/12</f>
        <v>0</v>
      </c>
      <c r="G11" s="122">
        <f>Personnel!$C10*Personnel!I10/12</f>
        <v>0</v>
      </c>
      <c r="H11" s="122">
        <f>Personnel!$C10*Personnel!J10/12</f>
        <v>0</v>
      </c>
      <c r="I11" s="122">
        <f>Personnel!$C10*Personnel!K10/12</f>
        <v>0</v>
      </c>
      <c r="J11" s="122">
        <f>Personnel!$C10*Personnel!L10/12</f>
        <v>0</v>
      </c>
      <c r="K11" s="122">
        <f>Personnel!$C10*Personnel!M10/12</f>
        <v>0</v>
      </c>
      <c r="L11" s="122">
        <f>Personnel!$C10*Personnel!N10/12</f>
        <v>0</v>
      </c>
      <c r="M11" s="122">
        <f>Personnel!$C10*Personnel!O10/12</f>
        <v>0</v>
      </c>
      <c r="N11" s="59">
        <f t="shared" ref="N11:N30" si="2">SUM(B11:M11)</f>
        <v>0</v>
      </c>
      <c r="O11" s="122">
        <f>Personnel!$Q10*Personnel!R10/12</f>
        <v>0</v>
      </c>
      <c r="P11" s="122">
        <f>Personnel!$Q10*Personnel!S10/12</f>
        <v>0</v>
      </c>
      <c r="Q11" s="122">
        <f>Personnel!$Q10*Personnel!T10/12</f>
        <v>0</v>
      </c>
      <c r="R11" s="122">
        <f>Personnel!$Q10*Personnel!U10/12</f>
        <v>0</v>
      </c>
      <c r="S11" s="122">
        <f>Personnel!$Q10*Personnel!V10/12</f>
        <v>0</v>
      </c>
      <c r="T11" s="122">
        <f>Personnel!$Q10*Personnel!W10/12</f>
        <v>0</v>
      </c>
      <c r="U11" s="122">
        <f>Personnel!$Q10*Personnel!X10/12</f>
        <v>0</v>
      </c>
      <c r="V11" s="122">
        <f>Personnel!$Q10*Personnel!Y10/12</f>
        <v>0</v>
      </c>
      <c r="W11" s="122">
        <f>Personnel!$Q10*Personnel!Z10/12</f>
        <v>0</v>
      </c>
      <c r="X11" s="122">
        <f>Personnel!$Q10*Personnel!AA10/12</f>
        <v>0</v>
      </c>
      <c r="Y11" s="122">
        <f>Personnel!$Q10*Personnel!AB10/12</f>
        <v>0</v>
      </c>
      <c r="Z11" s="122">
        <f>Personnel!$Q10*Personnel!AC10/12</f>
        <v>0</v>
      </c>
      <c r="AA11" s="59">
        <f t="shared" ref="AA11:AA30" si="3">SUM(O11:Z11)</f>
        <v>0</v>
      </c>
      <c r="AB11" s="122">
        <f>Personnel!$AE10*Personnel!AF10/2</f>
        <v>0</v>
      </c>
      <c r="AC11" s="122">
        <f>Personnel!$AE10*Personnel!AG10/2</f>
        <v>0</v>
      </c>
      <c r="AD11" s="59">
        <f t="shared" ref="AD11:AD30" si="4">SUM(AB11:AC11)</f>
        <v>0</v>
      </c>
      <c r="AE11" s="122">
        <f>Personnel!$AI10*Personnel!AJ10/2</f>
        <v>0</v>
      </c>
      <c r="AF11" s="122">
        <f>Personnel!$AI10*Personnel!AK10/2</f>
        <v>0</v>
      </c>
      <c r="AG11" s="59">
        <f t="shared" ref="AG11:AG30" si="5">SUM(AE11:AF11)</f>
        <v>0</v>
      </c>
      <c r="AH11" s="122">
        <f>Personnel!$AM10*Personnel!AN10/2</f>
        <v>0</v>
      </c>
      <c r="AI11" s="122">
        <f>Personnel!$AM10*Personnel!AO10/2</f>
        <v>0</v>
      </c>
      <c r="AJ11" s="59">
        <f t="shared" ref="AJ11:AJ30" si="6">SUM(AH11:AI11)</f>
        <v>0</v>
      </c>
      <c r="AK11" s="70"/>
    </row>
    <row r="12" spans="2:37" x14ac:dyDescent="0.2">
      <c r="B12" s="122">
        <f>Personnel!$C13*Personnel!D13/12</f>
        <v>2166.6666666666665</v>
      </c>
      <c r="C12" s="122">
        <f>Personnel!$C13*Personnel!E13/12</f>
        <v>2166.6666666666665</v>
      </c>
      <c r="D12" s="122">
        <f>Personnel!$C13*Personnel!F13/12</f>
        <v>2166.6666666666665</v>
      </c>
      <c r="E12" s="122">
        <f>Personnel!$C13*Personnel!G13/12</f>
        <v>2166.6666666666665</v>
      </c>
      <c r="F12" s="122">
        <f>Personnel!$C13*Personnel!H13/12</f>
        <v>2166.6666666666665</v>
      </c>
      <c r="G12" s="122">
        <f>Personnel!$C13*Personnel!I13/12</f>
        <v>2166.6666666666665</v>
      </c>
      <c r="H12" s="122">
        <f>Personnel!$C13*Personnel!J13/12</f>
        <v>2166.6666666666665</v>
      </c>
      <c r="I12" s="122">
        <f>Personnel!$C13*Personnel!K13/12</f>
        <v>2166.6666666666665</v>
      </c>
      <c r="J12" s="122">
        <f>Personnel!$C13*Personnel!L13/12</f>
        <v>2166.6666666666665</v>
      </c>
      <c r="K12" s="122">
        <f>Personnel!$C13*Personnel!M13/12</f>
        <v>2166.6666666666665</v>
      </c>
      <c r="L12" s="122">
        <f>Personnel!$C13*Personnel!N13/12</f>
        <v>2166.6666666666665</v>
      </c>
      <c r="M12" s="122">
        <f>Personnel!$C13*Personnel!O13/12</f>
        <v>2166.6666666666665</v>
      </c>
      <c r="N12" s="59">
        <f t="shared" si="2"/>
        <v>26000.000000000004</v>
      </c>
      <c r="O12" s="122">
        <f>Personnel!$Q11*Personnel!R11/12</f>
        <v>3000</v>
      </c>
      <c r="P12" s="122">
        <f>Personnel!$Q11*Personnel!S11/12</f>
        <v>3000</v>
      </c>
      <c r="Q12" s="122">
        <f>Personnel!$Q11*Personnel!T11/12</f>
        <v>3000</v>
      </c>
      <c r="R12" s="122">
        <f>Personnel!$Q11*Personnel!U11/12</f>
        <v>3000</v>
      </c>
      <c r="S12" s="122">
        <f>Personnel!$Q11*Personnel!V11/12</f>
        <v>3000</v>
      </c>
      <c r="T12" s="122">
        <f>Personnel!$Q11*Personnel!W11/12</f>
        <v>3000</v>
      </c>
      <c r="U12" s="122">
        <f>Personnel!$Q11*Personnel!X11/12</f>
        <v>3000</v>
      </c>
      <c r="V12" s="122">
        <f>Personnel!$Q11*Personnel!Y11/12</f>
        <v>3000</v>
      </c>
      <c r="W12" s="122">
        <f>Personnel!$Q11*Personnel!Z11/12</f>
        <v>3000</v>
      </c>
      <c r="X12" s="122">
        <f>Personnel!$Q11*Personnel!AA11/12</f>
        <v>3000</v>
      </c>
      <c r="Y12" s="122">
        <f>Personnel!$Q11*Personnel!AB11/12</f>
        <v>3000</v>
      </c>
      <c r="Z12" s="122">
        <f>Personnel!$Q11*Personnel!AC11/12</f>
        <v>3000</v>
      </c>
      <c r="AA12" s="59">
        <f t="shared" si="3"/>
        <v>36000</v>
      </c>
      <c r="AB12" s="122">
        <f>Personnel!$AE11*Personnel!AF11/2</f>
        <v>21000</v>
      </c>
      <c r="AC12" s="122">
        <f>Personnel!$AE11*Personnel!AG11/2</f>
        <v>21000</v>
      </c>
      <c r="AD12" s="59">
        <f t="shared" si="4"/>
        <v>42000</v>
      </c>
      <c r="AE12" s="122">
        <f>Personnel!$AI11*Personnel!AJ11/2</f>
        <v>24000</v>
      </c>
      <c r="AF12" s="122">
        <f>Personnel!$AI11*Personnel!AK11/2</f>
        <v>24000</v>
      </c>
      <c r="AG12" s="59">
        <f t="shared" si="5"/>
        <v>48000</v>
      </c>
      <c r="AH12" s="122">
        <f>Personnel!$AM11*Personnel!AN11/2</f>
        <v>30000</v>
      </c>
      <c r="AI12" s="122">
        <f>Personnel!$AM11*Personnel!AO11/2</f>
        <v>30000</v>
      </c>
      <c r="AJ12" s="59">
        <f t="shared" si="6"/>
        <v>60000</v>
      </c>
      <c r="AK12" s="70"/>
    </row>
    <row r="13" spans="2:37" x14ac:dyDescent="0.2">
      <c r="B13" s="122">
        <f>Personnel!$C11*Personnel!D11/12</f>
        <v>2500</v>
      </c>
      <c r="C13" s="122">
        <f>Personnel!$C11*Personnel!E11/12</f>
        <v>2500</v>
      </c>
      <c r="D13" s="122">
        <f>Personnel!$C11*Personnel!F11/12</f>
        <v>2500</v>
      </c>
      <c r="E13" s="122">
        <f>Personnel!$C11*Personnel!G11/12</f>
        <v>2500</v>
      </c>
      <c r="F13" s="122">
        <f>Personnel!$C11*Personnel!H11/12</f>
        <v>2500</v>
      </c>
      <c r="G13" s="122">
        <f>Personnel!$C11*Personnel!I11/12</f>
        <v>2500</v>
      </c>
      <c r="H13" s="122">
        <f>Personnel!$C11*Personnel!J11/12</f>
        <v>2500</v>
      </c>
      <c r="I13" s="122">
        <f>Personnel!$C11*Personnel!K11/12</f>
        <v>2500</v>
      </c>
      <c r="J13" s="122">
        <f>Personnel!$C11*Personnel!L11/12</f>
        <v>2500</v>
      </c>
      <c r="K13" s="122">
        <f>Personnel!$C11*Personnel!M11/12</f>
        <v>2500</v>
      </c>
      <c r="L13" s="122">
        <f>Personnel!$C11*Personnel!N11/12</f>
        <v>2500</v>
      </c>
      <c r="M13" s="122">
        <f>Personnel!$C11*Personnel!O11/12</f>
        <v>2500</v>
      </c>
      <c r="N13" s="59">
        <f t="shared" si="2"/>
        <v>30000</v>
      </c>
      <c r="O13" s="122">
        <f>Personnel!$Q12*Personnel!R12/12</f>
        <v>3000</v>
      </c>
      <c r="P13" s="122">
        <f>Personnel!$Q12*Personnel!S12/12</f>
        <v>3000</v>
      </c>
      <c r="Q13" s="122">
        <f>Personnel!$Q12*Personnel!T12/12</f>
        <v>3000</v>
      </c>
      <c r="R13" s="122">
        <f>Personnel!$Q12*Personnel!U12/12</f>
        <v>3000</v>
      </c>
      <c r="S13" s="122">
        <f>Personnel!$Q12*Personnel!V12/12</f>
        <v>3000</v>
      </c>
      <c r="T13" s="122">
        <f>Personnel!$Q12*Personnel!W12/12</f>
        <v>3000</v>
      </c>
      <c r="U13" s="122">
        <f>Personnel!$Q12*Personnel!X12/12</f>
        <v>3000</v>
      </c>
      <c r="V13" s="122">
        <f>Personnel!$Q12*Personnel!Y12/12</f>
        <v>3000</v>
      </c>
      <c r="W13" s="122">
        <f>Personnel!$Q12*Personnel!Z12/12</f>
        <v>3000</v>
      </c>
      <c r="X13" s="122">
        <f>Personnel!$Q12*Personnel!AA12/12</f>
        <v>3000</v>
      </c>
      <c r="Y13" s="122">
        <f>Personnel!$Q12*Personnel!AB12/12</f>
        <v>3000</v>
      </c>
      <c r="Z13" s="122">
        <f>Personnel!$Q12*Personnel!AC12/12</f>
        <v>3000</v>
      </c>
      <c r="AA13" s="59">
        <f t="shared" si="3"/>
        <v>36000</v>
      </c>
      <c r="AB13" s="122">
        <f>Personnel!$AE12*Personnel!AF12/2</f>
        <v>21000</v>
      </c>
      <c r="AC13" s="122">
        <f>Personnel!$AE12*Personnel!AG12/2</f>
        <v>21000</v>
      </c>
      <c r="AD13" s="59">
        <f t="shared" si="4"/>
        <v>42000</v>
      </c>
      <c r="AE13" s="122">
        <f>Personnel!$AI12*Personnel!AJ12/2</f>
        <v>24000</v>
      </c>
      <c r="AF13" s="122">
        <f>Personnel!$AI12*Personnel!AK12/2</f>
        <v>24000</v>
      </c>
      <c r="AG13" s="59">
        <f t="shared" si="5"/>
        <v>48000</v>
      </c>
      <c r="AH13" s="122">
        <f>Personnel!$AM12*Personnel!AN12/2</f>
        <v>30000</v>
      </c>
      <c r="AI13" s="122">
        <f>Personnel!$AM12*Personnel!AO12/2</f>
        <v>30000</v>
      </c>
      <c r="AJ13" s="59">
        <f t="shared" si="6"/>
        <v>60000</v>
      </c>
      <c r="AK13" s="70"/>
    </row>
    <row r="14" spans="2:37" x14ac:dyDescent="0.2">
      <c r="B14" s="122">
        <f>Personnel!$C12*Personnel!D12/12</f>
        <v>0</v>
      </c>
      <c r="C14" s="122">
        <f>Personnel!$C12*Personnel!E12/12</f>
        <v>0</v>
      </c>
      <c r="D14" s="122">
        <f>Personnel!$C12*Personnel!F12/12</f>
        <v>2500</v>
      </c>
      <c r="E14" s="122">
        <f>Personnel!$C12*Personnel!G12/12</f>
        <v>2500</v>
      </c>
      <c r="F14" s="122">
        <f>Personnel!$C12*Personnel!H12/12</f>
        <v>2500</v>
      </c>
      <c r="G14" s="122">
        <f>Personnel!$C12*Personnel!I12/12</f>
        <v>2500</v>
      </c>
      <c r="H14" s="122">
        <f>Personnel!$C12*Personnel!J12/12</f>
        <v>2500</v>
      </c>
      <c r="I14" s="122">
        <f>Personnel!$C12*Personnel!K12/12</f>
        <v>2500</v>
      </c>
      <c r="J14" s="122">
        <f>Personnel!$C12*Personnel!L12/12</f>
        <v>2500</v>
      </c>
      <c r="K14" s="122">
        <f>Personnel!$C12*Personnel!M12/12</f>
        <v>2500</v>
      </c>
      <c r="L14" s="122">
        <f>Personnel!$C12*Personnel!N12/12</f>
        <v>2500</v>
      </c>
      <c r="M14" s="122">
        <f>Personnel!$C12*Personnel!O12/12</f>
        <v>2500</v>
      </c>
      <c r="N14" s="59">
        <f t="shared" si="2"/>
        <v>25000</v>
      </c>
      <c r="O14" s="122">
        <f>Personnel!$Q13*Personnel!R13/12</f>
        <v>2250</v>
      </c>
      <c r="P14" s="122">
        <f>Personnel!$Q13*Personnel!S13/12</f>
        <v>2250</v>
      </c>
      <c r="Q14" s="122">
        <f>Personnel!$Q13*Personnel!T13/12</f>
        <v>2250</v>
      </c>
      <c r="R14" s="122">
        <f>Personnel!$Q13*Personnel!U13/12</f>
        <v>2250</v>
      </c>
      <c r="S14" s="122">
        <f>Personnel!$Q13*Personnel!V13/12</f>
        <v>2250</v>
      </c>
      <c r="T14" s="122">
        <f>Personnel!$Q13*Personnel!W13/12</f>
        <v>2250</v>
      </c>
      <c r="U14" s="122">
        <f>Personnel!$Q13*Personnel!X13/12</f>
        <v>2250</v>
      </c>
      <c r="V14" s="122">
        <f>Personnel!$Q13*Personnel!Y13/12</f>
        <v>2250</v>
      </c>
      <c r="W14" s="122">
        <f>Personnel!$Q13*Personnel!Z13/12</f>
        <v>2250</v>
      </c>
      <c r="X14" s="122">
        <f>Personnel!$Q13*Personnel!AA13/12</f>
        <v>2250</v>
      </c>
      <c r="Y14" s="122">
        <f>Personnel!$Q13*Personnel!AB13/12</f>
        <v>2250</v>
      </c>
      <c r="Z14" s="122">
        <f>Personnel!$Q13*Personnel!AC13/12</f>
        <v>2250</v>
      </c>
      <c r="AA14" s="59">
        <f t="shared" si="3"/>
        <v>27000</v>
      </c>
      <c r="AB14" s="122">
        <f>Personnel!$AE13*Personnel!AF13/2</f>
        <v>14000</v>
      </c>
      <c r="AC14" s="122">
        <f>Personnel!$AE13*Personnel!AG13/2</f>
        <v>14000</v>
      </c>
      <c r="AD14" s="59">
        <f t="shared" si="4"/>
        <v>28000</v>
      </c>
      <c r="AE14" s="122">
        <f>Personnel!$AI13*Personnel!AJ13/2</f>
        <v>14500</v>
      </c>
      <c r="AF14" s="122">
        <f>Personnel!$AI13*Personnel!AK13/2</f>
        <v>14500</v>
      </c>
      <c r="AG14" s="59">
        <f t="shared" si="5"/>
        <v>29000</v>
      </c>
      <c r="AH14" s="122">
        <f>Personnel!$AM13*Personnel!AN13/2</f>
        <v>16000</v>
      </c>
      <c r="AI14" s="122">
        <f>Personnel!$AM13*Personnel!AO13/2</f>
        <v>16000</v>
      </c>
      <c r="AJ14" s="59">
        <f t="shared" si="6"/>
        <v>32000</v>
      </c>
      <c r="AK14" s="70"/>
    </row>
    <row r="15" spans="2:37" x14ac:dyDescent="0.2">
      <c r="B15" s="122">
        <f>Personnel!$C13*Personnel!D13/12</f>
        <v>2166.6666666666665</v>
      </c>
      <c r="C15" s="122">
        <f>Personnel!$C13*Personnel!E13/12</f>
        <v>2166.6666666666665</v>
      </c>
      <c r="D15" s="122">
        <f>Personnel!$C13*Personnel!F13/12</f>
        <v>2166.6666666666665</v>
      </c>
      <c r="E15" s="122">
        <f>Personnel!$C13*Personnel!G13/12</f>
        <v>2166.6666666666665</v>
      </c>
      <c r="F15" s="122">
        <f>Personnel!$C13*Personnel!H13/12</f>
        <v>2166.6666666666665</v>
      </c>
      <c r="G15" s="122">
        <f>Personnel!$C13*Personnel!I13/12</f>
        <v>2166.6666666666665</v>
      </c>
      <c r="H15" s="122">
        <f>Personnel!$C13*Personnel!J13/12</f>
        <v>2166.6666666666665</v>
      </c>
      <c r="I15" s="122">
        <f>Personnel!$C13*Personnel!K13/12</f>
        <v>2166.6666666666665</v>
      </c>
      <c r="J15" s="122">
        <f>Personnel!$C13*Personnel!L13/12</f>
        <v>2166.6666666666665</v>
      </c>
      <c r="K15" s="122">
        <f>Personnel!$C13*Personnel!M13/12</f>
        <v>2166.6666666666665</v>
      </c>
      <c r="L15" s="122">
        <f>Personnel!$C13*Personnel!N13/12</f>
        <v>2166.6666666666665</v>
      </c>
      <c r="M15" s="122">
        <f>Personnel!$C13*Personnel!O13/12</f>
        <v>2166.6666666666665</v>
      </c>
      <c r="N15" s="59">
        <f t="shared" si="2"/>
        <v>26000.000000000004</v>
      </c>
      <c r="O15" s="122">
        <f>Personnel!$Q14*Personnel!R14/12</f>
        <v>0</v>
      </c>
      <c r="P15" s="122">
        <f>Personnel!$Q14*Personnel!S14/12</f>
        <v>0</v>
      </c>
      <c r="Q15" s="122">
        <f>Personnel!$Q14*Personnel!T14/12</f>
        <v>0</v>
      </c>
      <c r="R15" s="122">
        <f>Personnel!$Q14*Personnel!U14/12</f>
        <v>0</v>
      </c>
      <c r="S15" s="122">
        <f>Personnel!$Q14*Personnel!V14/12</f>
        <v>0</v>
      </c>
      <c r="T15" s="122">
        <f>Personnel!$Q14*Personnel!W14/12</f>
        <v>1791.6666666666667</v>
      </c>
      <c r="U15" s="122">
        <f>Personnel!$Q14*Personnel!X14/12</f>
        <v>1791.6666666666667</v>
      </c>
      <c r="V15" s="122">
        <f>Personnel!$Q14*Personnel!Y14/12</f>
        <v>1791.6666666666667</v>
      </c>
      <c r="W15" s="122">
        <f>Personnel!$Q14*Personnel!Z14/12</f>
        <v>1791.6666666666667</v>
      </c>
      <c r="X15" s="122">
        <f>Personnel!$Q14*Personnel!AA14/12</f>
        <v>1791.6666666666667</v>
      </c>
      <c r="Y15" s="122">
        <f>Personnel!$Q14*Personnel!AB14/12</f>
        <v>1791.6666666666667</v>
      </c>
      <c r="Z15" s="122">
        <f>Personnel!$Q14*Personnel!AC14/12</f>
        <v>1791.6666666666667</v>
      </c>
      <c r="AA15" s="59">
        <f t="shared" si="3"/>
        <v>12541.666666666666</v>
      </c>
      <c r="AB15" s="122">
        <f>Personnel!$AE14*Personnel!AF14/2</f>
        <v>11000</v>
      </c>
      <c r="AC15" s="122">
        <f>Personnel!$AE14*Personnel!AG14/2</f>
        <v>11000</v>
      </c>
      <c r="AD15" s="59">
        <f t="shared" si="4"/>
        <v>22000</v>
      </c>
      <c r="AE15" s="122">
        <f>Personnel!$AI14*Personnel!AJ14/2</f>
        <v>22500</v>
      </c>
      <c r="AF15" s="122">
        <f>Personnel!$AI14*Personnel!AK14/2</f>
        <v>22500</v>
      </c>
      <c r="AG15" s="59">
        <f t="shared" si="5"/>
        <v>45000</v>
      </c>
      <c r="AH15" s="122">
        <f>Personnel!$AM14*Personnel!AN14/2</f>
        <v>23000</v>
      </c>
      <c r="AI15" s="122">
        <f>Personnel!$AM14*Personnel!AO14/2</f>
        <v>23000</v>
      </c>
      <c r="AJ15" s="59">
        <f t="shared" si="6"/>
        <v>46000</v>
      </c>
      <c r="AK15" s="70"/>
    </row>
    <row r="16" spans="2:37" x14ac:dyDescent="0.2">
      <c r="B16" s="122">
        <f>Personnel!$C14*Personnel!D14/12</f>
        <v>0</v>
      </c>
      <c r="C16" s="122">
        <f>Personnel!$C14*Personnel!E14/12</f>
        <v>0</v>
      </c>
      <c r="D16" s="122">
        <f>Personnel!$C14*Personnel!F14/12</f>
        <v>0</v>
      </c>
      <c r="E16" s="122">
        <f>Personnel!$C14*Personnel!G14/12</f>
        <v>0</v>
      </c>
      <c r="F16" s="122">
        <f>Personnel!$C14*Personnel!H14/12</f>
        <v>0</v>
      </c>
      <c r="G16" s="122">
        <f>Personnel!$C14*Personnel!I14/12</f>
        <v>0</v>
      </c>
      <c r="H16" s="122">
        <f>Personnel!$C14*Personnel!J14/12</f>
        <v>0</v>
      </c>
      <c r="I16" s="122">
        <f>Personnel!$C14*Personnel!K14/12</f>
        <v>0</v>
      </c>
      <c r="J16" s="122">
        <f>Personnel!$C14*Personnel!L14/12</f>
        <v>0</v>
      </c>
      <c r="K16" s="122">
        <f>Personnel!$C14*Personnel!M14/12</f>
        <v>0</v>
      </c>
      <c r="L16" s="122">
        <f>Personnel!$C14*Personnel!N14/12</f>
        <v>0</v>
      </c>
      <c r="M16" s="122">
        <f>Personnel!$C14*Personnel!O14/12</f>
        <v>0</v>
      </c>
      <c r="N16" s="59">
        <f t="shared" si="2"/>
        <v>0</v>
      </c>
      <c r="O16" s="122">
        <f>Personnel!$Q15*Personnel!R15/12</f>
        <v>0</v>
      </c>
      <c r="P16" s="122">
        <f>Personnel!$Q15*Personnel!S15/12</f>
        <v>0</v>
      </c>
      <c r="Q16" s="122">
        <f>Personnel!$Q15*Personnel!T15/12</f>
        <v>0</v>
      </c>
      <c r="R16" s="122">
        <f>Personnel!$Q15*Personnel!U15/12</f>
        <v>0</v>
      </c>
      <c r="S16" s="122">
        <f>Personnel!$Q15*Personnel!V15/12</f>
        <v>0</v>
      </c>
      <c r="T16" s="122">
        <f>Personnel!$Q15*Personnel!W15/12</f>
        <v>0</v>
      </c>
      <c r="U16" s="122">
        <f>Personnel!$Q15*Personnel!X15/12</f>
        <v>0</v>
      </c>
      <c r="V16" s="122">
        <f>Personnel!$Q15*Personnel!Y15/12</f>
        <v>0</v>
      </c>
      <c r="W16" s="122">
        <f>Personnel!$Q15*Personnel!Z15/12</f>
        <v>2000</v>
      </c>
      <c r="X16" s="122">
        <f>Personnel!$Q15*Personnel!AA15/12</f>
        <v>2000</v>
      </c>
      <c r="Y16" s="122">
        <f>Personnel!$Q15*Personnel!AB15/12</f>
        <v>2000</v>
      </c>
      <c r="Z16" s="122">
        <f>Personnel!$Q15*Personnel!AC15/12</f>
        <v>2000</v>
      </c>
      <c r="AA16" s="59">
        <f t="shared" si="3"/>
        <v>8000</v>
      </c>
      <c r="AB16" s="122">
        <f>Personnel!$AE15*Personnel!AF15/2</f>
        <v>12500</v>
      </c>
      <c r="AC16" s="122">
        <f>Personnel!$AE15*Personnel!AG15/2</f>
        <v>12500</v>
      </c>
      <c r="AD16" s="59">
        <f t="shared" si="4"/>
        <v>25000</v>
      </c>
      <c r="AE16" s="122">
        <f>Personnel!$AI15*Personnel!AJ15/2</f>
        <v>13000</v>
      </c>
      <c r="AF16" s="122">
        <f>Personnel!$AI15*Personnel!AK15/2</f>
        <v>13000</v>
      </c>
      <c r="AG16" s="59">
        <f t="shared" si="5"/>
        <v>26000</v>
      </c>
      <c r="AH16" s="122">
        <f>Personnel!$AM15*Personnel!AN15/2</f>
        <v>14000</v>
      </c>
      <c r="AI16" s="122">
        <f>Personnel!$AM15*Personnel!AO15/2</f>
        <v>14000</v>
      </c>
      <c r="AJ16" s="59">
        <f t="shared" si="6"/>
        <v>28000</v>
      </c>
      <c r="AK16" s="70"/>
    </row>
    <row r="17" spans="2:37" x14ac:dyDescent="0.2">
      <c r="B17" s="122">
        <f>Personnel!$C16*Personnel!D16/12</f>
        <v>0</v>
      </c>
      <c r="C17" s="122">
        <f>Personnel!$C16*Personnel!E16/12</f>
        <v>0</v>
      </c>
      <c r="D17" s="122">
        <f>Personnel!$C16*Personnel!F16/12</f>
        <v>0</v>
      </c>
      <c r="E17" s="122">
        <f>Personnel!$C16*Personnel!G16/12</f>
        <v>0</v>
      </c>
      <c r="F17" s="122">
        <f>Personnel!$C16*Personnel!H16/12</f>
        <v>0</v>
      </c>
      <c r="G17" s="122">
        <f>Personnel!$C16*Personnel!I16/12</f>
        <v>0</v>
      </c>
      <c r="H17" s="122">
        <f>Personnel!$C16*Personnel!J16/12</f>
        <v>0</v>
      </c>
      <c r="I17" s="122">
        <f>Personnel!$C16*Personnel!K16/12</f>
        <v>0</v>
      </c>
      <c r="J17" s="122">
        <f>Personnel!$C16*Personnel!L16/12</f>
        <v>0</v>
      </c>
      <c r="K17" s="122">
        <f>Personnel!$C16*Personnel!M16/12</f>
        <v>0</v>
      </c>
      <c r="L17" s="122">
        <f>Personnel!$C16*Personnel!N16/12</f>
        <v>0</v>
      </c>
      <c r="M17" s="122">
        <f>Personnel!$C16*Personnel!O16/12</f>
        <v>0</v>
      </c>
      <c r="N17" s="59">
        <f t="shared" si="2"/>
        <v>0</v>
      </c>
      <c r="O17" s="122">
        <f>Personnel!$Q16*Personnel!R16/12</f>
        <v>0</v>
      </c>
      <c r="P17" s="122">
        <f>Personnel!$Q16*Personnel!S16/12</f>
        <v>0</v>
      </c>
      <c r="Q17" s="122">
        <f>Personnel!$Q16*Personnel!T16/12</f>
        <v>0</v>
      </c>
      <c r="R17" s="122">
        <f>Personnel!$Q16*Personnel!U16/12</f>
        <v>0</v>
      </c>
      <c r="S17" s="122">
        <f>Personnel!$Q16*Personnel!V16/12</f>
        <v>0</v>
      </c>
      <c r="T17" s="122">
        <f>Personnel!$Q16*Personnel!W16/12</f>
        <v>0</v>
      </c>
      <c r="U17" s="122">
        <f>Personnel!$Q16*Personnel!X16/12</f>
        <v>0</v>
      </c>
      <c r="V17" s="122">
        <f>Personnel!$Q16*Personnel!Y16/12</f>
        <v>0</v>
      </c>
      <c r="W17" s="122">
        <f>Personnel!$Q16*Personnel!Z16/12</f>
        <v>1083.3333333333333</v>
      </c>
      <c r="X17" s="122">
        <f>Personnel!$Q16*Personnel!AA16/12</f>
        <v>1083.3333333333333</v>
      </c>
      <c r="Y17" s="122">
        <f>Personnel!$Q16*Personnel!AB16/12</f>
        <v>1083.3333333333333</v>
      </c>
      <c r="Z17" s="122">
        <f>Personnel!$Q16*Personnel!AC16/12</f>
        <v>1083.3333333333333</v>
      </c>
      <c r="AA17" s="59">
        <f t="shared" si="3"/>
        <v>4333.333333333333</v>
      </c>
      <c r="AB17" s="122">
        <f>Personnel!$AE16*Personnel!AF16/2</f>
        <v>6500</v>
      </c>
      <c r="AC17" s="122">
        <f>Personnel!$AE16*Personnel!AG16/2</f>
        <v>6500</v>
      </c>
      <c r="AD17" s="59">
        <f t="shared" si="4"/>
        <v>13000</v>
      </c>
      <c r="AE17" s="122">
        <f>Personnel!$AI16*Personnel!AJ16/2</f>
        <v>0</v>
      </c>
      <c r="AF17" s="122">
        <f>Personnel!$AI16*Personnel!AK16/2</f>
        <v>0</v>
      </c>
      <c r="AG17" s="59">
        <f t="shared" si="5"/>
        <v>0</v>
      </c>
      <c r="AH17" s="122">
        <f>Personnel!$AM16*Personnel!AN16/2</f>
        <v>0</v>
      </c>
      <c r="AI17" s="122">
        <f>Personnel!$AM16*Personnel!AO16/2</f>
        <v>0</v>
      </c>
      <c r="AJ17" s="59">
        <f t="shared" si="6"/>
        <v>0</v>
      </c>
      <c r="AK17" s="70"/>
    </row>
    <row r="18" spans="2:37" x14ac:dyDescent="0.2">
      <c r="B18" s="122">
        <f>Personnel!$C17*Personnel!D17/12</f>
        <v>0</v>
      </c>
      <c r="C18" s="122">
        <f>Personnel!$C17*Personnel!E17/12</f>
        <v>0</v>
      </c>
      <c r="D18" s="122">
        <f>Personnel!$C17*Personnel!F17/12</f>
        <v>0</v>
      </c>
      <c r="E18" s="122">
        <f>Personnel!$C17*Personnel!G17/12</f>
        <v>0</v>
      </c>
      <c r="F18" s="122">
        <f>Personnel!$C17*Personnel!H17/12</f>
        <v>0</v>
      </c>
      <c r="G18" s="122">
        <f>Personnel!$C17*Personnel!I17/12</f>
        <v>693</v>
      </c>
      <c r="H18" s="122">
        <f>Personnel!$C17*Personnel!J17/12</f>
        <v>693</v>
      </c>
      <c r="I18" s="122">
        <f>Personnel!$C17*Personnel!K17/12</f>
        <v>693</v>
      </c>
      <c r="J18" s="122">
        <f>Personnel!$C17*Personnel!L17/12</f>
        <v>0</v>
      </c>
      <c r="K18" s="122">
        <f>Personnel!$C17*Personnel!M17/12</f>
        <v>0</v>
      </c>
      <c r="L18" s="122">
        <f>Personnel!$C17*Personnel!N17/12</f>
        <v>0</v>
      </c>
      <c r="M18" s="122">
        <f>Personnel!$C17*Personnel!O17/12</f>
        <v>693</v>
      </c>
      <c r="N18" s="59">
        <f t="shared" si="2"/>
        <v>2772</v>
      </c>
      <c r="O18" s="122">
        <f>Personnel!$Q17*Personnel!R17/12</f>
        <v>0</v>
      </c>
      <c r="P18" s="122">
        <f>Personnel!$Q17*Personnel!S17/12</f>
        <v>0</v>
      </c>
      <c r="Q18" s="122">
        <f>Personnel!$Q17*Personnel!T17/12</f>
        <v>0</v>
      </c>
      <c r="R18" s="122">
        <f>Personnel!$Q17*Personnel!U17/12</f>
        <v>0</v>
      </c>
      <c r="S18" s="122">
        <f>Personnel!$Q17*Personnel!V17/12</f>
        <v>0</v>
      </c>
      <c r="T18" s="122">
        <f>Personnel!$Q17*Personnel!W17/12</f>
        <v>0</v>
      </c>
      <c r="U18" s="122">
        <f>Personnel!$Q17*Personnel!X17/12</f>
        <v>0</v>
      </c>
      <c r="V18" s="122">
        <f>Personnel!$Q17*Personnel!Y17/12</f>
        <v>0</v>
      </c>
      <c r="W18" s="122">
        <f>Personnel!$Q17*Personnel!Z17/12</f>
        <v>0</v>
      </c>
      <c r="X18" s="122">
        <f>Personnel!$Q17*Personnel!AA17/12</f>
        <v>0</v>
      </c>
      <c r="Y18" s="122">
        <f>Personnel!$Q17*Personnel!AB17/12</f>
        <v>0</v>
      </c>
      <c r="Z18" s="122">
        <f>Personnel!$Q17*Personnel!AC17/12</f>
        <v>0</v>
      </c>
      <c r="AA18" s="59">
        <f t="shared" si="3"/>
        <v>0</v>
      </c>
      <c r="AB18" s="122">
        <f>Personnel!$AE17*Personnel!AF17/2</f>
        <v>0</v>
      </c>
      <c r="AC18" s="122">
        <f>Personnel!$AE17*Personnel!AG17/2</f>
        <v>0</v>
      </c>
      <c r="AD18" s="59">
        <f t="shared" si="4"/>
        <v>0</v>
      </c>
      <c r="AE18" s="122">
        <f>Personnel!$AI17*Personnel!AJ17/2</f>
        <v>0</v>
      </c>
      <c r="AF18" s="122">
        <f>Personnel!$AI17*Personnel!AK17/2</f>
        <v>0</v>
      </c>
      <c r="AG18" s="59">
        <f t="shared" si="5"/>
        <v>0</v>
      </c>
      <c r="AH18" s="122">
        <f>Personnel!$AM17*Personnel!AN17/2</f>
        <v>0</v>
      </c>
      <c r="AI18" s="122">
        <f>Personnel!$AM17*Personnel!AO17/2</f>
        <v>0</v>
      </c>
      <c r="AJ18" s="59">
        <f t="shared" si="6"/>
        <v>0</v>
      </c>
      <c r="AK18" s="70"/>
    </row>
    <row r="19" spans="2:37" x14ac:dyDescent="0.2">
      <c r="B19" s="122">
        <f>Personnel!$C18*Personnel!D18/12</f>
        <v>0</v>
      </c>
      <c r="C19" s="122">
        <f>Personnel!$C18*Personnel!E18/12</f>
        <v>0</v>
      </c>
      <c r="D19" s="122">
        <f>Personnel!$C18*Personnel!F18/12</f>
        <v>0</v>
      </c>
      <c r="E19" s="122">
        <f>Personnel!$C18*Personnel!G18/12</f>
        <v>0</v>
      </c>
      <c r="F19" s="122">
        <f>Personnel!$C18*Personnel!H18/12</f>
        <v>0</v>
      </c>
      <c r="G19" s="122">
        <f>Personnel!$C18*Personnel!I18/12</f>
        <v>0</v>
      </c>
      <c r="H19" s="122">
        <f>Personnel!$C18*Personnel!J18/12</f>
        <v>0</v>
      </c>
      <c r="I19" s="122">
        <f>Personnel!$C18*Personnel!K18/12</f>
        <v>0</v>
      </c>
      <c r="J19" s="122">
        <f>Personnel!$C18*Personnel!L18/12</f>
        <v>0</v>
      </c>
      <c r="K19" s="122">
        <f>Personnel!$C18*Personnel!M18/12</f>
        <v>0</v>
      </c>
      <c r="L19" s="122">
        <f>Personnel!$C18*Personnel!N18/12</f>
        <v>0</v>
      </c>
      <c r="M19" s="122">
        <f>Personnel!$C18*Personnel!O18/12</f>
        <v>0</v>
      </c>
      <c r="N19" s="59">
        <f t="shared" si="2"/>
        <v>0</v>
      </c>
      <c r="O19" s="122">
        <f>Personnel!$Q18*Personnel!R18/12</f>
        <v>0</v>
      </c>
      <c r="P19" s="122">
        <f>Personnel!$Q18*Personnel!S18/12</f>
        <v>0</v>
      </c>
      <c r="Q19" s="122">
        <f>Personnel!$Q18*Personnel!T18/12</f>
        <v>0</v>
      </c>
      <c r="R19" s="122">
        <f>Personnel!$Q18*Personnel!U18/12</f>
        <v>0</v>
      </c>
      <c r="S19" s="122">
        <f>Personnel!$Q18*Personnel!V18/12</f>
        <v>0</v>
      </c>
      <c r="T19" s="122">
        <f>Personnel!$Q18*Personnel!W18/12</f>
        <v>0</v>
      </c>
      <c r="U19" s="122">
        <f>Personnel!$Q18*Personnel!X18/12</f>
        <v>0</v>
      </c>
      <c r="V19" s="122">
        <f>Personnel!$Q18*Personnel!Y18/12</f>
        <v>0</v>
      </c>
      <c r="W19" s="122">
        <f>Personnel!$Q18*Personnel!Z18/12</f>
        <v>0</v>
      </c>
      <c r="X19" s="122">
        <f>Personnel!$Q18*Personnel!AA18/12</f>
        <v>0</v>
      </c>
      <c r="Y19" s="122">
        <f>Personnel!$Q18*Personnel!AB18/12</f>
        <v>0</v>
      </c>
      <c r="Z19" s="122">
        <f>Personnel!$Q18*Personnel!AC18/12</f>
        <v>0</v>
      </c>
      <c r="AA19" s="59">
        <f t="shared" si="3"/>
        <v>0</v>
      </c>
      <c r="AB19" s="122">
        <f>Personnel!$AE18*Personnel!AF18/2</f>
        <v>0</v>
      </c>
      <c r="AC19" s="122">
        <f>Personnel!$AE18*Personnel!AG18/2</f>
        <v>0</v>
      </c>
      <c r="AD19" s="59">
        <f t="shared" si="4"/>
        <v>0</v>
      </c>
      <c r="AE19" s="122">
        <f>Personnel!$AI18*Personnel!AJ18/2</f>
        <v>16000</v>
      </c>
      <c r="AF19" s="122">
        <f>Personnel!$AI18*Personnel!AK18/2</f>
        <v>16000</v>
      </c>
      <c r="AG19" s="59">
        <f t="shared" si="5"/>
        <v>32000</v>
      </c>
      <c r="AH19" s="122">
        <f>Personnel!$AM18*Personnel!AN18/2</f>
        <v>17500</v>
      </c>
      <c r="AI19" s="122">
        <f>Personnel!$AM18*Personnel!AO18/2</f>
        <v>17500</v>
      </c>
      <c r="AJ19" s="59">
        <f t="shared" si="6"/>
        <v>35000</v>
      </c>
      <c r="AK19" s="70"/>
    </row>
    <row r="20" spans="2:37" x14ac:dyDescent="0.2">
      <c r="B20" s="122">
        <f>Personnel!$C19*Personnel!D19/12</f>
        <v>0</v>
      </c>
      <c r="C20" s="122">
        <f>Personnel!$C19*Personnel!E19/12</f>
        <v>0</v>
      </c>
      <c r="D20" s="122">
        <f>Personnel!$C19*Personnel!F19/12</f>
        <v>0</v>
      </c>
      <c r="E20" s="122">
        <f>Personnel!$C19*Personnel!G19/12</f>
        <v>0</v>
      </c>
      <c r="F20" s="122">
        <f>Personnel!$C19*Personnel!H19/12</f>
        <v>0</v>
      </c>
      <c r="G20" s="122">
        <f>Personnel!$C19*Personnel!I19/12</f>
        <v>0</v>
      </c>
      <c r="H20" s="122">
        <f>Personnel!$C19*Personnel!J19/12</f>
        <v>0</v>
      </c>
      <c r="I20" s="122">
        <f>Personnel!$C19*Personnel!K19/12</f>
        <v>0</v>
      </c>
      <c r="J20" s="122">
        <f>Personnel!$C19*Personnel!L19/12</f>
        <v>0</v>
      </c>
      <c r="K20" s="122">
        <f>Personnel!$C19*Personnel!M19/12</f>
        <v>0</v>
      </c>
      <c r="L20" s="122">
        <f>Personnel!$C19*Personnel!N19/12</f>
        <v>0</v>
      </c>
      <c r="M20" s="122">
        <f>Personnel!$C19*Personnel!O19/12</f>
        <v>0</v>
      </c>
      <c r="N20" s="59">
        <f t="shared" si="2"/>
        <v>0</v>
      </c>
      <c r="O20" s="122">
        <f>Personnel!$Q19*Personnel!R19/12</f>
        <v>0</v>
      </c>
      <c r="P20" s="122">
        <f>Personnel!$Q19*Personnel!S19/12</f>
        <v>0</v>
      </c>
      <c r="Q20" s="122">
        <f>Personnel!$Q19*Personnel!T19/12</f>
        <v>0</v>
      </c>
      <c r="R20" s="122">
        <f>Personnel!$Q19*Personnel!U19/12</f>
        <v>0</v>
      </c>
      <c r="S20" s="122">
        <f>Personnel!$Q19*Personnel!V19/12</f>
        <v>0</v>
      </c>
      <c r="T20" s="122">
        <f>Personnel!$Q19*Personnel!W19/12</f>
        <v>0</v>
      </c>
      <c r="U20" s="122">
        <f>Personnel!$Q19*Personnel!X19/12</f>
        <v>0</v>
      </c>
      <c r="V20" s="122">
        <f>Personnel!$Q19*Personnel!Y19/12</f>
        <v>0</v>
      </c>
      <c r="W20" s="122">
        <f>Personnel!$Q19*Personnel!Z19/12</f>
        <v>0</v>
      </c>
      <c r="X20" s="122">
        <f>Personnel!$Q19*Personnel!AA19/12</f>
        <v>0</v>
      </c>
      <c r="Y20" s="122">
        <f>Personnel!$Q19*Personnel!AB19/12</f>
        <v>0</v>
      </c>
      <c r="Z20" s="122">
        <f>Personnel!$Q19*Personnel!AC19/12</f>
        <v>0</v>
      </c>
      <c r="AA20" s="59">
        <f t="shared" si="3"/>
        <v>0</v>
      </c>
      <c r="AB20" s="122">
        <f>Personnel!$AE19*Personnel!AF19/2</f>
        <v>0</v>
      </c>
      <c r="AC20" s="122">
        <f>Personnel!$AE19*Personnel!AG19/2</f>
        <v>0</v>
      </c>
      <c r="AD20" s="59">
        <f t="shared" si="4"/>
        <v>0</v>
      </c>
      <c r="AE20" s="122">
        <f>Personnel!$AI19*Personnel!AJ19/2</f>
        <v>0</v>
      </c>
      <c r="AF20" s="122">
        <f>Personnel!$AI19*Personnel!AK19/2</f>
        <v>0</v>
      </c>
      <c r="AG20" s="59">
        <f t="shared" si="5"/>
        <v>0</v>
      </c>
      <c r="AH20" s="122">
        <f>Personnel!$AM19*Personnel!AN19/2</f>
        <v>15000</v>
      </c>
      <c r="AI20" s="122">
        <f>Personnel!$AM19*Personnel!AO19/2</f>
        <v>15000</v>
      </c>
      <c r="AJ20" s="59">
        <f t="shared" si="6"/>
        <v>30000</v>
      </c>
      <c r="AK20" s="70"/>
    </row>
    <row r="21" spans="2:37" x14ac:dyDescent="0.2">
      <c r="B21" s="122">
        <f>Personnel!$C20*Personnel!D20/12</f>
        <v>0</v>
      </c>
      <c r="C21" s="122">
        <f>Personnel!$C20*Personnel!E20/12</f>
        <v>0</v>
      </c>
      <c r="D21" s="122">
        <f>Personnel!$C20*Personnel!F20/12</f>
        <v>0</v>
      </c>
      <c r="E21" s="122">
        <f>Personnel!$C20*Personnel!G20/12</f>
        <v>0</v>
      </c>
      <c r="F21" s="122">
        <f>Personnel!$C20*Personnel!H20/12</f>
        <v>0</v>
      </c>
      <c r="G21" s="122">
        <f>Personnel!$C20*Personnel!I20/12</f>
        <v>0</v>
      </c>
      <c r="H21" s="122">
        <f>Personnel!$C20*Personnel!J20/12</f>
        <v>0</v>
      </c>
      <c r="I21" s="122">
        <f>Personnel!$C20*Personnel!K20/12</f>
        <v>0</v>
      </c>
      <c r="J21" s="122">
        <f>Personnel!$C20*Personnel!L20/12</f>
        <v>0</v>
      </c>
      <c r="K21" s="122">
        <f>Personnel!$C20*Personnel!M20/12</f>
        <v>0</v>
      </c>
      <c r="L21" s="122">
        <f>Personnel!$C20*Personnel!N20/12</f>
        <v>0</v>
      </c>
      <c r="M21" s="122">
        <f>Personnel!$C20*Personnel!O20/12</f>
        <v>0</v>
      </c>
      <c r="N21" s="59">
        <f t="shared" si="2"/>
        <v>0</v>
      </c>
      <c r="O21" s="122">
        <f>Personnel!$Q20*Personnel!R20/12</f>
        <v>0</v>
      </c>
      <c r="P21" s="122">
        <f>Personnel!$Q20*Personnel!S20/12</f>
        <v>0</v>
      </c>
      <c r="Q21" s="122">
        <f>Personnel!$Q20*Personnel!T20/12</f>
        <v>0</v>
      </c>
      <c r="R21" s="122">
        <f>Personnel!$Q20*Personnel!U20/12</f>
        <v>0</v>
      </c>
      <c r="S21" s="122">
        <f>Personnel!$Q20*Personnel!V20/12</f>
        <v>0</v>
      </c>
      <c r="T21" s="122">
        <f>Personnel!$Q20*Personnel!W20/12</f>
        <v>0</v>
      </c>
      <c r="U21" s="122">
        <f>Personnel!$Q20*Personnel!X20/12</f>
        <v>0</v>
      </c>
      <c r="V21" s="122">
        <f>Personnel!$Q20*Personnel!Y20/12</f>
        <v>0</v>
      </c>
      <c r="W21" s="122">
        <f>Personnel!$Q20*Personnel!Z20/12</f>
        <v>0</v>
      </c>
      <c r="X21" s="122">
        <f>Personnel!$Q20*Personnel!AA20/12</f>
        <v>0</v>
      </c>
      <c r="Y21" s="122">
        <f>Personnel!$Q20*Personnel!AB20/12</f>
        <v>0</v>
      </c>
      <c r="Z21" s="122">
        <f>Personnel!$Q20*Personnel!AC20/12</f>
        <v>0</v>
      </c>
      <c r="AA21" s="59">
        <f t="shared" si="3"/>
        <v>0</v>
      </c>
      <c r="AB21" s="122">
        <f>Personnel!$AE20*Personnel!AF20/2</f>
        <v>0</v>
      </c>
      <c r="AC21" s="122">
        <f>Personnel!$AE20*Personnel!AG20/2</f>
        <v>0</v>
      </c>
      <c r="AD21" s="59">
        <f t="shared" si="4"/>
        <v>0</v>
      </c>
      <c r="AE21" s="122">
        <f>Personnel!$AI20*Personnel!AJ20/2</f>
        <v>0</v>
      </c>
      <c r="AF21" s="122">
        <f>Personnel!$AI20*Personnel!AK20/2</f>
        <v>0</v>
      </c>
      <c r="AG21" s="59">
        <f t="shared" si="5"/>
        <v>0</v>
      </c>
      <c r="AH21" s="122">
        <f>Personnel!$AM20*Personnel!AN20/2</f>
        <v>0</v>
      </c>
      <c r="AI21" s="122">
        <f>Personnel!$AM20*Personnel!AO20/2</f>
        <v>0</v>
      </c>
      <c r="AJ21" s="59">
        <f t="shared" si="6"/>
        <v>0</v>
      </c>
      <c r="AK21" s="70"/>
    </row>
    <row r="22" spans="2:37" x14ac:dyDescent="0.2">
      <c r="B22" s="122">
        <f>Personnel!$C21*Personnel!D21/12</f>
        <v>0</v>
      </c>
      <c r="C22" s="122">
        <f>Personnel!$C21*Personnel!E21/12</f>
        <v>0</v>
      </c>
      <c r="D22" s="122">
        <f>Personnel!$C21*Personnel!F21/12</f>
        <v>0</v>
      </c>
      <c r="E22" s="122">
        <f>Personnel!$C21*Personnel!G21/12</f>
        <v>0</v>
      </c>
      <c r="F22" s="122">
        <f>Personnel!$C21*Personnel!H21/12</f>
        <v>0</v>
      </c>
      <c r="G22" s="122">
        <f>Personnel!$C21*Personnel!I21/12</f>
        <v>0</v>
      </c>
      <c r="H22" s="122">
        <f>Personnel!$C21*Personnel!J21/12</f>
        <v>0</v>
      </c>
      <c r="I22" s="122">
        <f>Personnel!$C21*Personnel!K21/12</f>
        <v>0</v>
      </c>
      <c r="J22" s="122">
        <f>Personnel!$C21*Personnel!L21/12</f>
        <v>0</v>
      </c>
      <c r="K22" s="122">
        <f>Personnel!$C21*Personnel!M21/12</f>
        <v>0</v>
      </c>
      <c r="L22" s="122">
        <f>Personnel!$C21*Personnel!N21/12</f>
        <v>0</v>
      </c>
      <c r="M22" s="122">
        <f>Personnel!$C21*Personnel!O21/12</f>
        <v>0</v>
      </c>
      <c r="N22" s="59">
        <f t="shared" si="2"/>
        <v>0</v>
      </c>
      <c r="O22" s="122">
        <f>Personnel!$Q21*Personnel!R21/12</f>
        <v>0</v>
      </c>
      <c r="P22" s="122">
        <f>Personnel!$Q21*Personnel!S21/12</f>
        <v>0</v>
      </c>
      <c r="Q22" s="122">
        <f>Personnel!$Q21*Personnel!T21/12</f>
        <v>0</v>
      </c>
      <c r="R22" s="122">
        <f>Personnel!$Q21*Personnel!U21/12</f>
        <v>0</v>
      </c>
      <c r="S22" s="122">
        <f>Personnel!$Q21*Personnel!V21/12</f>
        <v>0</v>
      </c>
      <c r="T22" s="122">
        <f>Personnel!$Q21*Personnel!W21/12</f>
        <v>0</v>
      </c>
      <c r="U22" s="122">
        <f>Personnel!$Q21*Personnel!X21/12</f>
        <v>0</v>
      </c>
      <c r="V22" s="122">
        <f>Personnel!$Q21*Personnel!Y21/12</f>
        <v>0</v>
      </c>
      <c r="W22" s="122">
        <f>Personnel!$Q21*Personnel!Z21/12</f>
        <v>0</v>
      </c>
      <c r="X22" s="122">
        <f>Personnel!$Q21*Personnel!AA21/12</f>
        <v>0</v>
      </c>
      <c r="Y22" s="122">
        <f>Personnel!$Q21*Personnel!AB21/12</f>
        <v>0</v>
      </c>
      <c r="Z22" s="122">
        <f>Personnel!$Q21*Personnel!AC21/12</f>
        <v>0</v>
      </c>
      <c r="AA22" s="59">
        <f t="shared" si="3"/>
        <v>0</v>
      </c>
      <c r="AB22" s="122">
        <f>Personnel!$AE21*Personnel!AF21/2</f>
        <v>0</v>
      </c>
      <c r="AC22" s="122">
        <f>Personnel!$AE21*Personnel!AG21/2</f>
        <v>0</v>
      </c>
      <c r="AD22" s="59">
        <f t="shared" si="4"/>
        <v>0</v>
      </c>
      <c r="AE22" s="122">
        <f>Personnel!$AI21*Personnel!AJ21/2</f>
        <v>0</v>
      </c>
      <c r="AF22" s="122">
        <f>Personnel!$AI21*Personnel!AK21/2</f>
        <v>0</v>
      </c>
      <c r="AG22" s="59">
        <f t="shared" si="5"/>
        <v>0</v>
      </c>
      <c r="AH22" s="122">
        <f>Personnel!$AM21*Personnel!AN21/2</f>
        <v>0</v>
      </c>
      <c r="AI22" s="122">
        <f>Personnel!$AM21*Personnel!AO21/2</f>
        <v>0</v>
      </c>
      <c r="AJ22" s="59">
        <f t="shared" si="6"/>
        <v>0</v>
      </c>
      <c r="AK22" s="70"/>
    </row>
    <row r="23" spans="2:37" x14ac:dyDescent="0.2">
      <c r="B23" s="122">
        <f>Personnel!$C22*Personnel!D22/12</f>
        <v>0</v>
      </c>
      <c r="C23" s="122">
        <f>Personnel!$C22*Personnel!E22/12</f>
        <v>0</v>
      </c>
      <c r="D23" s="122">
        <f>Personnel!$C22*Personnel!F22/12</f>
        <v>0</v>
      </c>
      <c r="E23" s="122">
        <f>Personnel!$C22*Personnel!G22/12</f>
        <v>0</v>
      </c>
      <c r="F23" s="122">
        <f>Personnel!$C22*Personnel!H22/12</f>
        <v>0</v>
      </c>
      <c r="G23" s="122">
        <f>Personnel!$C22*Personnel!I22/12</f>
        <v>0</v>
      </c>
      <c r="H23" s="122">
        <f>Personnel!$C22*Personnel!J22/12</f>
        <v>0</v>
      </c>
      <c r="I23" s="122">
        <f>Personnel!$C22*Personnel!K22/12</f>
        <v>0</v>
      </c>
      <c r="J23" s="122">
        <f>Personnel!$C22*Personnel!L22/12</f>
        <v>0</v>
      </c>
      <c r="K23" s="122">
        <f>Personnel!$C22*Personnel!M22/12</f>
        <v>0</v>
      </c>
      <c r="L23" s="122">
        <f>Personnel!$C22*Personnel!N22/12</f>
        <v>0</v>
      </c>
      <c r="M23" s="122">
        <f>Personnel!$C22*Personnel!O22/12</f>
        <v>0</v>
      </c>
      <c r="N23" s="59">
        <f t="shared" si="2"/>
        <v>0</v>
      </c>
      <c r="O23" s="122">
        <f>Personnel!$Q22*Personnel!R22/12</f>
        <v>0</v>
      </c>
      <c r="P23" s="122">
        <f>Personnel!$Q22*Personnel!S22/12</f>
        <v>0</v>
      </c>
      <c r="Q23" s="122">
        <f>Personnel!$Q22*Personnel!T22/12</f>
        <v>0</v>
      </c>
      <c r="R23" s="122">
        <f>Personnel!$Q22*Personnel!U22/12</f>
        <v>0</v>
      </c>
      <c r="S23" s="122">
        <f>Personnel!$Q22*Personnel!V22/12</f>
        <v>0</v>
      </c>
      <c r="T23" s="122">
        <f>Personnel!$Q22*Personnel!W22/12</f>
        <v>0</v>
      </c>
      <c r="U23" s="122">
        <f>Personnel!$Q22*Personnel!X22/12</f>
        <v>0</v>
      </c>
      <c r="V23" s="122">
        <f>Personnel!$Q22*Personnel!Y22/12</f>
        <v>0</v>
      </c>
      <c r="W23" s="122">
        <f>Personnel!$Q22*Personnel!Z22/12</f>
        <v>0</v>
      </c>
      <c r="X23" s="122">
        <f>Personnel!$Q22*Personnel!AA22/12</f>
        <v>0</v>
      </c>
      <c r="Y23" s="122">
        <f>Personnel!$Q22*Personnel!AB22/12</f>
        <v>0</v>
      </c>
      <c r="Z23" s="122">
        <f>Personnel!$Q22*Personnel!AC22/12</f>
        <v>0</v>
      </c>
      <c r="AA23" s="59">
        <f t="shared" si="3"/>
        <v>0</v>
      </c>
      <c r="AB23" s="122">
        <f>Personnel!$AE22*Personnel!AF22/2</f>
        <v>0</v>
      </c>
      <c r="AC23" s="122">
        <f>Personnel!$AE22*Personnel!AG22/2</f>
        <v>0</v>
      </c>
      <c r="AD23" s="59">
        <f t="shared" si="4"/>
        <v>0</v>
      </c>
      <c r="AE23" s="122">
        <f>Personnel!$AI22*Personnel!AJ22/2</f>
        <v>0</v>
      </c>
      <c r="AF23" s="122">
        <f>Personnel!$AI22*Personnel!AK22/2</f>
        <v>0</v>
      </c>
      <c r="AG23" s="59">
        <f t="shared" si="5"/>
        <v>0</v>
      </c>
      <c r="AH23" s="122">
        <f>Personnel!$AM22*Personnel!AN22/2</f>
        <v>0</v>
      </c>
      <c r="AI23" s="122">
        <f>Personnel!$AM22*Personnel!AO22/2</f>
        <v>0</v>
      </c>
      <c r="AJ23" s="59">
        <f t="shared" si="6"/>
        <v>0</v>
      </c>
      <c r="AK23" s="70"/>
    </row>
    <row r="24" spans="2:37" x14ac:dyDescent="0.2">
      <c r="B24" s="122">
        <f>Personnel!$C23*Personnel!D23/12</f>
        <v>0</v>
      </c>
      <c r="C24" s="122">
        <f>Personnel!$C23*Personnel!E23/12</f>
        <v>0</v>
      </c>
      <c r="D24" s="122">
        <f>Personnel!$C23*Personnel!F23/12</f>
        <v>0</v>
      </c>
      <c r="E24" s="122">
        <f>Personnel!$C23*Personnel!G23/12</f>
        <v>0</v>
      </c>
      <c r="F24" s="122">
        <f>Personnel!$C23*Personnel!H23/12</f>
        <v>0</v>
      </c>
      <c r="G24" s="122">
        <f>Personnel!$C23*Personnel!I23/12</f>
        <v>0</v>
      </c>
      <c r="H24" s="122">
        <f>Personnel!$C23*Personnel!J23/12</f>
        <v>0</v>
      </c>
      <c r="I24" s="122">
        <f>Personnel!$C23*Personnel!K23/12</f>
        <v>0</v>
      </c>
      <c r="J24" s="122">
        <f>Personnel!$C23*Personnel!L23/12</f>
        <v>0</v>
      </c>
      <c r="K24" s="122">
        <f>Personnel!$C23*Personnel!M23/12</f>
        <v>0</v>
      </c>
      <c r="L24" s="122">
        <f>Personnel!$C23*Personnel!N23/12</f>
        <v>0</v>
      </c>
      <c r="M24" s="122">
        <f>Personnel!$C23*Personnel!O23/12</f>
        <v>0</v>
      </c>
      <c r="N24" s="59">
        <f t="shared" si="2"/>
        <v>0</v>
      </c>
      <c r="O24" s="122">
        <f>Personnel!$Q23*Personnel!R23/12</f>
        <v>0</v>
      </c>
      <c r="P24" s="122">
        <f>Personnel!$Q23*Personnel!S23/12</f>
        <v>0</v>
      </c>
      <c r="Q24" s="122">
        <f>Personnel!$Q23*Personnel!T23/12</f>
        <v>0</v>
      </c>
      <c r="R24" s="122">
        <f>Personnel!$Q23*Personnel!U23/12</f>
        <v>0</v>
      </c>
      <c r="S24" s="122">
        <f>Personnel!$Q23*Personnel!V23/12</f>
        <v>0</v>
      </c>
      <c r="T24" s="122">
        <f>Personnel!$Q23*Personnel!W23/12</f>
        <v>0</v>
      </c>
      <c r="U24" s="122">
        <f>Personnel!$Q23*Personnel!X23/12</f>
        <v>0</v>
      </c>
      <c r="V24" s="122">
        <f>Personnel!$Q23*Personnel!Y23/12</f>
        <v>0</v>
      </c>
      <c r="W24" s="122">
        <f>Personnel!$Q23*Personnel!Z23/12</f>
        <v>0</v>
      </c>
      <c r="X24" s="122">
        <f>Personnel!$Q23*Personnel!AA23/12</f>
        <v>0</v>
      </c>
      <c r="Y24" s="122">
        <f>Personnel!$Q23*Personnel!AB23/12</f>
        <v>0</v>
      </c>
      <c r="Z24" s="122">
        <f>Personnel!$Q23*Personnel!AC23/12</f>
        <v>0</v>
      </c>
      <c r="AA24" s="59">
        <f t="shared" si="3"/>
        <v>0</v>
      </c>
      <c r="AB24" s="122">
        <f>Personnel!$AE23*Personnel!AF23/2</f>
        <v>0</v>
      </c>
      <c r="AC24" s="122">
        <f>Personnel!$AE23*Personnel!AG23/2</f>
        <v>0</v>
      </c>
      <c r="AD24" s="59">
        <f t="shared" si="4"/>
        <v>0</v>
      </c>
      <c r="AE24" s="122">
        <f>Personnel!$AI23*Personnel!AJ23/2</f>
        <v>0</v>
      </c>
      <c r="AF24" s="122">
        <f>Personnel!$AI23*Personnel!AK23/2</f>
        <v>0</v>
      </c>
      <c r="AG24" s="59">
        <f t="shared" si="5"/>
        <v>0</v>
      </c>
      <c r="AH24" s="122">
        <f>Personnel!$AM23*Personnel!AN23/2</f>
        <v>0</v>
      </c>
      <c r="AI24" s="122">
        <f>Personnel!$AM23*Personnel!AO23/2</f>
        <v>0</v>
      </c>
      <c r="AJ24" s="59">
        <f t="shared" si="6"/>
        <v>0</v>
      </c>
      <c r="AK24" s="70"/>
    </row>
    <row r="25" spans="2:37" x14ac:dyDescent="0.2">
      <c r="B25" s="122">
        <f>Personnel!$C24*Personnel!D24/12</f>
        <v>0</v>
      </c>
      <c r="C25" s="122">
        <f>Personnel!$C24*Personnel!E24/12</f>
        <v>0</v>
      </c>
      <c r="D25" s="122">
        <f>Personnel!$C24*Personnel!F24/12</f>
        <v>0</v>
      </c>
      <c r="E25" s="122">
        <f>Personnel!$C24*Personnel!G24/12</f>
        <v>0</v>
      </c>
      <c r="F25" s="122">
        <f>Personnel!$C24*Personnel!H24/12</f>
        <v>0</v>
      </c>
      <c r="G25" s="122">
        <f>Personnel!$C24*Personnel!I24/12</f>
        <v>0</v>
      </c>
      <c r="H25" s="122">
        <f>Personnel!$C24*Personnel!J24/12</f>
        <v>0</v>
      </c>
      <c r="I25" s="122">
        <f>Personnel!$C24*Personnel!K24/12</f>
        <v>0</v>
      </c>
      <c r="J25" s="122">
        <f>Personnel!$C24*Personnel!L24/12</f>
        <v>0</v>
      </c>
      <c r="K25" s="122">
        <f>Personnel!$C24*Personnel!M24/12</f>
        <v>0</v>
      </c>
      <c r="L25" s="122">
        <f>Personnel!$C24*Personnel!N24/12</f>
        <v>0</v>
      </c>
      <c r="M25" s="122">
        <f>Personnel!$C24*Personnel!O24/12</f>
        <v>0</v>
      </c>
      <c r="N25" s="59">
        <f t="shared" si="2"/>
        <v>0</v>
      </c>
      <c r="O25" s="122">
        <f>Personnel!$Q24*Personnel!R24/12</f>
        <v>0</v>
      </c>
      <c r="P25" s="122">
        <f>Personnel!$Q24*Personnel!S24/12</f>
        <v>0</v>
      </c>
      <c r="Q25" s="122">
        <f>Personnel!$Q24*Personnel!T24/12</f>
        <v>0</v>
      </c>
      <c r="R25" s="122">
        <f>Personnel!$Q24*Personnel!U24/12</f>
        <v>0</v>
      </c>
      <c r="S25" s="122">
        <f>Personnel!$Q24*Personnel!V24/12</f>
        <v>0</v>
      </c>
      <c r="T25" s="122">
        <f>Personnel!$Q24*Personnel!W24/12</f>
        <v>0</v>
      </c>
      <c r="U25" s="122">
        <f>Personnel!$Q24*Personnel!X24/12</f>
        <v>0</v>
      </c>
      <c r="V25" s="122">
        <f>Personnel!$Q24*Personnel!Y24/12</f>
        <v>0</v>
      </c>
      <c r="W25" s="122">
        <f>Personnel!$Q24*Personnel!Z24/12</f>
        <v>0</v>
      </c>
      <c r="X25" s="122">
        <f>Personnel!$Q24*Personnel!AA24/12</f>
        <v>0</v>
      </c>
      <c r="Y25" s="122">
        <f>Personnel!$Q24*Personnel!AB24/12</f>
        <v>0</v>
      </c>
      <c r="Z25" s="122">
        <f>Personnel!$Q24*Personnel!AC24/12</f>
        <v>0</v>
      </c>
      <c r="AA25" s="59">
        <f t="shared" si="3"/>
        <v>0</v>
      </c>
      <c r="AB25" s="122">
        <f>Personnel!$AE24*Personnel!AF24/2</f>
        <v>0</v>
      </c>
      <c r="AC25" s="122">
        <f>Personnel!$AE24*Personnel!AG24/2</f>
        <v>0</v>
      </c>
      <c r="AD25" s="59">
        <f t="shared" si="4"/>
        <v>0</v>
      </c>
      <c r="AE25" s="122">
        <f>Personnel!$AI24*Personnel!AJ24/2</f>
        <v>0</v>
      </c>
      <c r="AF25" s="122">
        <f>Personnel!$AI24*Personnel!AK24/2</f>
        <v>0</v>
      </c>
      <c r="AG25" s="59">
        <f t="shared" si="5"/>
        <v>0</v>
      </c>
      <c r="AH25" s="122">
        <f>Personnel!$AM24*Personnel!AN24/2</f>
        <v>0</v>
      </c>
      <c r="AI25" s="122">
        <f>Personnel!$AM24*Personnel!AO24/2</f>
        <v>0</v>
      </c>
      <c r="AJ25" s="59">
        <f t="shared" si="6"/>
        <v>0</v>
      </c>
      <c r="AK25" s="70"/>
    </row>
    <row r="26" spans="2:37" x14ac:dyDescent="0.2">
      <c r="B26" s="122">
        <f>Personnel!$C25*Personnel!D25/12</f>
        <v>0</v>
      </c>
      <c r="C26" s="122">
        <f>Personnel!$C25*Personnel!E25/12</f>
        <v>0</v>
      </c>
      <c r="D26" s="122">
        <f>Personnel!$C25*Personnel!F25/12</f>
        <v>0</v>
      </c>
      <c r="E26" s="122">
        <f>Personnel!$C25*Personnel!G25/12</f>
        <v>0</v>
      </c>
      <c r="F26" s="122">
        <f>Personnel!$C25*Personnel!H25/12</f>
        <v>0</v>
      </c>
      <c r="G26" s="122">
        <f>Personnel!$C25*Personnel!I25/12</f>
        <v>0</v>
      </c>
      <c r="H26" s="122">
        <f>Personnel!$C25*Personnel!J25/12</f>
        <v>0</v>
      </c>
      <c r="I26" s="122">
        <f>Personnel!$C25*Personnel!K25/12</f>
        <v>0</v>
      </c>
      <c r="J26" s="122">
        <f>Personnel!$C25*Personnel!L25/12</f>
        <v>0</v>
      </c>
      <c r="K26" s="122">
        <f>Personnel!$C25*Personnel!M25/12</f>
        <v>0</v>
      </c>
      <c r="L26" s="122">
        <f>Personnel!$C25*Personnel!N25/12</f>
        <v>0</v>
      </c>
      <c r="M26" s="122">
        <f>Personnel!$C25*Personnel!O25/12</f>
        <v>0</v>
      </c>
      <c r="N26" s="59">
        <f t="shared" si="2"/>
        <v>0</v>
      </c>
      <c r="O26" s="122">
        <f>Personnel!$Q25*Personnel!R25/12</f>
        <v>0</v>
      </c>
      <c r="P26" s="122">
        <f>Personnel!$Q25*Personnel!S25/12</f>
        <v>0</v>
      </c>
      <c r="Q26" s="122">
        <f>Personnel!$Q25*Personnel!T25/12</f>
        <v>0</v>
      </c>
      <c r="R26" s="122">
        <f>Personnel!$Q25*Personnel!U25/12</f>
        <v>0</v>
      </c>
      <c r="S26" s="122">
        <f>Personnel!$Q25*Personnel!V25/12</f>
        <v>0</v>
      </c>
      <c r="T26" s="122">
        <f>Personnel!$Q25*Personnel!W25/12</f>
        <v>0</v>
      </c>
      <c r="U26" s="122">
        <f>Personnel!$Q25*Personnel!X25/12</f>
        <v>0</v>
      </c>
      <c r="V26" s="122">
        <f>Personnel!$Q25*Personnel!Y25/12</f>
        <v>0</v>
      </c>
      <c r="W26" s="122">
        <f>Personnel!$Q25*Personnel!Z25/12</f>
        <v>0</v>
      </c>
      <c r="X26" s="122">
        <f>Personnel!$Q25*Personnel!AA25/12</f>
        <v>0</v>
      </c>
      <c r="Y26" s="122">
        <f>Personnel!$Q25*Personnel!AB25/12</f>
        <v>0</v>
      </c>
      <c r="Z26" s="122">
        <f>Personnel!$Q25*Personnel!AC25/12</f>
        <v>0</v>
      </c>
      <c r="AA26" s="59">
        <f t="shared" si="3"/>
        <v>0</v>
      </c>
      <c r="AB26" s="122">
        <f>Personnel!$AE25*Personnel!AF25/2</f>
        <v>0</v>
      </c>
      <c r="AC26" s="122">
        <f>Personnel!$AE25*Personnel!AG25/2</f>
        <v>0</v>
      </c>
      <c r="AD26" s="59">
        <f t="shared" si="4"/>
        <v>0</v>
      </c>
      <c r="AE26" s="122">
        <f>Personnel!$AI25*Personnel!AJ25/2</f>
        <v>0</v>
      </c>
      <c r="AF26" s="122">
        <f>Personnel!$AI25*Personnel!AK25/2</f>
        <v>0</v>
      </c>
      <c r="AG26" s="59">
        <f t="shared" si="5"/>
        <v>0</v>
      </c>
      <c r="AH26" s="122">
        <f>Personnel!$AM25*Personnel!AN25/2</f>
        <v>0</v>
      </c>
      <c r="AI26" s="122">
        <f>Personnel!$AM25*Personnel!AO25/2</f>
        <v>0</v>
      </c>
      <c r="AJ26" s="59">
        <f t="shared" si="6"/>
        <v>0</v>
      </c>
      <c r="AK26" s="70"/>
    </row>
    <row r="27" spans="2:37" x14ac:dyDescent="0.2">
      <c r="B27" s="122">
        <f>Personnel!$C26*Personnel!D26/12</f>
        <v>0</v>
      </c>
      <c r="C27" s="122">
        <f>Personnel!$C26*Personnel!E26/12</f>
        <v>0</v>
      </c>
      <c r="D27" s="122">
        <f>Personnel!$C26*Personnel!F26/12</f>
        <v>0</v>
      </c>
      <c r="E27" s="122">
        <f>Personnel!$C26*Personnel!G26/12</f>
        <v>0</v>
      </c>
      <c r="F27" s="122">
        <f>Personnel!$C26*Personnel!H26/12</f>
        <v>0</v>
      </c>
      <c r="G27" s="122">
        <f>Personnel!$C26*Personnel!I26/12</f>
        <v>0</v>
      </c>
      <c r="H27" s="122">
        <f>Personnel!$C26*Personnel!J26/12</f>
        <v>0</v>
      </c>
      <c r="I27" s="122">
        <f>Personnel!$C26*Personnel!K26/12</f>
        <v>0</v>
      </c>
      <c r="J27" s="122">
        <f>Personnel!$C26*Personnel!L26/12</f>
        <v>0</v>
      </c>
      <c r="K27" s="122">
        <f>Personnel!$C26*Personnel!M26/12</f>
        <v>0</v>
      </c>
      <c r="L27" s="122">
        <f>Personnel!$C26*Personnel!N26/12</f>
        <v>0</v>
      </c>
      <c r="M27" s="122">
        <f>Personnel!$C26*Personnel!O26/12</f>
        <v>0</v>
      </c>
      <c r="N27" s="59">
        <f t="shared" si="2"/>
        <v>0</v>
      </c>
      <c r="O27" s="122">
        <f>Personnel!$Q26*Personnel!R26/12</f>
        <v>0</v>
      </c>
      <c r="P27" s="122">
        <f>Personnel!$Q26*Personnel!S26/12</f>
        <v>0</v>
      </c>
      <c r="Q27" s="122">
        <f>Personnel!$Q26*Personnel!T26/12</f>
        <v>0</v>
      </c>
      <c r="R27" s="122">
        <f>Personnel!$Q26*Personnel!U26/12</f>
        <v>0</v>
      </c>
      <c r="S27" s="122">
        <f>Personnel!$Q26*Personnel!V26/12</f>
        <v>0</v>
      </c>
      <c r="T27" s="122">
        <f>Personnel!$Q26*Personnel!W26/12</f>
        <v>0</v>
      </c>
      <c r="U27" s="122">
        <f>Personnel!$Q26*Personnel!X26/12</f>
        <v>0</v>
      </c>
      <c r="V27" s="122">
        <f>Personnel!$Q26*Personnel!Y26/12</f>
        <v>0</v>
      </c>
      <c r="W27" s="122">
        <f>Personnel!$Q26*Personnel!Z26/12</f>
        <v>0</v>
      </c>
      <c r="X27" s="122">
        <f>Personnel!$Q26*Personnel!AA26/12</f>
        <v>0</v>
      </c>
      <c r="Y27" s="122">
        <f>Personnel!$Q26*Personnel!AB26/12</f>
        <v>0</v>
      </c>
      <c r="Z27" s="122">
        <f>Personnel!$Q26*Personnel!AC26/12</f>
        <v>0</v>
      </c>
      <c r="AA27" s="59">
        <f t="shared" si="3"/>
        <v>0</v>
      </c>
      <c r="AB27" s="122">
        <f>Personnel!$AE26*Personnel!AF26/2</f>
        <v>0</v>
      </c>
      <c r="AC27" s="122">
        <f>Personnel!$AE26*Personnel!AG26/2</f>
        <v>0</v>
      </c>
      <c r="AD27" s="59">
        <f t="shared" si="4"/>
        <v>0</v>
      </c>
      <c r="AE27" s="122">
        <f>Personnel!$AI26*Personnel!AJ26/2</f>
        <v>0</v>
      </c>
      <c r="AF27" s="122">
        <f>Personnel!$AI26*Personnel!AK26/2</f>
        <v>0</v>
      </c>
      <c r="AG27" s="59">
        <f t="shared" si="5"/>
        <v>0</v>
      </c>
      <c r="AH27" s="122">
        <f>Personnel!$AM26*Personnel!AN26/2</f>
        <v>0</v>
      </c>
      <c r="AI27" s="122">
        <f>Personnel!$AM26*Personnel!AO26/2</f>
        <v>0</v>
      </c>
      <c r="AJ27" s="59">
        <f t="shared" si="6"/>
        <v>0</v>
      </c>
      <c r="AK27" s="70"/>
    </row>
    <row r="28" spans="2:37" x14ac:dyDescent="0.2">
      <c r="B28" s="122">
        <f>Personnel!$C27*Personnel!D27/12</f>
        <v>0</v>
      </c>
      <c r="C28" s="122">
        <f>Personnel!$C27*Personnel!E27/12</f>
        <v>0</v>
      </c>
      <c r="D28" s="122">
        <f>Personnel!$C27*Personnel!F27/12</f>
        <v>0</v>
      </c>
      <c r="E28" s="122">
        <f>Personnel!$C27*Personnel!G27/12</f>
        <v>0</v>
      </c>
      <c r="F28" s="122">
        <f>Personnel!$C27*Personnel!H27/12</f>
        <v>0</v>
      </c>
      <c r="G28" s="122">
        <f>Personnel!$C27*Personnel!I27/12</f>
        <v>0</v>
      </c>
      <c r="H28" s="122">
        <f>Personnel!$C27*Personnel!J27/12</f>
        <v>0</v>
      </c>
      <c r="I28" s="122">
        <f>Personnel!$C27*Personnel!K27/12</f>
        <v>0</v>
      </c>
      <c r="J28" s="122">
        <f>Personnel!$C27*Personnel!L27/12</f>
        <v>0</v>
      </c>
      <c r="K28" s="122">
        <f>Personnel!$C27*Personnel!M27/12</f>
        <v>0</v>
      </c>
      <c r="L28" s="122">
        <f>Personnel!$C27*Personnel!N27/12</f>
        <v>0</v>
      </c>
      <c r="M28" s="122">
        <f>Personnel!$C27*Personnel!O27/12</f>
        <v>0</v>
      </c>
      <c r="N28" s="59">
        <f t="shared" si="2"/>
        <v>0</v>
      </c>
      <c r="O28" s="122">
        <f>Personnel!$Q27*Personnel!R27/12</f>
        <v>0</v>
      </c>
      <c r="P28" s="122">
        <f>Personnel!$Q27*Personnel!S27/12</f>
        <v>0</v>
      </c>
      <c r="Q28" s="122">
        <f>Personnel!$Q27*Personnel!T27/12</f>
        <v>0</v>
      </c>
      <c r="R28" s="122">
        <f>Personnel!$Q27*Personnel!U27/12</f>
        <v>0</v>
      </c>
      <c r="S28" s="122">
        <f>Personnel!$Q27*Personnel!V27/12</f>
        <v>0</v>
      </c>
      <c r="T28" s="122">
        <f>Personnel!$Q27*Personnel!W27/12</f>
        <v>0</v>
      </c>
      <c r="U28" s="122">
        <f>Personnel!$Q27*Personnel!X27/12</f>
        <v>0</v>
      </c>
      <c r="V28" s="122">
        <f>Personnel!$Q27*Personnel!Y27/12</f>
        <v>0</v>
      </c>
      <c r="W28" s="122">
        <f>Personnel!$Q27*Personnel!Z27/12</f>
        <v>0</v>
      </c>
      <c r="X28" s="122">
        <f>Personnel!$Q27*Personnel!AA27/12</f>
        <v>0</v>
      </c>
      <c r="Y28" s="122">
        <f>Personnel!$Q27*Personnel!AB27/12</f>
        <v>0</v>
      </c>
      <c r="Z28" s="122">
        <f>Personnel!$Q27*Personnel!AC27/12</f>
        <v>0</v>
      </c>
      <c r="AA28" s="59">
        <f t="shared" si="3"/>
        <v>0</v>
      </c>
      <c r="AB28" s="122">
        <f>Personnel!$AE27*Personnel!AF27/2</f>
        <v>0</v>
      </c>
      <c r="AC28" s="122">
        <f>Personnel!$AE27*Personnel!AG27/2</f>
        <v>0</v>
      </c>
      <c r="AD28" s="59">
        <f t="shared" si="4"/>
        <v>0</v>
      </c>
      <c r="AE28" s="122">
        <f>Personnel!$AI27*Personnel!AJ27/2</f>
        <v>0</v>
      </c>
      <c r="AF28" s="122">
        <f>Personnel!$AI27*Personnel!AK27/2</f>
        <v>0</v>
      </c>
      <c r="AG28" s="59">
        <f t="shared" si="5"/>
        <v>0</v>
      </c>
      <c r="AH28" s="122">
        <f>Personnel!$AM27*Personnel!AN27/2</f>
        <v>0</v>
      </c>
      <c r="AI28" s="122">
        <f>Personnel!$AM27*Personnel!AO27/2</f>
        <v>0</v>
      </c>
      <c r="AJ28" s="59">
        <f t="shared" si="6"/>
        <v>0</v>
      </c>
      <c r="AK28" s="70"/>
    </row>
    <row r="29" spans="2:37" x14ac:dyDescent="0.2">
      <c r="B29" s="122">
        <f>Personnel!$C28*Personnel!D28/12</f>
        <v>0</v>
      </c>
      <c r="C29" s="122">
        <f>Personnel!$C28*Personnel!E28/12</f>
        <v>0</v>
      </c>
      <c r="D29" s="122">
        <f>Personnel!$C28*Personnel!F28/12</f>
        <v>0</v>
      </c>
      <c r="E29" s="122">
        <f>Personnel!$C28*Personnel!G28/12</f>
        <v>0</v>
      </c>
      <c r="F29" s="122">
        <f>Personnel!$C28*Personnel!H28/12</f>
        <v>0</v>
      </c>
      <c r="G29" s="122">
        <f>Personnel!$C28*Personnel!I28/12</f>
        <v>0</v>
      </c>
      <c r="H29" s="122">
        <f>Personnel!$C28*Personnel!J28/12</f>
        <v>0</v>
      </c>
      <c r="I29" s="122">
        <f>Personnel!$C28*Personnel!K28/12</f>
        <v>0</v>
      </c>
      <c r="J29" s="122">
        <f>Personnel!$C28*Personnel!L28/12</f>
        <v>0</v>
      </c>
      <c r="K29" s="122">
        <f>Personnel!$C28*Personnel!M28/12</f>
        <v>0</v>
      </c>
      <c r="L29" s="122">
        <f>Personnel!$C28*Personnel!N28/12</f>
        <v>0</v>
      </c>
      <c r="M29" s="122">
        <f>Personnel!$C28*Personnel!O28/12</f>
        <v>0</v>
      </c>
      <c r="N29" s="59">
        <f t="shared" si="2"/>
        <v>0</v>
      </c>
      <c r="O29" s="122">
        <f>Personnel!$Q28*Personnel!R28/12</f>
        <v>0</v>
      </c>
      <c r="P29" s="122">
        <f>Personnel!$Q28*Personnel!S28/12</f>
        <v>0</v>
      </c>
      <c r="Q29" s="122">
        <f>Personnel!$Q28*Personnel!T28/12</f>
        <v>0</v>
      </c>
      <c r="R29" s="122">
        <f>Personnel!$Q28*Personnel!U28/12</f>
        <v>0</v>
      </c>
      <c r="S29" s="122">
        <f>Personnel!$Q28*Personnel!V28/12</f>
        <v>0</v>
      </c>
      <c r="T29" s="122">
        <f>Personnel!$Q28*Personnel!W28/12</f>
        <v>0</v>
      </c>
      <c r="U29" s="122">
        <f>Personnel!$Q28*Personnel!X28/12</f>
        <v>0</v>
      </c>
      <c r="V29" s="122">
        <f>Personnel!$Q28*Personnel!Y28/12</f>
        <v>0</v>
      </c>
      <c r="W29" s="122">
        <f>Personnel!$Q28*Personnel!Z28/12</f>
        <v>0</v>
      </c>
      <c r="X29" s="122">
        <f>Personnel!$Q28*Personnel!AA28/12</f>
        <v>0</v>
      </c>
      <c r="Y29" s="122">
        <f>Personnel!$Q28*Personnel!AB28/12</f>
        <v>0</v>
      </c>
      <c r="Z29" s="122">
        <f>Personnel!$Q28*Personnel!AC28/12</f>
        <v>0</v>
      </c>
      <c r="AA29" s="59">
        <f t="shared" si="3"/>
        <v>0</v>
      </c>
      <c r="AB29" s="122">
        <f>Personnel!$AE28*Personnel!AF28/2</f>
        <v>0</v>
      </c>
      <c r="AC29" s="122">
        <f>Personnel!$AE28*Personnel!AG28/2</f>
        <v>0</v>
      </c>
      <c r="AD29" s="59">
        <f t="shared" si="4"/>
        <v>0</v>
      </c>
      <c r="AE29" s="122">
        <f>Personnel!$AI28*Personnel!AJ28/2</f>
        <v>0</v>
      </c>
      <c r="AF29" s="122">
        <f>Personnel!$AI28*Personnel!AK28/2</f>
        <v>0</v>
      </c>
      <c r="AG29" s="59">
        <f t="shared" si="5"/>
        <v>0</v>
      </c>
      <c r="AH29" s="122">
        <f>Personnel!$AM28*Personnel!AN28/2</f>
        <v>0</v>
      </c>
      <c r="AI29" s="122">
        <f>Personnel!$AM28*Personnel!AO28/2</f>
        <v>0</v>
      </c>
      <c r="AJ29" s="59">
        <f t="shared" si="6"/>
        <v>0</v>
      </c>
      <c r="AK29" s="70"/>
    </row>
    <row r="30" spans="2:37" x14ac:dyDescent="0.2">
      <c r="B30" s="122">
        <f>Personnel!$C29*Personnel!D29/12</f>
        <v>0</v>
      </c>
      <c r="C30" s="122">
        <f>Personnel!$C29*Personnel!E29/12</f>
        <v>0</v>
      </c>
      <c r="D30" s="122">
        <f>Personnel!$C29*Personnel!F29/12</f>
        <v>0</v>
      </c>
      <c r="E30" s="122">
        <f>Personnel!$C29*Personnel!G29/12</f>
        <v>0</v>
      </c>
      <c r="F30" s="122">
        <f>Personnel!$C29*Personnel!H29/12</f>
        <v>0</v>
      </c>
      <c r="G30" s="122">
        <f>Personnel!$C29*Personnel!I29/12</f>
        <v>0</v>
      </c>
      <c r="H30" s="122">
        <f>Personnel!$C29*Personnel!J29/12</f>
        <v>0</v>
      </c>
      <c r="I30" s="122">
        <f>Personnel!$C29*Personnel!K29/12</f>
        <v>0</v>
      </c>
      <c r="J30" s="122">
        <f>Personnel!$C29*Personnel!L29/12</f>
        <v>0</v>
      </c>
      <c r="K30" s="122">
        <f>Personnel!$C29*Personnel!M29/12</f>
        <v>0</v>
      </c>
      <c r="L30" s="122">
        <f>Personnel!$C29*Personnel!N29/12</f>
        <v>0</v>
      </c>
      <c r="M30" s="122">
        <f>Personnel!$C29*Personnel!O29/12</f>
        <v>0</v>
      </c>
      <c r="N30" s="59">
        <f t="shared" si="2"/>
        <v>0</v>
      </c>
      <c r="O30" s="122">
        <f>Personnel!$Q29*Personnel!R29/12</f>
        <v>0</v>
      </c>
      <c r="P30" s="122">
        <f>Personnel!$Q29*Personnel!S29/12</f>
        <v>0</v>
      </c>
      <c r="Q30" s="122">
        <f>Personnel!$Q29*Personnel!T29/12</f>
        <v>0</v>
      </c>
      <c r="R30" s="122">
        <f>Personnel!$Q29*Personnel!U29/12</f>
        <v>0</v>
      </c>
      <c r="S30" s="122">
        <f>Personnel!$Q29*Personnel!V29/12</f>
        <v>0</v>
      </c>
      <c r="T30" s="122">
        <f>Personnel!$Q29*Personnel!W29/12</f>
        <v>0</v>
      </c>
      <c r="U30" s="122">
        <f>Personnel!$Q29*Personnel!X29/12</f>
        <v>0</v>
      </c>
      <c r="V30" s="122">
        <f>Personnel!$Q29*Personnel!Y29/12</f>
        <v>0</v>
      </c>
      <c r="W30" s="122">
        <f>Personnel!$Q29*Personnel!Z29/12</f>
        <v>0</v>
      </c>
      <c r="X30" s="122">
        <f>Personnel!$Q29*Personnel!AA29/12</f>
        <v>0</v>
      </c>
      <c r="Y30" s="122">
        <f>Personnel!$Q29*Personnel!AB29/12</f>
        <v>0</v>
      </c>
      <c r="Z30" s="122">
        <f>Personnel!$Q29*Personnel!AC29/12</f>
        <v>0</v>
      </c>
      <c r="AA30" s="59">
        <f t="shared" si="3"/>
        <v>0</v>
      </c>
      <c r="AB30" s="122">
        <f>Personnel!$AE29*Personnel!AF29/2</f>
        <v>0</v>
      </c>
      <c r="AC30" s="122">
        <f>Personnel!$AE29*Personnel!AG29/2</f>
        <v>0</v>
      </c>
      <c r="AD30" s="59">
        <f t="shared" si="4"/>
        <v>0</v>
      </c>
      <c r="AE30" s="122">
        <f>Personnel!$AI29*Personnel!AJ29/2</f>
        <v>0</v>
      </c>
      <c r="AF30" s="122">
        <f>Personnel!$AI29*Personnel!AK29/2</f>
        <v>0</v>
      </c>
      <c r="AG30" s="59">
        <f t="shared" si="5"/>
        <v>0</v>
      </c>
      <c r="AH30" s="122">
        <f>Personnel!$AM29*Personnel!AN29/2</f>
        <v>0</v>
      </c>
      <c r="AI30" s="122">
        <f>Personnel!$AM29*Personnel!AO29/2</f>
        <v>0</v>
      </c>
      <c r="AJ30" s="59">
        <f t="shared" si="6"/>
        <v>0</v>
      </c>
      <c r="AK30" s="70"/>
    </row>
    <row r="31" spans="2:37" x14ac:dyDescent="0.2">
      <c r="B31" s="122">
        <f t="shared" ref="B31:AJ31" si="7">SUM(B11:B30)</f>
        <v>6833.3333333333321</v>
      </c>
      <c r="C31" s="122">
        <f t="shared" si="7"/>
        <v>6833.3333333333321</v>
      </c>
      <c r="D31" s="122">
        <f t="shared" si="7"/>
        <v>9333.3333333333321</v>
      </c>
      <c r="E31" s="122">
        <f t="shared" si="7"/>
        <v>9333.3333333333321</v>
      </c>
      <c r="F31" s="122">
        <f t="shared" si="7"/>
        <v>9333.3333333333321</v>
      </c>
      <c r="G31" s="122">
        <f t="shared" si="7"/>
        <v>10026.333333333332</v>
      </c>
      <c r="H31" s="122">
        <f t="shared" si="7"/>
        <v>10026.333333333332</v>
      </c>
      <c r="I31" s="122">
        <f t="shared" si="7"/>
        <v>10026.333333333332</v>
      </c>
      <c r="J31" s="122">
        <f t="shared" si="7"/>
        <v>9333.3333333333321</v>
      </c>
      <c r="K31" s="122">
        <f t="shared" si="7"/>
        <v>9333.3333333333321</v>
      </c>
      <c r="L31" s="122">
        <f t="shared" si="7"/>
        <v>9333.3333333333321</v>
      </c>
      <c r="M31" s="122">
        <f t="shared" si="7"/>
        <v>10026.333333333332</v>
      </c>
      <c r="N31" s="122">
        <f t="shared" si="7"/>
        <v>109772</v>
      </c>
      <c r="O31" s="122">
        <f t="shared" si="7"/>
        <v>8250</v>
      </c>
      <c r="P31" s="122">
        <f t="shared" si="7"/>
        <v>8250</v>
      </c>
      <c r="Q31" s="122">
        <f t="shared" si="7"/>
        <v>8250</v>
      </c>
      <c r="R31" s="122">
        <f t="shared" si="7"/>
        <v>8250</v>
      </c>
      <c r="S31" s="122">
        <f t="shared" si="7"/>
        <v>8250</v>
      </c>
      <c r="T31" s="122">
        <f t="shared" si="7"/>
        <v>10041.666666666666</v>
      </c>
      <c r="U31" s="122">
        <f t="shared" si="7"/>
        <v>10041.666666666666</v>
      </c>
      <c r="V31" s="122">
        <f t="shared" si="7"/>
        <v>10041.666666666666</v>
      </c>
      <c r="W31" s="122">
        <f t="shared" si="7"/>
        <v>13125</v>
      </c>
      <c r="X31" s="122">
        <f t="shared" si="7"/>
        <v>13125</v>
      </c>
      <c r="Y31" s="122">
        <f t="shared" si="7"/>
        <v>13125</v>
      </c>
      <c r="Z31" s="122">
        <f t="shared" si="7"/>
        <v>13125</v>
      </c>
      <c r="AA31" s="122">
        <f t="shared" si="7"/>
        <v>123875</v>
      </c>
      <c r="AB31" s="122">
        <f t="shared" si="7"/>
        <v>86000</v>
      </c>
      <c r="AC31" s="122">
        <f t="shared" si="7"/>
        <v>86000</v>
      </c>
      <c r="AD31" s="122">
        <f t="shared" si="7"/>
        <v>172000</v>
      </c>
      <c r="AE31" s="122">
        <f t="shared" si="7"/>
        <v>114000</v>
      </c>
      <c r="AF31" s="122">
        <f t="shared" si="7"/>
        <v>114000</v>
      </c>
      <c r="AG31" s="122">
        <f t="shared" si="7"/>
        <v>228000</v>
      </c>
      <c r="AH31" s="122">
        <f t="shared" si="7"/>
        <v>145500</v>
      </c>
      <c r="AI31" s="122">
        <f t="shared" si="7"/>
        <v>145500</v>
      </c>
      <c r="AJ31" s="122">
        <f t="shared" si="7"/>
        <v>291000</v>
      </c>
      <c r="AK31" s="70"/>
    </row>
    <row r="32" spans="2:37" x14ac:dyDescent="0.2">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row>
    <row r="33" spans="2:37" ht="15" customHeight="1" x14ac:dyDescent="0.2">
      <c r="B33" s="170" t="s">
        <v>107</v>
      </c>
      <c r="C33" s="157"/>
      <c r="D33" s="157"/>
      <c r="E33" s="157"/>
      <c r="F33" s="157"/>
      <c r="G33" s="157"/>
      <c r="H33" s="157"/>
      <c r="I33" s="157"/>
      <c r="J33" s="157"/>
      <c r="K33" s="157"/>
      <c r="L33" s="157"/>
      <c r="M33" s="157"/>
      <c r="N33" s="158"/>
      <c r="O33" s="54"/>
      <c r="P33" s="54"/>
      <c r="Q33" s="54"/>
      <c r="R33" s="54"/>
      <c r="S33" s="54"/>
      <c r="T33" s="54"/>
      <c r="U33" s="54"/>
      <c r="V33" s="54"/>
      <c r="W33" s="54"/>
      <c r="X33" s="54"/>
      <c r="Y33" s="54"/>
      <c r="Z33" s="54"/>
      <c r="AA33" s="54"/>
      <c r="AB33" s="54"/>
      <c r="AC33" s="54"/>
      <c r="AD33" s="54"/>
      <c r="AE33" s="54"/>
      <c r="AF33" s="54"/>
      <c r="AG33" s="54"/>
      <c r="AH33" s="54"/>
      <c r="AI33" s="54"/>
      <c r="AJ33" s="54"/>
      <c r="AK33" s="70"/>
    </row>
    <row r="34" spans="2:37" x14ac:dyDescent="0.2">
      <c r="B34" s="170" t="s">
        <v>77</v>
      </c>
      <c r="C34" s="157"/>
      <c r="D34" s="157"/>
      <c r="E34" s="157"/>
      <c r="F34" s="157"/>
      <c r="G34" s="157"/>
      <c r="H34" s="157"/>
      <c r="I34" s="157"/>
      <c r="J34" s="157"/>
      <c r="K34" s="157"/>
      <c r="L34" s="157"/>
      <c r="M34" s="157"/>
      <c r="N34" s="158"/>
      <c r="O34" s="170" t="s">
        <v>78</v>
      </c>
      <c r="P34" s="157"/>
      <c r="Q34" s="157"/>
      <c r="R34" s="157"/>
      <c r="S34" s="157"/>
      <c r="T34" s="157"/>
      <c r="U34" s="157"/>
      <c r="V34" s="157"/>
      <c r="W34" s="157"/>
      <c r="X34" s="157"/>
      <c r="Y34" s="157"/>
      <c r="Z34" s="157"/>
      <c r="AA34" s="158"/>
      <c r="AB34" s="170" t="s">
        <v>79</v>
      </c>
      <c r="AC34" s="157"/>
      <c r="AD34" s="158"/>
      <c r="AE34" s="170" t="s">
        <v>80</v>
      </c>
      <c r="AF34" s="157"/>
      <c r="AG34" s="158"/>
      <c r="AH34" s="170" t="s">
        <v>81</v>
      </c>
      <c r="AI34" s="157"/>
      <c r="AJ34" s="158"/>
      <c r="AK34" s="70"/>
    </row>
    <row r="35" spans="2:37" x14ac:dyDescent="0.2">
      <c r="B35" s="55">
        <f>Config!$C$7</f>
        <v>46388</v>
      </c>
      <c r="C35" s="55">
        <f t="shared" ref="C35:M35" si="8">DATE(YEAR(B35),MONTH(B35)+1,DAY(B35))</f>
        <v>46419</v>
      </c>
      <c r="D35" s="55">
        <f t="shared" si="8"/>
        <v>46447</v>
      </c>
      <c r="E35" s="55">
        <f t="shared" si="8"/>
        <v>46478</v>
      </c>
      <c r="F35" s="55">
        <f t="shared" si="8"/>
        <v>46508</v>
      </c>
      <c r="G35" s="55">
        <f t="shared" si="8"/>
        <v>46539</v>
      </c>
      <c r="H35" s="55">
        <f t="shared" si="8"/>
        <v>46569</v>
      </c>
      <c r="I35" s="55">
        <f t="shared" si="8"/>
        <v>46600</v>
      </c>
      <c r="J35" s="55">
        <f t="shared" si="8"/>
        <v>46631</v>
      </c>
      <c r="K35" s="55">
        <f t="shared" si="8"/>
        <v>46661</v>
      </c>
      <c r="L35" s="55">
        <f t="shared" si="8"/>
        <v>46692</v>
      </c>
      <c r="M35" s="55">
        <f t="shared" si="8"/>
        <v>46722</v>
      </c>
      <c r="N35" s="139" t="s">
        <v>106</v>
      </c>
      <c r="O35" s="55">
        <f>DATE(YEAR(M35),MONTH(M35)+1,DAY(M35))</f>
        <v>46753</v>
      </c>
      <c r="P35" s="55">
        <f t="shared" ref="P35:Z35" si="9">DATE(YEAR(O35),MONTH(O35)+1,DAY(O35))</f>
        <v>46784</v>
      </c>
      <c r="Q35" s="55">
        <f t="shared" si="9"/>
        <v>46813</v>
      </c>
      <c r="R35" s="55">
        <f t="shared" si="9"/>
        <v>46844</v>
      </c>
      <c r="S35" s="55">
        <f t="shared" si="9"/>
        <v>46874</v>
      </c>
      <c r="T35" s="55">
        <f t="shared" si="9"/>
        <v>46905</v>
      </c>
      <c r="U35" s="55">
        <f t="shared" si="9"/>
        <v>46935</v>
      </c>
      <c r="V35" s="55">
        <f t="shared" si="9"/>
        <v>46966</v>
      </c>
      <c r="W35" s="55">
        <f t="shared" si="9"/>
        <v>46997</v>
      </c>
      <c r="X35" s="55">
        <f t="shared" si="9"/>
        <v>47027</v>
      </c>
      <c r="Y35" s="55">
        <f t="shared" si="9"/>
        <v>47058</v>
      </c>
      <c r="Z35" s="55">
        <f t="shared" si="9"/>
        <v>47088</v>
      </c>
      <c r="AA35" s="139" t="s">
        <v>106</v>
      </c>
      <c r="AB35" s="140" t="s">
        <v>85</v>
      </c>
      <c r="AC35" s="140" t="s">
        <v>86</v>
      </c>
      <c r="AD35" s="139" t="s">
        <v>106</v>
      </c>
      <c r="AE35" s="140" t="s">
        <v>85</v>
      </c>
      <c r="AF35" s="140" t="s">
        <v>86</v>
      </c>
      <c r="AG35" s="139" t="s">
        <v>106</v>
      </c>
      <c r="AH35" s="140" t="s">
        <v>85</v>
      </c>
      <c r="AI35" s="140" t="s">
        <v>86</v>
      </c>
      <c r="AJ35" s="139" t="s">
        <v>106</v>
      </c>
      <c r="AK35" s="70"/>
    </row>
    <row r="36" spans="2:37" x14ac:dyDescent="0.2">
      <c r="B36" s="122"/>
      <c r="C36" s="122"/>
      <c r="D36" s="122"/>
      <c r="E36" s="122"/>
      <c r="F36" s="122"/>
      <c r="G36" s="122"/>
      <c r="H36" s="122"/>
      <c r="I36" s="122"/>
      <c r="J36" s="122"/>
      <c r="K36" s="122"/>
      <c r="L36" s="122"/>
      <c r="M36" s="122"/>
      <c r="N36" s="59">
        <f t="shared" ref="N36:N55" si="10">SUM(B36:M36)</f>
        <v>0</v>
      </c>
      <c r="O36" s="122"/>
      <c r="P36" s="122"/>
      <c r="Q36" s="122"/>
      <c r="R36" s="122"/>
      <c r="S36" s="122"/>
      <c r="T36" s="122"/>
      <c r="U36" s="122"/>
      <c r="V36" s="122"/>
      <c r="W36" s="122"/>
      <c r="X36" s="122"/>
      <c r="Y36" s="122"/>
      <c r="Z36" s="122"/>
      <c r="AA36" s="59">
        <f t="shared" ref="AA36:AA55" si="11">SUM(O36:Z36)</f>
        <v>0</v>
      </c>
      <c r="AB36" s="122"/>
      <c r="AC36" s="122"/>
      <c r="AD36" s="59">
        <f t="shared" ref="AD36:AD55" si="12">SUM(AB36:AC36)</f>
        <v>0</v>
      </c>
      <c r="AE36" s="122"/>
      <c r="AF36" s="122"/>
      <c r="AG36" s="59">
        <f t="shared" ref="AG36:AG55" si="13">SUM(AE36:AF36)</f>
        <v>0</v>
      </c>
      <c r="AH36" s="122"/>
      <c r="AI36" s="122"/>
      <c r="AJ36" s="59">
        <f t="shared" ref="AJ36:AJ55" si="14">SUM(AH36:AI36)</f>
        <v>0</v>
      </c>
      <c r="AK36" s="70"/>
    </row>
    <row r="37" spans="2:37" x14ac:dyDescent="0.2">
      <c r="B37" s="122"/>
      <c r="C37" s="122"/>
      <c r="D37" s="122"/>
      <c r="E37" s="122"/>
      <c r="F37" s="122"/>
      <c r="G37" s="122"/>
      <c r="H37" s="122"/>
      <c r="I37" s="122"/>
      <c r="J37" s="122"/>
      <c r="K37" s="122"/>
      <c r="L37" s="122"/>
      <c r="M37" s="122"/>
      <c r="N37" s="59">
        <f t="shared" si="10"/>
        <v>0</v>
      </c>
      <c r="O37" s="122"/>
      <c r="P37" s="122"/>
      <c r="Q37" s="122"/>
      <c r="R37" s="122"/>
      <c r="S37" s="122"/>
      <c r="T37" s="122"/>
      <c r="U37" s="122"/>
      <c r="V37" s="122"/>
      <c r="W37" s="122"/>
      <c r="X37" s="122"/>
      <c r="Y37" s="122"/>
      <c r="Z37" s="122"/>
      <c r="AA37" s="59">
        <f t="shared" si="11"/>
        <v>0</v>
      </c>
      <c r="AB37" s="122"/>
      <c r="AC37" s="122"/>
      <c r="AD37" s="59">
        <f t="shared" si="12"/>
        <v>0</v>
      </c>
      <c r="AE37" s="122"/>
      <c r="AF37" s="122"/>
      <c r="AG37" s="59">
        <f t="shared" si="13"/>
        <v>0</v>
      </c>
      <c r="AH37" s="122"/>
      <c r="AI37" s="122"/>
      <c r="AJ37" s="59">
        <f t="shared" si="14"/>
        <v>0</v>
      </c>
      <c r="AK37" s="70"/>
    </row>
    <row r="38" spans="2:37" x14ac:dyDescent="0.2">
      <c r="B38" s="122">
        <f>IF((B13&lt;=Config!$C$72),0,Config!$C$70*B13)</f>
        <v>1075</v>
      </c>
      <c r="C38" s="122">
        <f>IF((C13&lt;=Config!$C$72),0,Config!$C$70*C13)</f>
        <v>1075</v>
      </c>
      <c r="D38" s="122">
        <f>IF((D13&lt;=Config!$C$72),0,Config!$C$70*D13)</f>
        <v>1075</v>
      </c>
      <c r="E38" s="122">
        <f>IF((E13&lt;=Config!$C$72),0,Config!$C$70*E13)</f>
        <v>1075</v>
      </c>
      <c r="F38" s="122">
        <f>IF((F13&lt;=Config!$C$72),0,Config!$C$70*F13)</f>
        <v>1075</v>
      </c>
      <c r="G38" s="122">
        <f>IF((G13&lt;=Config!$C$72),0,Config!$C$70*G13)</f>
        <v>1075</v>
      </c>
      <c r="H38" s="122">
        <f>IF((H13&lt;=Config!$C$72),0,Config!$C$70*H13)</f>
        <v>1075</v>
      </c>
      <c r="I38" s="122">
        <f>IF((I13&lt;=Config!$C$72),0,Config!$C$70*I13)</f>
        <v>1075</v>
      </c>
      <c r="J38" s="122">
        <f>IF((J13&lt;=Config!$C$72),0,Config!$C$70*J13)</f>
        <v>1075</v>
      </c>
      <c r="K38" s="122">
        <f>IF((K13&lt;=Config!$C$72),0,Config!$C$70*K13)</f>
        <v>1075</v>
      </c>
      <c r="L38" s="122">
        <f>IF((L13&lt;=Config!$C$72),0,Config!$C$70*L13)</f>
        <v>1075</v>
      </c>
      <c r="M38" s="122">
        <f>IF((M13&lt;=Config!$C$72),0,Config!$C$70*M13)</f>
        <v>1075</v>
      </c>
      <c r="N38" s="59">
        <f t="shared" si="10"/>
        <v>12900</v>
      </c>
      <c r="O38" s="122">
        <f>IF((O13&lt;=Config!$C$72),0,Config!$C$70*O13)</f>
        <v>1290</v>
      </c>
      <c r="P38" s="122">
        <f>IF((P13&lt;=Config!$C$72),0,Config!$C$70*P13)</f>
        <v>1290</v>
      </c>
      <c r="Q38" s="122">
        <f>IF((Q13&lt;=Config!$C$72),0,Config!$C$70*Q13)</f>
        <v>1290</v>
      </c>
      <c r="R38" s="122">
        <f>IF((R13&lt;=Config!$C$72),0,Config!$C$70*R13)</f>
        <v>1290</v>
      </c>
      <c r="S38" s="122">
        <f>IF((S13&lt;=Config!$C$72),0,Config!$C$70*S13)</f>
        <v>1290</v>
      </c>
      <c r="T38" s="122">
        <f>IF((T13&lt;=Config!$C$72),0,Config!$C$70*T13)</f>
        <v>1290</v>
      </c>
      <c r="U38" s="122">
        <f>IF((U13&lt;=Config!$C$72),0,Config!$C$70*U13)</f>
        <v>1290</v>
      </c>
      <c r="V38" s="122">
        <f>IF((V13&lt;=Config!$C$72),0,Config!$C$70*V13)</f>
        <v>1290</v>
      </c>
      <c r="W38" s="122">
        <f>IF((W13&lt;=Config!$C$72),0,Config!$C$70*W13)</f>
        <v>1290</v>
      </c>
      <c r="X38" s="122">
        <f>IF((X13&lt;=Config!$C$72),0,Config!$C$70*X13)</f>
        <v>1290</v>
      </c>
      <c r="Y38" s="122">
        <f>IF((Y13&lt;=Config!$C$72),0,Config!$C$70*Y13)</f>
        <v>1290</v>
      </c>
      <c r="Z38" s="122">
        <f>IF((Z13&lt;=Config!$C$72),0,Config!$C$70*Z13)</f>
        <v>1290</v>
      </c>
      <c r="AA38" s="59">
        <f t="shared" si="11"/>
        <v>15480</v>
      </c>
      <c r="AB38" s="122">
        <f>IF((AB13&lt;=(Config!$C$72*6)),0,Config!$C$70*AB13)</f>
        <v>9030</v>
      </c>
      <c r="AC38" s="122">
        <f>IF((AC13&lt;=(Config!$C$72*6)),0,Config!$C$70*AC13)</f>
        <v>9030</v>
      </c>
      <c r="AD38" s="59">
        <f t="shared" si="12"/>
        <v>18060</v>
      </c>
      <c r="AE38" s="122">
        <f>IF((AE13&lt;=(Config!$C$72*6)),0,Config!$C$70*AE13)</f>
        <v>10320</v>
      </c>
      <c r="AF38" s="122">
        <f>IF((AF13&lt;=(Config!$C$72*6)),0,Config!$C$70*AF13)</f>
        <v>10320</v>
      </c>
      <c r="AG38" s="59">
        <f t="shared" si="13"/>
        <v>20640</v>
      </c>
      <c r="AH38" s="122">
        <f>IF((AH13&lt;=(Config!$C$72*6)),0,Config!$C$70*AH13)</f>
        <v>12900</v>
      </c>
      <c r="AI38" s="122">
        <f>IF((AI13&lt;=(Config!$C$72*6)),0,Config!$C$70*AI13)</f>
        <v>12900</v>
      </c>
      <c r="AJ38" s="59">
        <f t="shared" si="14"/>
        <v>25800</v>
      </c>
      <c r="AK38" s="70"/>
    </row>
    <row r="39" spans="2:37" x14ac:dyDescent="0.2">
      <c r="B39" s="122">
        <f>IF((B14&lt;=Config!$C$72),0,Config!$C$70*B14)</f>
        <v>0</v>
      </c>
      <c r="C39" s="122">
        <f>IF((C14&lt;=Config!$C$72),0,Config!$C$70*C14)</f>
        <v>0</v>
      </c>
      <c r="D39" s="122">
        <f>IF((D14&lt;=Config!$C$72),0,Config!$C$70*D14)</f>
        <v>1075</v>
      </c>
      <c r="E39" s="122">
        <f>IF((E14&lt;=Config!$C$72),0,Config!$C$70*E14)</f>
        <v>1075</v>
      </c>
      <c r="F39" s="122">
        <f>IF((F14&lt;=Config!$C$72),0,Config!$C$70*F14)</f>
        <v>1075</v>
      </c>
      <c r="G39" s="122">
        <f>IF((G14&lt;=Config!$C$72),0,Config!$C$70*G14)</f>
        <v>1075</v>
      </c>
      <c r="H39" s="122">
        <f>IF((H14&lt;=Config!$C$72),0,Config!$C$70*H14)</f>
        <v>1075</v>
      </c>
      <c r="I39" s="122">
        <f>IF((I14&lt;=Config!$C$72),0,Config!$C$70*I14)</f>
        <v>1075</v>
      </c>
      <c r="J39" s="122">
        <f>IF((J14&lt;=Config!$C$72),0,Config!$C$70*J14)</f>
        <v>1075</v>
      </c>
      <c r="K39" s="122">
        <f>IF((K14&lt;=Config!$C$72),0,Config!$C$70*K14)</f>
        <v>1075</v>
      </c>
      <c r="L39" s="122">
        <f>IF((L14&lt;=Config!$C$72),0,Config!$C$70*L14)</f>
        <v>1075</v>
      </c>
      <c r="M39" s="122">
        <f>IF((M14&lt;=Config!$C$72),0,Config!$C$70*M14)</f>
        <v>1075</v>
      </c>
      <c r="N39" s="59">
        <f t="shared" si="10"/>
        <v>10750</v>
      </c>
      <c r="O39" s="122">
        <f>IF((O14&lt;=Config!$C$72),0,Config!$C$70*O14)</f>
        <v>967.5</v>
      </c>
      <c r="P39" s="122">
        <f>IF((P14&lt;=Config!$C$72),0,Config!$C$70*P14)</f>
        <v>967.5</v>
      </c>
      <c r="Q39" s="122">
        <f>IF((Q14&lt;=Config!$C$72),0,Config!$C$70*Q14)</f>
        <v>967.5</v>
      </c>
      <c r="R39" s="122">
        <f>IF((R14&lt;=Config!$C$72),0,Config!$C$70*R14)</f>
        <v>967.5</v>
      </c>
      <c r="S39" s="122">
        <f>IF((S14&lt;=Config!$C$72),0,Config!$C$70*S14)</f>
        <v>967.5</v>
      </c>
      <c r="T39" s="122">
        <f>IF((T14&lt;=Config!$C$72),0,Config!$C$70*T14)</f>
        <v>967.5</v>
      </c>
      <c r="U39" s="122">
        <f>IF((U14&lt;=Config!$C$72),0,Config!$C$70*U14)</f>
        <v>967.5</v>
      </c>
      <c r="V39" s="122">
        <f>IF((V14&lt;=Config!$C$72),0,Config!$C$70*V14)</f>
        <v>967.5</v>
      </c>
      <c r="W39" s="122">
        <f>IF((W14&lt;=Config!$C$72),0,Config!$C$70*W14)</f>
        <v>967.5</v>
      </c>
      <c r="X39" s="122">
        <f>IF((X14&lt;=Config!$C$72),0,Config!$C$70*X14)</f>
        <v>967.5</v>
      </c>
      <c r="Y39" s="122">
        <f>IF((Y14&lt;=Config!$C$72),0,Config!$C$70*Y14)</f>
        <v>967.5</v>
      </c>
      <c r="Z39" s="122">
        <f>IF((Z14&lt;=Config!$C$72),0,Config!$C$70*Z14)</f>
        <v>967.5</v>
      </c>
      <c r="AA39" s="59">
        <f t="shared" si="11"/>
        <v>11610</v>
      </c>
      <c r="AB39" s="122">
        <f>IF((AB14&lt;=(Config!$C$72*6)),0,Config!$C$70*AB14)</f>
        <v>6020</v>
      </c>
      <c r="AC39" s="122">
        <f>IF((AC14&lt;=(Config!$C$72*6)),0,Config!$C$70*AC14)</f>
        <v>6020</v>
      </c>
      <c r="AD39" s="59">
        <f t="shared" si="12"/>
        <v>12040</v>
      </c>
      <c r="AE39" s="122">
        <f>IF((AE14&lt;=(Config!$C$72*6)),0,Config!$C$70*AE14)</f>
        <v>6235</v>
      </c>
      <c r="AF39" s="122">
        <f>IF((AF14&lt;=(Config!$C$72*6)),0,Config!$C$70*AF14)</f>
        <v>6235</v>
      </c>
      <c r="AG39" s="59">
        <f t="shared" si="13"/>
        <v>12470</v>
      </c>
      <c r="AH39" s="122">
        <f>IF((AH14&lt;=(Config!$C$72*6)),0,Config!$C$70*AH14)</f>
        <v>6880</v>
      </c>
      <c r="AI39" s="122">
        <f>IF((AI14&lt;=(Config!$C$72*6)),0,Config!$C$70*AI14)</f>
        <v>6880</v>
      </c>
      <c r="AJ39" s="59">
        <f t="shared" si="14"/>
        <v>13760</v>
      </c>
      <c r="AK39" s="70"/>
    </row>
    <row r="40" spans="2:37" x14ac:dyDescent="0.2">
      <c r="B40" s="122">
        <f>IF((B15&lt;=Config!$C$72),0,Config!$C$70*B15)</f>
        <v>931.66666666666663</v>
      </c>
      <c r="C40" s="122">
        <f>IF((C15&lt;=Config!$C$72),0,Config!$C$70*C15)</f>
        <v>931.66666666666663</v>
      </c>
      <c r="D40" s="122">
        <f>IF((D15&lt;=Config!$C$72),0,Config!$C$70*D15)</f>
        <v>931.66666666666663</v>
      </c>
      <c r="E40" s="122">
        <f>IF((E15&lt;=Config!$C$72),0,Config!$C$70*E15)</f>
        <v>931.66666666666663</v>
      </c>
      <c r="F40" s="122">
        <f>IF((F15&lt;=Config!$C$72),0,Config!$C$70*F15)</f>
        <v>931.66666666666663</v>
      </c>
      <c r="G40" s="122">
        <f>IF((G15&lt;=Config!$C$72),0,Config!$C$70*G15)</f>
        <v>931.66666666666663</v>
      </c>
      <c r="H40" s="122">
        <f>IF((H15&lt;=Config!$C$72),0,Config!$C$70*H15)</f>
        <v>931.66666666666663</v>
      </c>
      <c r="I40" s="122">
        <f>IF((I15&lt;=Config!$C$72),0,Config!$C$70*I15)</f>
        <v>931.66666666666663</v>
      </c>
      <c r="J40" s="122">
        <f>IF((J15&lt;=Config!$C$72),0,Config!$C$70*J15)</f>
        <v>931.66666666666663</v>
      </c>
      <c r="K40" s="122">
        <f>IF((K15&lt;=Config!$C$72),0,Config!$C$70*K15)</f>
        <v>931.66666666666663</v>
      </c>
      <c r="L40" s="122">
        <f>IF((L15&lt;=Config!$C$72),0,Config!$C$70*L15)</f>
        <v>931.66666666666663</v>
      </c>
      <c r="M40" s="122">
        <f>IF((M15&lt;=Config!$C$72),0,Config!$C$70*M15)</f>
        <v>931.66666666666663</v>
      </c>
      <c r="N40" s="59">
        <f t="shared" si="10"/>
        <v>11179.999999999998</v>
      </c>
      <c r="O40" s="122">
        <f>IF((O15&lt;=Config!$C$72),0,Config!$C$70*O15)</f>
        <v>0</v>
      </c>
      <c r="P40" s="122">
        <f>IF((P15&lt;=Config!$C$72),0,Config!$C$70*P15)</f>
        <v>0</v>
      </c>
      <c r="Q40" s="122">
        <f>IF((Q15&lt;=Config!$C$72),0,Config!$C$70*Q15)</f>
        <v>0</v>
      </c>
      <c r="R40" s="122">
        <f>IF((R15&lt;=Config!$C$72),0,Config!$C$70*R15)</f>
        <v>0</v>
      </c>
      <c r="S40" s="122">
        <f>IF((S15&lt;=Config!$C$72),0,Config!$C$70*S15)</f>
        <v>0</v>
      </c>
      <c r="T40" s="122">
        <f>IF((T15&lt;=Config!$C$72),0,Config!$C$70*T15)</f>
        <v>770.41666666666674</v>
      </c>
      <c r="U40" s="122">
        <f>IF((U15&lt;=Config!$C$72),0,Config!$C$70*U15)</f>
        <v>770.41666666666674</v>
      </c>
      <c r="V40" s="122">
        <f>IF((V15&lt;=Config!$C$72),0,Config!$C$70*V15)</f>
        <v>770.41666666666674</v>
      </c>
      <c r="W40" s="122">
        <f>IF((W15&lt;=Config!$C$72),0,Config!$C$70*W15)</f>
        <v>770.41666666666674</v>
      </c>
      <c r="X40" s="122">
        <f>IF((X15&lt;=Config!$C$72),0,Config!$C$70*X15)</f>
        <v>770.41666666666674</v>
      </c>
      <c r="Y40" s="122">
        <f>IF((Y15&lt;=Config!$C$72),0,Config!$C$70*Y15)</f>
        <v>770.41666666666674</v>
      </c>
      <c r="Z40" s="122">
        <f>IF((Z15&lt;=Config!$C$72),0,Config!$C$70*Z15)</f>
        <v>770.41666666666674</v>
      </c>
      <c r="AA40" s="59">
        <f t="shared" si="11"/>
        <v>5392.9166666666679</v>
      </c>
      <c r="AB40" s="122">
        <f>IF((AB15&lt;=(Config!$C$72*6)),0,Config!$C$70*AB15)</f>
        <v>4730</v>
      </c>
      <c r="AC40" s="122">
        <f>IF((AC15&lt;=(Config!$C$72*6)),0,Config!$C$70*AC15)</f>
        <v>4730</v>
      </c>
      <c r="AD40" s="59">
        <f t="shared" si="12"/>
        <v>9460</v>
      </c>
      <c r="AE40" s="122">
        <f>IF((AE15&lt;=(Config!$C$72*6)),0,Config!$C$70*AE15)</f>
        <v>9675</v>
      </c>
      <c r="AF40" s="122">
        <f>IF((AF15&lt;=(Config!$C$72*6)),0,Config!$C$70*AF15)</f>
        <v>9675</v>
      </c>
      <c r="AG40" s="59">
        <f t="shared" si="13"/>
        <v>19350</v>
      </c>
      <c r="AH40" s="122">
        <f>IF((AH15&lt;=(Config!$C$72*6)),0,Config!$C$70*AH15)</f>
        <v>9890</v>
      </c>
      <c r="AI40" s="122">
        <f>IF((AI15&lt;=(Config!$C$72*6)),0,Config!$C$70*AI15)</f>
        <v>9890</v>
      </c>
      <c r="AJ40" s="59">
        <f t="shared" si="14"/>
        <v>19780</v>
      </c>
      <c r="AK40" s="70"/>
    </row>
    <row r="41" spans="2:37" x14ac:dyDescent="0.2">
      <c r="B41" s="122">
        <f>IF((B16&lt;=Config!$C$72),0,Config!$C$70*B16)</f>
        <v>0</v>
      </c>
      <c r="C41" s="122">
        <f>IF((C16&lt;=Config!$C$72),0,Config!$C$70*C16)</f>
        <v>0</v>
      </c>
      <c r="D41" s="122">
        <f>IF((D16&lt;=Config!$C$72),0,Config!$C$70*D16)</f>
        <v>0</v>
      </c>
      <c r="E41" s="122">
        <f>IF((E16&lt;=Config!$C$72),0,Config!$C$70*E16)</f>
        <v>0</v>
      </c>
      <c r="F41" s="122">
        <f>IF((F16&lt;=Config!$C$72),0,Config!$C$70*F16)</f>
        <v>0</v>
      </c>
      <c r="G41" s="122">
        <f>IF((G16&lt;=Config!$C$72),0,Config!$C$70*G16)</f>
        <v>0</v>
      </c>
      <c r="H41" s="122">
        <f>IF((H16&lt;=Config!$C$72),0,Config!$C$70*H16)</f>
        <v>0</v>
      </c>
      <c r="I41" s="122">
        <f>IF((I16&lt;=Config!$C$72),0,Config!$C$70*I16)</f>
        <v>0</v>
      </c>
      <c r="J41" s="122">
        <f>IF((J16&lt;=Config!$C$72),0,Config!$C$70*J16)</f>
        <v>0</v>
      </c>
      <c r="K41" s="122">
        <f>IF((K16&lt;=Config!$C$72),0,Config!$C$70*K16)</f>
        <v>0</v>
      </c>
      <c r="L41" s="122">
        <f>IF((L16&lt;=Config!$C$72),0,Config!$C$70*L16)</f>
        <v>0</v>
      </c>
      <c r="M41" s="122">
        <f>IF((M16&lt;=Config!$C$72),0,Config!$C$70*M16)</f>
        <v>0</v>
      </c>
      <c r="N41" s="59">
        <f t="shared" si="10"/>
        <v>0</v>
      </c>
      <c r="O41" s="122">
        <f>IF((O16&lt;=Config!$C$72),0,Config!$C$70*O16)</f>
        <v>0</v>
      </c>
      <c r="P41" s="122">
        <f>IF((P16&lt;=Config!$C$72),0,Config!$C$70*P16)</f>
        <v>0</v>
      </c>
      <c r="Q41" s="122">
        <f>IF((Q16&lt;=Config!$C$72),0,Config!$C$70*Q16)</f>
        <v>0</v>
      </c>
      <c r="R41" s="122">
        <f>IF((R16&lt;=Config!$C$72),0,Config!$C$70*R16)</f>
        <v>0</v>
      </c>
      <c r="S41" s="122">
        <f>IF((S16&lt;=Config!$C$72),0,Config!$C$70*S16)</f>
        <v>0</v>
      </c>
      <c r="T41" s="122">
        <f>IF((T16&lt;=Config!$C$72),0,Config!$C$70*T16)</f>
        <v>0</v>
      </c>
      <c r="U41" s="122">
        <f>IF((U16&lt;=Config!$C$72),0,Config!$C$70*U16)</f>
        <v>0</v>
      </c>
      <c r="V41" s="122">
        <f>IF((V16&lt;=Config!$C$72),0,Config!$C$70*V16)</f>
        <v>0</v>
      </c>
      <c r="W41" s="122">
        <f>IF((W16&lt;=Config!$C$72),0,Config!$C$70*W16)</f>
        <v>860</v>
      </c>
      <c r="X41" s="122">
        <f>IF((X16&lt;=Config!$C$72),0,Config!$C$70*X16)</f>
        <v>860</v>
      </c>
      <c r="Y41" s="122">
        <f>IF((Y16&lt;=Config!$C$72),0,Config!$C$70*Y16)</f>
        <v>860</v>
      </c>
      <c r="Z41" s="122">
        <f>IF((Z16&lt;=Config!$C$72),0,Config!$C$70*Z16)</f>
        <v>860</v>
      </c>
      <c r="AA41" s="59">
        <f t="shared" si="11"/>
        <v>3440</v>
      </c>
      <c r="AB41" s="122">
        <f>IF((AB16&lt;=(Config!$C$72*6)),0,Config!$C$70*AB16)</f>
        <v>5375</v>
      </c>
      <c r="AC41" s="122">
        <f>IF((AC16&lt;=(Config!$C$72*6)),0,Config!$C$70*AC16)</f>
        <v>5375</v>
      </c>
      <c r="AD41" s="59">
        <f t="shared" si="12"/>
        <v>10750</v>
      </c>
      <c r="AE41" s="122">
        <f>IF((AE16&lt;=(Config!$C$72*6)),0,Config!$C$70*AE16)</f>
        <v>5590</v>
      </c>
      <c r="AF41" s="122">
        <f>IF((AF16&lt;=(Config!$C$72*6)),0,Config!$C$70*AF16)</f>
        <v>5590</v>
      </c>
      <c r="AG41" s="59">
        <f t="shared" si="13"/>
        <v>11180</v>
      </c>
      <c r="AH41" s="122">
        <f>IF((AH16&lt;=(Config!$C$72*6)),0,Config!$C$70*AH16)</f>
        <v>6020</v>
      </c>
      <c r="AI41" s="122">
        <f>IF((AI16&lt;=(Config!$C$72*6)),0,Config!$C$70*AI16)</f>
        <v>6020</v>
      </c>
      <c r="AJ41" s="59">
        <f t="shared" si="14"/>
        <v>12040</v>
      </c>
      <c r="AK41" s="70"/>
    </row>
    <row r="42" spans="2:37" x14ac:dyDescent="0.2">
      <c r="B42" s="122">
        <f>IF((B17&lt;=Config!$C$72),0,Config!$C$70*B17)</f>
        <v>0</v>
      </c>
      <c r="C42" s="122">
        <f>IF((C17&lt;=Config!$C$72),0,Config!$C$70*C17)</f>
        <v>0</v>
      </c>
      <c r="D42" s="122">
        <f>IF((D17&lt;=Config!$C$72),0,Config!$C$70*D17)</f>
        <v>0</v>
      </c>
      <c r="E42" s="122">
        <f>IF((E17&lt;=Config!$C$72),0,Config!$C$70*E17)</f>
        <v>0</v>
      </c>
      <c r="F42" s="122">
        <f>IF((F17&lt;=Config!$C$72),0,Config!$C$70*F17)</f>
        <v>0</v>
      </c>
      <c r="G42" s="122">
        <f>IF((G17&lt;=Config!$C$72),0,Config!$C$70*G17)</f>
        <v>0</v>
      </c>
      <c r="H42" s="122">
        <f>IF((H17&lt;=Config!$C$72),0,Config!$C$70*H17)</f>
        <v>0</v>
      </c>
      <c r="I42" s="122">
        <f>IF((I17&lt;=Config!$C$72),0,Config!$C$70*I17)</f>
        <v>0</v>
      </c>
      <c r="J42" s="122">
        <f>IF((J17&lt;=Config!$C$72),0,Config!$C$70*J17)</f>
        <v>0</v>
      </c>
      <c r="K42" s="122">
        <f>IF((K17&lt;=Config!$C$72),0,Config!$C$70*K17)</f>
        <v>0</v>
      </c>
      <c r="L42" s="122">
        <f>IF((L17&lt;=Config!$C$72),0,Config!$C$70*L17)</f>
        <v>0</v>
      </c>
      <c r="M42" s="122">
        <f>IF((M17&lt;=Config!$C$72),0,Config!$C$70*M17)</f>
        <v>0</v>
      </c>
      <c r="N42" s="59">
        <f t="shared" si="10"/>
        <v>0</v>
      </c>
      <c r="O42" s="122">
        <f>IF((O17&lt;=Config!$C$72),0,Config!$C$70*O17)</f>
        <v>0</v>
      </c>
      <c r="P42" s="122">
        <f>IF((P17&lt;=Config!$C$72),0,Config!$C$70*P17)</f>
        <v>0</v>
      </c>
      <c r="Q42" s="122">
        <f>IF((Q17&lt;=Config!$C$72),0,Config!$C$70*Q17)</f>
        <v>0</v>
      </c>
      <c r="R42" s="122">
        <f>IF((R17&lt;=Config!$C$72),0,Config!$C$70*R17)</f>
        <v>0</v>
      </c>
      <c r="S42" s="122">
        <f>IF((S17&lt;=Config!$C$72),0,Config!$C$70*S17)</f>
        <v>0</v>
      </c>
      <c r="T42" s="122">
        <f>IF((T17&lt;=Config!$C$72),0,Config!$C$70*T17)</f>
        <v>0</v>
      </c>
      <c r="U42" s="122">
        <f>IF((U17&lt;=Config!$C$72),0,Config!$C$70*U17)</f>
        <v>0</v>
      </c>
      <c r="V42" s="122">
        <f>IF((V17&lt;=Config!$C$72),0,Config!$C$70*V17)</f>
        <v>0</v>
      </c>
      <c r="W42" s="122">
        <f>IF((W17&lt;=Config!$C$72),0,Config!$C$70*W17)</f>
        <v>465.83333333333331</v>
      </c>
      <c r="X42" s="122">
        <f>IF((X17&lt;=Config!$C$72),0,Config!$C$70*X17)</f>
        <v>465.83333333333331</v>
      </c>
      <c r="Y42" s="122">
        <f>IF((Y17&lt;=Config!$C$72),0,Config!$C$70*Y17)</f>
        <v>465.83333333333331</v>
      </c>
      <c r="Z42" s="122">
        <f>IF((Z17&lt;=Config!$C$72),0,Config!$C$70*Z17)</f>
        <v>465.83333333333331</v>
      </c>
      <c r="AA42" s="59">
        <f t="shared" si="11"/>
        <v>1863.3333333333333</v>
      </c>
      <c r="AB42" s="122">
        <f>IF((AB17&lt;=(Config!$C$72*6)),0,Config!$C$70*AB17)</f>
        <v>2795</v>
      </c>
      <c r="AC42" s="122">
        <f>IF((AC17&lt;=(Config!$C$72*6)),0,Config!$C$70*AC17)</f>
        <v>2795</v>
      </c>
      <c r="AD42" s="59">
        <f t="shared" si="12"/>
        <v>5590</v>
      </c>
      <c r="AE42" s="122">
        <f>IF((AE17&lt;=(Config!$C$72*6)),0,Config!$C$70*AE17)</f>
        <v>0</v>
      </c>
      <c r="AF42" s="122">
        <f>IF((AF17&lt;=(Config!$C$72*6)),0,Config!$C$70*AF17)</f>
        <v>0</v>
      </c>
      <c r="AG42" s="59">
        <f t="shared" si="13"/>
        <v>0</v>
      </c>
      <c r="AH42" s="122">
        <f>IF((AH17&lt;=(Config!$C$72*6)),0,Config!$C$70*AH17)</f>
        <v>0</v>
      </c>
      <c r="AI42" s="122">
        <f>IF((AI17&lt;=(Config!$C$72*6)),0,Config!$C$70*AI17)</f>
        <v>0</v>
      </c>
      <c r="AJ42" s="59">
        <f t="shared" si="14"/>
        <v>0</v>
      </c>
      <c r="AK42" s="70"/>
    </row>
    <row r="43" spans="2:37" x14ac:dyDescent="0.2">
      <c r="B43" s="122">
        <f>IF((B18&lt;=Config!$C$72),0,Config!$C$70*B18)</f>
        <v>0</v>
      </c>
      <c r="C43" s="122">
        <f>IF((C18&lt;=Config!$C$72),0,Config!$C$70*C18)</f>
        <v>0</v>
      </c>
      <c r="D43" s="122">
        <f>IF((D18&lt;=Config!$C$72),0,Config!$C$70*D18)</f>
        <v>0</v>
      </c>
      <c r="E43" s="122">
        <f>IF((E18&lt;=Config!$C$72),0,Config!$C$70*E18)</f>
        <v>0</v>
      </c>
      <c r="F43" s="122">
        <f>IF((F18&lt;=Config!$C$72),0,Config!$C$70*F18)</f>
        <v>0</v>
      </c>
      <c r="G43" s="122">
        <f>IF((G18&lt;=Config!$C$72),0,Config!$C$70*G18)</f>
        <v>0</v>
      </c>
      <c r="H43" s="122">
        <f>IF((H18&lt;=Config!$C$72),0,Config!$C$70*H18)</f>
        <v>0</v>
      </c>
      <c r="I43" s="122">
        <f>IF((I18&lt;=Config!$C$72),0,Config!$C$70*I18)</f>
        <v>0</v>
      </c>
      <c r="J43" s="122">
        <f>IF((J18&lt;=Config!$C$72),0,Config!$C$70*J18)</f>
        <v>0</v>
      </c>
      <c r="K43" s="122">
        <f>IF((K18&lt;=Config!$C$72),0,Config!$C$70*K18)</f>
        <v>0</v>
      </c>
      <c r="L43" s="122">
        <f>IF((L18&lt;=Config!$C$72),0,Config!$C$70*L18)</f>
        <v>0</v>
      </c>
      <c r="M43" s="122">
        <f>IF((M18&lt;=Config!$C$72),0,Config!$C$70*M18)</f>
        <v>0</v>
      </c>
      <c r="N43" s="59">
        <f t="shared" si="10"/>
        <v>0</v>
      </c>
      <c r="O43" s="122">
        <f>IF((O18&lt;=Config!$C$72),0,Config!$C$70*O18)</f>
        <v>0</v>
      </c>
      <c r="P43" s="122">
        <f>IF((P18&lt;=Config!$C$72),0,Config!$C$70*P18)</f>
        <v>0</v>
      </c>
      <c r="Q43" s="122">
        <f>IF((Q18&lt;=Config!$C$72),0,Config!$C$70*Q18)</f>
        <v>0</v>
      </c>
      <c r="R43" s="122">
        <f>IF((R18&lt;=Config!$C$72),0,Config!$C$70*R18)</f>
        <v>0</v>
      </c>
      <c r="S43" s="122">
        <f>IF((S18&lt;=Config!$C$72),0,Config!$C$70*S18)</f>
        <v>0</v>
      </c>
      <c r="T43" s="122">
        <f>IF((T18&lt;=Config!$C$72),0,Config!$C$70*T18)</f>
        <v>0</v>
      </c>
      <c r="U43" s="122">
        <f>IF((U18&lt;=Config!$C$72),0,Config!$C$70*U18)</f>
        <v>0</v>
      </c>
      <c r="V43" s="122">
        <f>IF((V18&lt;=Config!$C$72),0,Config!$C$70*V18)</f>
        <v>0</v>
      </c>
      <c r="W43" s="122">
        <f>IF((W18&lt;=Config!$C$72),0,Config!$C$70*W18)</f>
        <v>0</v>
      </c>
      <c r="X43" s="122">
        <f>IF((X18&lt;=Config!$C$72),0,Config!$C$70*X18)</f>
        <v>0</v>
      </c>
      <c r="Y43" s="122">
        <f>IF((Y18&lt;=Config!$C$72),0,Config!$C$70*Y18)</f>
        <v>0</v>
      </c>
      <c r="Z43" s="122">
        <f>IF((Z18&lt;=Config!$C$72),0,Config!$C$70*Z18)</f>
        <v>0</v>
      </c>
      <c r="AA43" s="59">
        <f t="shared" si="11"/>
        <v>0</v>
      </c>
      <c r="AB43" s="122">
        <f>IF((AB18&lt;=(Config!$C$72*6)),0,Config!$C$70*AB18)</f>
        <v>0</v>
      </c>
      <c r="AC43" s="122">
        <f>IF((AC18&lt;=(Config!$C$72*6)),0,Config!$C$70*AC18)</f>
        <v>0</v>
      </c>
      <c r="AD43" s="59">
        <f t="shared" si="12"/>
        <v>0</v>
      </c>
      <c r="AE43" s="122">
        <f>IF((AE18&lt;=(Config!$C$72*6)),0,Config!$C$70*AE18)</f>
        <v>0</v>
      </c>
      <c r="AF43" s="122">
        <f>IF((AF18&lt;=(Config!$C$72*6)),0,Config!$C$70*AF18)</f>
        <v>0</v>
      </c>
      <c r="AG43" s="59">
        <f t="shared" si="13"/>
        <v>0</v>
      </c>
      <c r="AH43" s="122">
        <f>IF((AH18&lt;=(Config!$C$72*6)),0,Config!$C$70*AH18)</f>
        <v>0</v>
      </c>
      <c r="AI43" s="122">
        <f>IF((AI18&lt;=(Config!$C$72*6)),0,Config!$C$70*AI18)</f>
        <v>0</v>
      </c>
      <c r="AJ43" s="59">
        <f t="shared" si="14"/>
        <v>0</v>
      </c>
      <c r="AK43" s="70"/>
    </row>
    <row r="44" spans="2:37" x14ac:dyDescent="0.2">
      <c r="B44" s="122">
        <f>IF((B19&lt;=Config!$C$72),0,Config!$C$70*B19)</f>
        <v>0</v>
      </c>
      <c r="C44" s="122">
        <f>IF((C19&lt;=Config!$C$72),0,Config!$C$70*C19)</f>
        <v>0</v>
      </c>
      <c r="D44" s="122">
        <f>IF((D19&lt;=Config!$C$72),0,Config!$C$70*D19)</f>
        <v>0</v>
      </c>
      <c r="E44" s="122">
        <f>IF((E19&lt;=Config!$C$72),0,Config!$C$70*E19)</f>
        <v>0</v>
      </c>
      <c r="F44" s="122">
        <f>IF((F19&lt;=Config!$C$72),0,Config!$C$70*F19)</f>
        <v>0</v>
      </c>
      <c r="G44" s="122">
        <f>IF((G19&lt;=Config!$C$72),0,Config!$C$70*G19)</f>
        <v>0</v>
      </c>
      <c r="H44" s="122">
        <f>IF((H19&lt;=Config!$C$72),0,Config!$C$70*H19)</f>
        <v>0</v>
      </c>
      <c r="I44" s="122">
        <f>IF((I19&lt;=Config!$C$72),0,Config!$C$70*I19)</f>
        <v>0</v>
      </c>
      <c r="J44" s="122">
        <f>IF((J19&lt;=Config!$C$72),0,Config!$C$70*J19)</f>
        <v>0</v>
      </c>
      <c r="K44" s="122">
        <f>IF((K19&lt;=Config!$C$72),0,Config!$C$70*K19)</f>
        <v>0</v>
      </c>
      <c r="L44" s="122">
        <f>IF((L19&lt;=Config!$C$72),0,Config!$C$70*L19)</f>
        <v>0</v>
      </c>
      <c r="M44" s="122">
        <f>IF((M19&lt;=Config!$C$72),0,Config!$C$70*M19)</f>
        <v>0</v>
      </c>
      <c r="N44" s="59">
        <f t="shared" si="10"/>
        <v>0</v>
      </c>
      <c r="O44" s="122">
        <f>IF((O19&lt;=Config!$C$72),0,Config!$C$70*O19)</f>
        <v>0</v>
      </c>
      <c r="P44" s="122">
        <f>IF((P19&lt;=Config!$C$72),0,Config!$C$70*P19)</f>
        <v>0</v>
      </c>
      <c r="Q44" s="122">
        <f>IF((Q19&lt;=Config!$C$72),0,Config!$C$70*Q19)</f>
        <v>0</v>
      </c>
      <c r="R44" s="122">
        <f>IF((R19&lt;=Config!$C$72),0,Config!$C$70*R19)</f>
        <v>0</v>
      </c>
      <c r="S44" s="122">
        <f>IF((S19&lt;=Config!$C$72),0,Config!$C$70*S19)</f>
        <v>0</v>
      </c>
      <c r="T44" s="122">
        <f>IF((T19&lt;=Config!$C$72),0,Config!$C$70*T19)</f>
        <v>0</v>
      </c>
      <c r="U44" s="122">
        <f>IF((U19&lt;=Config!$C$72),0,Config!$C$70*U19)</f>
        <v>0</v>
      </c>
      <c r="V44" s="122">
        <f>IF((V19&lt;=Config!$C$72),0,Config!$C$70*V19)</f>
        <v>0</v>
      </c>
      <c r="W44" s="122">
        <f>IF((W19&lt;=Config!$C$72),0,Config!$C$70*W19)</f>
        <v>0</v>
      </c>
      <c r="X44" s="122">
        <f>IF((X19&lt;=Config!$C$72),0,Config!$C$70*X19)</f>
        <v>0</v>
      </c>
      <c r="Y44" s="122">
        <f>IF((Y19&lt;=Config!$C$72),0,Config!$C$70*Y19)</f>
        <v>0</v>
      </c>
      <c r="Z44" s="122">
        <f>IF((Z19&lt;=Config!$C$72),0,Config!$C$70*Z19)</f>
        <v>0</v>
      </c>
      <c r="AA44" s="59">
        <f t="shared" si="11"/>
        <v>0</v>
      </c>
      <c r="AB44" s="122">
        <f>IF((AB19&lt;=(Config!$C$72*6)),0,Config!$C$70*AB19)</f>
        <v>0</v>
      </c>
      <c r="AC44" s="122">
        <f>IF((AC19&lt;=(Config!$C$72*6)),0,Config!$C$70*AC19)</f>
        <v>0</v>
      </c>
      <c r="AD44" s="59">
        <f t="shared" si="12"/>
        <v>0</v>
      </c>
      <c r="AE44" s="122">
        <f>IF((AE19&lt;=(Config!$C$72*6)),0,Config!$C$70*AE19)</f>
        <v>6880</v>
      </c>
      <c r="AF44" s="122">
        <f>IF((AF19&lt;=(Config!$C$72*6)),0,Config!$C$70*AF19)</f>
        <v>6880</v>
      </c>
      <c r="AG44" s="59">
        <f t="shared" si="13"/>
        <v>13760</v>
      </c>
      <c r="AH44" s="122">
        <f>IF((AH19&lt;=(Config!$C$72*6)),0,Config!$C$70*AH19)</f>
        <v>7525</v>
      </c>
      <c r="AI44" s="122">
        <f>IF((AI19&lt;=(Config!$C$72*6)),0,Config!$C$70*AI19)</f>
        <v>7525</v>
      </c>
      <c r="AJ44" s="59">
        <f t="shared" si="14"/>
        <v>15050</v>
      </c>
      <c r="AK44" s="70"/>
    </row>
    <row r="45" spans="2:37" x14ac:dyDescent="0.2">
      <c r="B45" s="122">
        <f>IF((B20&lt;=Config!$C$72),0,Config!$C$70*B20)</f>
        <v>0</v>
      </c>
      <c r="C45" s="122">
        <f>IF((C20&lt;=Config!$C$72),0,Config!$C$70*C20)</f>
        <v>0</v>
      </c>
      <c r="D45" s="122">
        <f>IF((D20&lt;=Config!$C$72),0,Config!$C$70*D20)</f>
        <v>0</v>
      </c>
      <c r="E45" s="122">
        <f>IF((E20&lt;=Config!$C$72),0,Config!$C$70*E20)</f>
        <v>0</v>
      </c>
      <c r="F45" s="122">
        <f>IF((F20&lt;=Config!$C$72),0,Config!$C$70*F20)</f>
        <v>0</v>
      </c>
      <c r="G45" s="122">
        <f>IF((G20&lt;=Config!$C$72),0,Config!$C$70*G20)</f>
        <v>0</v>
      </c>
      <c r="H45" s="122">
        <f>IF((H20&lt;=Config!$C$72),0,Config!$C$70*H20)</f>
        <v>0</v>
      </c>
      <c r="I45" s="122">
        <f>IF((I20&lt;=Config!$C$72),0,Config!$C$70*I20)</f>
        <v>0</v>
      </c>
      <c r="J45" s="122">
        <f>IF((J20&lt;=Config!$C$72),0,Config!$C$70*J20)</f>
        <v>0</v>
      </c>
      <c r="K45" s="122">
        <f>IF((K20&lt;=Config!$C$72),0,Config!$C$70*K20)</f>
        <v>0</v>
      </c>
      <c r="L45" s="122">
        <f>IF((L20&lt;=Config!$C$72),0,Config!$C$70*L20)</f>
        <v>0</v>
      </c>
      <c r="M45" s="122">
        <f>IF((M20&lt;=Config!$C$72),0,Config!$C$70*M20)</f>
        <v>0</v>
      </c>
      <c r="N45" s="59">
        <f t="shared" si="10"/>
        <v>0</v>
      </c>
      <c r="O45" s="122">
        <f>IF((O20&lt;=Config!$C$72),0,Config!$C$70*O20)</f>
        <v>0</v>
      </c>
      <c r="P45" s="122">
        <f>IF((P20&lt;=Config!$C$72),0,Config!$C$70*P20)</f>
        <v>0</v>
      </c>
      <c r="Q45" s="122">
        <f>IF((Q20&lt;=Config!$C$72),0,Config!$C$70*Q20)</f>
        <v>0</v>
      </c>
      <c r="R45" s="122">
        <f>IF((R20&lt;=Config!$C$72),0,Config!$C$70*R20)</f>
        <v>0</v>
      </c>
      <c r="S45" s="122">
        <f>IF((S20&lt;=Config!$C$72),0,Config!$C$70*S20)</f>
        <v>0</v>
      </c>
      <c r="T45" s="122">
        <f>IF((T20&lt;=Config!$C$72),0,Config!$C$70*T20)</f>
        <v>0</v>
      </c>
      <c r="U45" s="122">
        <f>IF((U20&lt;=Config!$C$72),0,Config!$C$70*U20)</f>
        <v>0</v>
      </c>
      <c r="V45" s="122">
        <f>IF((V20&lt;=Config!$C$72),0,Config!$C$70*V20)</f>
        <v>0</v>
      </c>
      <c r="W45" s="122">
        <f>IF((W20&lt;=Config!$C$72),0,Config!$C$70*W20)</f>
        <v>0</v>
      </c>
      <c r="X45" s="122">
        <f>IF((X20&lt;=Config!$C$72),0,Config!$C$70*X20)</f>
        <v>0</v>
      </c>
      <c r="Y45" s="122">
        <f>IF((Y20&lt;=Config!$C$72),0,Config!$C$70*Y20)</f>
        <v>0</v>
      </c>
      <c r="Z45" s="122">
        <f>IF((Z20&lt;=Config!$C$72),0,Config!$C$70*Z20)</f>
        <v>0</v>
      </c>
      <c r="AA45" s="59">
        <f t="shared" si="11"/>
        <v>0</v>
      </c>
      <c r="AB45" s="122">
        <f>IF((AB20&lt;=(Config!$C$72*6)),0,Config!$C$70*AB20)</f>
        <v>0</v>
      </c>
      <c r="AC45" s="122">
        <f>IF((AC20&lt;=(Config!$C$72*6)),0,Config!$C$70*AC20)</f>
        <v>0</v>
      </c>
      <c r="AD45" s="59">
        <f t="shared" si="12"/>
        <v>0</v>
      </c>
      <c r="AE45" s="122">
        <f>IF((AE20&lt;=(Config!$C$72*6)),0,Config!$C$70*AE20)</f>
        <v>0</v>
      </c>
      <c r="AF45" s="122">
        <f>IF((AF20&lt;=(Config!$C$72*6)),0,Config!$C$70*AF20)</f>
        <v>0</v>
      </c>
      <c r="AG45" s="59">
        <f t="shared" si="13"/>
        <v>0</v>
      </c>
      <c r="AH45" s="122">
        <f>IF((AH20&lt;=(Config!$C$72*6)),0,Config!$C$70*AH20)</f>
        <v>6450</v>
      </c>
      <c r="AI45" s="122">
        <f>IF((AI20&lt;=(Config!$C$72*6)),0,Config!$C$70*AI20)</f>
        <v>6450</v>
      </c>
      <c r="AJ45" s="59">
        <f t="shared" si="14"/>
        <v>12900</v>
      </c>
      <c r="AK45" s="70"/>
    </row>
    <row r="46" spans="2:37" x14ac:dyDescent="0.2">
      <c r="B46" s="122">
        <f>IF((B21&lt;=Config!$C$72),0,Config!$C$70*B21)</f>
        <v>0</v>
      </c>
      <c r="C46" s="122">
        <f>IF((C21&lt;=Config!$C$72),0,Config!$C$70*C21)</f>
        <v>0</v>
      </c>
      <c r="D46" s="122">
        <f>IF((D21&lt;=Config!$C$72),0,Config!$C$70*D21)</f>
        <v>0</v>
      </c>
      <c r="E46" s="122">
        <f>IF((E21&lt;=Config!$C$72),0,Config!$C$70*E21)</f>
        <v>0</v>
      </c>
      <c r="F46" s="122">
        <f>IF((F21&lt;=Config!$C$72),0,Config!$C$70*F21)</f>
        <v>0</v>
      </c>
      <c r="G46" s="122">
        <f>IF((G21&lt;=Config!$C$72),0,Config!$C$70*G21)</f>
        <v>0</v>
      </c>
      <c r="H46" s="122">
        <f>IF((H21&lt;=Config!$C$72),0,Config!$C$70*H21)</f>
        <v>0</v>
      </c>
      <c r="I46" s="122">
        <f>IF((I21&lt;=Config!$C$72),0,Config!$C$70*I21)</f>
        <v>0</v>
      </c>
      <c r="J46" s="122">
        <f>IF((J21&lt;=Config!$C$72),0,Config!$C$70*J21)</f>
        <v>0</v>
      </c>
      <c r="K46" s="122">
        <f>IF((K21&lt;=Config!$C$72),0,Config!$C$70*K21)</f>
        <v>0</v>
      </c>
      <c r="L46" s="122">
        <f>IF((L21&lt;=Config!$C$72),0,Config!$C$70*L21)</f>
        <v>0</v>
      </c>
      <c r="M46" s="122">
        <f>IF((M21&lt;=Config!$C$72),0,Config!$C$70*M21)</f>
        <v>0</v>
      </c>
      <c r="N46" s="59">
        <f t="shared" si="10"/>
        <v>0</v>
      </c>
      <c r="O46" s="122">
        <f>IF((O21&lt;=Config!$C$72),0,Config!$C$70*O21)</f>
        <v>0</v>
      </c>
      <c r="P46" s="122">
        <f>IF((P21&lt;=Config!$C$72),0,Config!$C$70*P21)</f>
        <v>0</v>
      </c>
      <c r="Q46" s="122">
        <f>IF((Q21&lt;=Config!$C$72),0,Config!$C$70*Q21)</f>
        <v>0</v>
      </c>
      <c r="R46" s="122">
        <f>IF((R21&lt;=Config!$C$72),0,Config!$C$70*R21)</f>
        <v>0</v>
      </c>
      <c r="S46" s="122">
        <f>IF((S21&lt;=Config!$C$72),0,Config!$C$70*S21)</f>
        <v>0</v>
      </c>
      <c r="T46" s="122">
        <f>IF((T21&lt;=Config!$C$72),0,Config!$C$70*T21)</f>
        <v>0</v>
      </c>
      <c r="U46" s="122">
        <f>IF((U21&lt;=Config!$C$72),0,Config!$C$70*U21)</f>
        <v>0</v>
      </c>
      <c r="V46" s="122">
        <f>IF((V21&lt;=Config!$C$72),0,Config!$C$70*V21)</f>
        <v>0</v>
      </c>
      <c r="W46" s="122">
        <f>IF((W21&lt;=Config!$C$72),0,Config!$C$70*W21)</f>
        <v>0</v>
      </c>
      <c r="X46" s="122">
        <f>IF((X21&lt;=Config!$C$72),0,Config!$C$70*X21)</f>
        <v>0</v>
      </c>
      <c r="Y46" s="122">
        <f>IF((Y21&lt;=Config!$C$72),0,Config!$C$70*Y21)</f>
        <v>0</v>
      </c>
      <c r="Z46" s="122">
        <f>IF((Z21&lt;=Config!$C$72),0,Config!$C$70*Z21)</f>
        <v>0</v>
      </c>
      <c r="AA46" s="59">
        <f t="shared" si="11"/>
        <v>0</v>
      </c>
      <c r="AB46" s="122">
        <f>IF((AB21&lt;=(Config!$C$72*6)),0,Config!$C$70*AB21)</f>
        <v>0</v>
      </c>
      <c r="AC46" s="122">
        <f>IF((AC21&lt;=(Config!$C$72*6)),0,Config!$C$70*AC21)</f>
        <v>0</v>
      </c>
      <c r="AD46" s="59">
        <f t="shared" si="12"/>
        <v>0</v>
      </c>
      <c r="AE46" s="122">
        <f>IF((AE21&lt;=(Config!$C$72*6)),0,Config!$C$70*AE21)</f>
        <v>0</v>
      </c>
      <c r="AF46" s="122">
        <f>IF((AF21&lt;=(Config!$C$72*6)),0,Config!$C$70*AF21)</f>
        <v>0</v>
      </c>
      <c r="AG46" s="59">
        <f t="shared" si="13"/>
        <v>0</v>
      </c>
      <c r="AH46" s="122">
        <f>IF((AH21&lt;=(Config!$C$72*6)),0,Config!$C$70*AH21)</f>
        <v>0</v>
      </c>
      <c r="AI46" s="122">
        <f>IF((AI21&lt;=(Config!$C$72*6)),0,Config!$C$70*AI21)</f>
        <v>0</v>
      </c>
      <c r="AJ46" s="59">
        <f t="shared" si="14"/>
        <v>0</v>
      </c>
      <c r="AK46" s="70"/>
    </row>
    <row r="47" spans="2:37" x14ac:dyDescent="0.2">
      <c r="B47" s="122">
        <f>IF((B22&lt;=Config!$C$72),0,Config!$C$70*B22)</f>
        <v>0</v>
      </c>
      <c r="C47" s="122">
        <f>IF((C22&lt;=Config!$C$72),0,Config!$C$70*C22)</f>
        <v>0</v>
      </c>
      <c r="D47" s="122">
        <f>IF((D22&lt;=Config!$C$72),0,Config!$C$70*D22)</f>
        <v>0</v>
      </c>
      <c r="E47" s="122">
        <f>IF((E22&lt;=Config!$C$72),0,Config!$C$70*E22)</f>
        <v>0</v>
      </c>
      <c r="F47" s="122">
        <f>IF((F22&lt;=Config!$C$72),0,Config!$C$70*F22)</f>
        <v>0</v>
      </c>
      <c r="G47" s="122">
        <f>IF((G22&lt;=Config!$C$72),0,Config!$C$70*G22)</f>
        <v>0</v>
      </c>
      <c r="H47" s="122">
        <f>IF((H22&lt;=Config!$C$72),0,Config!$C$70*H22)</f>
        <v>0</v>
      </c>
      <c r="I47" s="122">
        <f>IF((I22&lt;=Config!$C$72),0,Config!$C$70*I22)</f>
        <v>0</v>
      </c>
      <c r="J47" s="122">
        <f>IF((J22&lt;=Config!$C$72),0,Config!$C$70*J22)</f>
        <v>0</v>
      </c>
      <c r="K47" s="122">
        <f>IF((K22&lt;=Config!$C$72),0,Config!$C$70*K22)</f>
        <v>0</v>
      </c>
      <c r="L47" s="122">
        <f>IF((L22&lt;=Config!$C$72),0,Config!$C$70*L22)</f>
        <v>0</v>
      </c>
      <c r="M47" s="122">
        <f>IF((M22&lt;=Config!$C$72),0,Config!$C$70*M22)</f>
        <v>0</v>
      </c>
      <c r="N47" s="59">
        <f t="shared" si="10"/>
        <v>0</v>
      </c>
      <c r="O47" s="122">
        <f>IF((O22&lt;=Config!$C$72),0,Config!$C$70*O22)</f>
        <v>0</v>
      </c>
      <c r="P47" s="122">
        <f>IF((P22&lt;=Config!$C$72),0,Config!$C$70*P22)</f>
        <v>0</v>
      </c>
      <c r="Q47" s="122">
        <f>IF((Q22&lt;=Config!$C$72),0,Config!$C$70*Q22)</f>
        <v>0</v>
      </c>
      <c r="R47" s="122">
        <f>IF((R22&lt;=Config!$C$72),0,Config!$C$70*R22)</f>
        <v>0</v>
      </c>
      <c r="S47" s="122">
        <f>IF((S22&lt;=Config!$C$72),0,Config!$C$70*S22)</f>
        <v>0</v>
      </c>
      <c r="T47" s="122">
        <f>IF((T22&lt;=Config!$C$72),0,Config!$C$70*T22)</f>
        <v>0</v>
      </c>
      <c r="U47" s="122">
        <f>IF((U22&lt;=Config!$C$72),0,Config!$C$70*U22)</f>
        <v>0</v>
      </c>
      <c r="V47" s="122">
        <f>IF((V22&lt;=Config!$C$72),0,Config!$C$70*V22)</f>
        <v>0</v>
      </c>
      <c r="W47" s="122">
        <f>IF((W22&lt;=Config!$C$72),0,Config!$C$70*W22)</f>
        <v>0</v>
      </c>
      <c r="X47" s="122">
        <f>IF((X22&lt;=Config!$C$72),0,Config!$C$70*X22)</f>
        <v>0</v>
      </c>
      <c r="Y47" s="122">
        <f>IF((Y22&lt;=Config!$C$72),0,Config!$C$70*Y22)</f>
        <v>0</v>
      </c>
      <c r="Z47" s="122">
        <f>IF((Z22&lt;=Config!$C$72),0,Config!$C$70*Z22)</f>
        <v>0</v>
      </c>
      <c r="AA47" s="59">
        <f t="shared" si="11"/>
        <v>0</v>
      </c>
      <c r="AB47" s="122">
        <f>IF((AB22&lt;=(Config!$C$72*6)),0,Config!$C$70*AB22)</f>
        <v>0</v>
      </c>
      <c r="AC47" s="122">
        <f>IF((AC22&lt;=(Config!$C$72*6)),0,Config!$C$70*AC22)</f>
        <v>0</v>
      </c>
      <c r="AD47" s="59">
        <f t="shared" si="12"/>
        <v>0</v>
      </c>
      <c r="AE47" s="122">
        <f>IF((AE22&lt;=(Config!$C$72*6)),0,Config!$C$70*AE22)</f>
        <v>0</v>
      </c>
      <c r="AF47" s="122">
        <f>IF((AF22&lt;=(Config!$C$72*6)),0,Config!$C$70*AF22)</f>
        <v>0</v>
      </c>
      <c r="AG47" s="59">
        <f t="shared" si="13"/>
        <v>0</v>
      </c>
      <c r="AH47" s="122">
        <f>IF((AH22&lt;=(Config!$C$72*6)),0,Config!$C$70*AH22)</f>
        <v>0</v>
      </c>
      <c r="AI47" s="122">
        <f>IF((AI22&lt;=(Config!$C$72*6)),0,Config!$C$70*AI22)</f>
        <v>0</v>
      </c>
      <c r="AJ47" s="59">
        <f t="shared" si="14"/>
        <v>0</v>
      </c>
      <c r="AK47" s="70"/>
    </row>
    <row r="48" spans="2:37" x14ac:dyDescent="0.2">
      <c r="B48" s="122">
        <f>IF((B23&lt;=Config!$C$72),0,Config!$C$70*B23)</f>
        <v>0</v>
      </c>
      <c r="C48" s="122">
        <f>IF((C23&lt;=Config!$C$72),0,Config!$C$70*C23)</f>
        <v>0</v>
      </c>
      <c r="D48" s="122">
        <f>IF((D23&lt;=Config!$C$72),0,Config!$C$70*D23)</f>
        <v>0</v>
      </c>
      <c r="E48" s="122">
        <f>IF((E23&lt;=Config!$C$72),0,Config!$C$70*E23)</f>
        <v>0</v>
      </c>
      <c r="F48" s="122">
        <f>IF((F23&lt;=Config!$C$72),0,Config!$C$70*F23)</f>
        <v>0</v>
      </c>
      <c r="G48" s="122">
        <f>IF((G23&lt;=Config!$C$72),0,Config!$C$70*G23)</f>
        <v>0</v>
      </c>
      <c r="H48" s="122">
        <f>IF((H23&lt;=Config!$C$72),0,Config!$C$70*H23)</f>
        <v>0</v>
      </c>
      <c r="I48" s="122">
        <f>IF((I23&lt;=Config!$C$72),0,Config!$C$70*I23)</f>
        <v>0</v>
      </c>
      <c r="J48" s="122">
        <f>IF((J23&lt;=Config!$C$72),0,Config!$C$70*J23)</f>
        <v>0</v>
      </c>
      <c r="K48" s="122">
        <f>IF((K23&lt;=Config!$C$72),0,Config!$C$70*K23)</f>
        <v>0</v>
      </c>
      <c r="L48" s="122">
        <f>IF((L23&lt;=Config!$C$72),0,Config!$C$70*L23)</f>
        <v>0</v>
      </c>
      <c r="M48" s="122">
        <f>IF((M23&lt;=Config!$C$72),0,Config!$C$70*M23)</f>
        <v>0</v>
      </c>
      <c r="N48" s="59">
        <f t="shared" si="10"/>
        <v>0</v>
      </c>
      <c r="O48" s="122">
        <f>IF((O23&lt;=Config!$C$72),0,Config!$C$70*O23)</f>
        <v>0</v>
      </c>
      <c r="P48" s="122">
        <f>IF((P23&lt;=Config!$C$72),0,Config!$C$70*P23)</f>
        <v>0</v>
      </c>
      <c r="Q48" s="122">
        <f>IF((Q23&lt;=Config!$C$72),0,Config!$C$70*Q23)</f>
        <v>0</v>
      </c>
      <c r="R48" s="122">
        <f>IF((R23&lt;=Config!$C$72),0,Config!$C$70*R23)</f>
        <v>0</v>
      </c>
      <c r="S48" s="122">
        <f>IF((S23&lt;=Config!$C$72),0,Config!$C$70*S23)</f>
        <v>0</v>
      </c>
      <c r="T48" s="122">
        <f>IF((T23&lt;=Config!$C$72),0,Config!$C$70*T23)</f>
        <v>0</v>
      </c>
      <c r="U48" s="122">
        <f>IF((U23&lt;=Config!$C$72),0,Config!$C$70*U23)</f>
        <v>0</v>
      </c>
      <c r="V48" s="122">
        <f>IF((V23&lt;=Config!$C$72),0,Config!$C$70*V23)</f>
        <v>0</v>
      </c>
      <c r="W48" s="122">
        <f>IF((W23&lt;=Config!$C$72),0,Config!$C$70*W23)</f>
        <v>0</v>
      </c>
      <c r="X48" s="122">
        <f>IF((X23&lt;=Config!$C$72),0,Config!$C$70*X23)</f>
        <v>0</v>
      </c>
      <c r="Y48" s="122">
        <f>IF((Y23&lt;=Config!$C$72),0,Config!$C$70*Y23)</f>
        <v>0</v>
      </c>
      <c r="Z48" s="122">
        <f>IF((Z23&lt;=Config!$C$72),0,Config!$C$70*Z23)</f>
        <v>0</v>
      </c>
      <c r="AA48" s="59">
        <f t="shared" si="11"/>
        <v>0</v>
      </c>
      <c r="AB48" s="122">
        <f>IF((AB23&lt;=(Config!$C$72*6)),0,Config!$C$70*AB23)</f>
        <v>0</v>
      </c>
      <c r="AC48" s="122">
        <f>IF((AC23&lt;=(Config!$C$72*6)),0,Config!$C$70*AC23)</f>
        <v>0</v>
      </c>
      <c r="AD48" s="59">
        <f t="shared" si="12"/>
        <v>0</v>
      </c>
      <c r="AE48" s="122">
        <f>IF((AE23&lt;=(Config!$C$72*6)),0,Config!$C$70*AE23)</f>
        <v>0</v>
      </c>
      <c r="AF48" s="122">
        <f>IF((AF23&lt;=(Config!$C$72*6)),0,Config!$C$70*AF23)</f>
        <v>0</v>
      </c>
      <c r="AG48" s="59">
        <f t="shared" si="13"/>
        <v>0</v>
      </c>
      <c r="AH48" s="122">
        <f>IF((AH23&lt;=(Config!$C$72*6)),0,Config!$C$70*AH23)</f>
        <v>0</v>
      </c>
      <c r="AI48" s="122">
        <f>IF((AI23&lt;=(Config!$C$72*6)),0,Config!$C$70*AI23)</f>
        <v>0</v>
      </c>
      <c r="AJ48" s="59">
        <f t="shared" si="14"/>
        <v>0</v>
      </c>
      <c r="AK48" s="70"/>
    </row>
    <row r="49" spans="2:37" x14ac:dyDescent="0.2">
      <c r="B49" s="122">
        <f>IF((B24&lt;=Config!$C$72),0,Config!$C$70*B24)</f>
        <v>0</v>
      </c>
      <c r="C49" s="122">
        <f>IF((C24&lt;=Config!$C$72),0,Config!$C$70*C24)</f>
        <v>0</v>
      </c>
      <c r="D49" s="122">
        <f>IF((D24&lt;=Config!$C$72),0,Config!$C$70*D24)</f>
        <v>0</v>
      </c>
      <c r="E49" s="122">
        <f>IF((E24&lt;=Config!$C$72),0,Config!$C$70*E24)</f>
        <v>0</v>
      </c>
      <c r="F49" s="122">
        <f>IF((F24&lt;=Config!$C$72),0,Config!$C$70*F24)</f>
        <v>0</v>
      </c>
      <c r="G49" s="122">
        <f>IF((G24&lt;=Config!$C$72),0,Config!$C$70*G24)</f>
        <v>0</v>
      </c>
      <c r="H49" s="122">
        <f>IF((H24&lt;=Config!$C$72),0,Config!$C$70*H24)</f>
        <v>0</v>
      </c>
      <c r="I49" s="122">
        <f>IF((I24&lt;=Config!$C$72),0,Config!$C$70*I24)</f>
        <v>0</v>
      </c>
      <c r="J49" s="122">
        <f>IF((J24&lt;=Config!$C$72),0,Config!$C$70*J24)</f>
        <v>0</v>
      </c>
      <c r="K49" s="122">
        <f>IF((K24&lt;=Config!$C$72),0,Config!$C$70*K24)</f>
        <v>0</v>
      </c>
      <c r="L49" s="122">
        <f>IF((L24&lt;=Config!$C$72),0,Config!$C$70*L24)</f>
        <v>0</v>
      </c>
      <c r="M49" s="122">
        <f>IF((M24&lt;=Config!$C$72),0,Config!$C$70*M24)</f>
        <v>0</v>
      </c>
      <c r="N49" s="59">
        <f t="shared" si="10"/>
        <v>0</v>
      </c>
      <c r="O49" s="122">
        <f>IF((O24&lt;=Config!$C$72),0,Config!$C$70*O24)</f>
        <v>0</v>
      </c>
      <c r="P49" s="122">
        <f>IF((P24&lt;=Config!$C$72),0,Config!$C$70*P24)</f>
        <v>0</v>
      </c>
      <c r="Q49" s="122">
        <f>IF((Q24&lt;=Config!$C$72),0,Config!$C$70*Q24)</f>
        <v>0</v>
      </c>
      <c r="R49" s="122">
        <f>IF((R24&lt;=Config!$C$72),0,Config!$C$70*R24)</f>
        <v>0</v>
      </c>
      <c r="S49" s="122">
        <f>IF((S24&lt;=Config!$C$72),0,Config!$C$70*S24)</f>
        <v>0</v>
      </c>
      <c r="T49" s="122">
        <f>IF((T24&lt;=Config!$C$72),0,Config!$C$70*T24)</f>
        <v>0</v>
      </c>
      <c r="U49" s="122">
        <f>IF((U24&lt;=Config!$C$72),0,Config!$C$70*U24)</f>
        <v>0</v>
      </c>
      <c r="V49" s="122">
        <f>IF((V24&lt;=Config!$C$72),0,Config!$C$70*V24)</f>
        <v>0</v>
      </c>
      <c r="W49" s="122">
        <f>IF((W24&lt;=Config!$C$72),0,Config!$C$70*W24)</f>
        <v>0</v>
      </c>
      <c r="X49" s="122">
        <f>IF((X24&lt;=Config!$C$72),0,Config!$C$70*X24)</f>
        <v>0</v>
      </c>
      <c r="Y49" s="122">
        <f>IF((Y24&lt;=Config!$C$72),0,Config!$C$70*Y24)</f>
        <v>0</v>
      </c>
      <c r="Z49" s="122">
        <f>IF((Z24&lt;=Config!$C$72),0,Config!$C$70*Z24)</f>
        <v>0</v>
      </c>
      <c r="AA49" s="59">
        <f t="shared" si="11"/>
        <v>0</v>
      </c>
      <c r="AB49" s="122">
        <f>IF((AB24&lt;=(Config!$C$72*6)),0,Config!$C$70*AB24)</f>
        <v>0</v>
      </c>
      <c r="AC49" s="122">
        <f>IF((AC24&lt;=(Config!$C$72*6)),0,Config!$C$70*AC24)</f>
        <v>0</v>
      </c>
      <c r="AD49" s="59">
        <f t="shared" si="12"/>
        <v>0</v>
      </c>
      <c r="AE49" s="122">
        <f>IF((AE24&lt;=(Config!$C$72*6)),0,Config!$C$70*AE24)</f>
        <v>0</v>
      </c>
      <c r="AF49" s="122">
        <f>IF((AF24&lt;=(Config!$C$72*6)),0,Config!$C$70*AF24)</f>
        <v>0</v>
      </c>
      <c r="AG49" s="59">
        <f t="shared" si="13"/>
        <v>0</v>
      </c>
      <c r="AH49" s="122">
        <f>IF((AH24&lt;=(Config!$C$72*6)),0,Config!$C$70*AH24)</f>
        <v>0</v>
      </c>
      <c r="AI49" s="122">
        <f>IF((AI24&lt;=(Config!$C$72*6)),0,Config!$C$70*AI24)</f>
        <v>0</v>
      </c>
      <c r="AJ49" s="59">
        <f t="shared" si="14"/>
        <v>0</v>
      </c>
      <c r="AK49" s="70"/>
    </row>
    <row r="50" spans="2:37" x14ac:dyDescent="0.2">
      <c r="B50" s="122">
        <f>IF((B25&lt;=Config!$C$72),0,Config!$C$70*B25)</f>
        <v>0</v>
      </c>
      <c r="C50" s="122">
        <f>IF((C25&lt;=Config!$C$72),0,Config!$C$70*C25)</f>
        <v>0</v>
      </c>
      <c r="D50" s="122">
        <f>IF((D25&lt;=Config!$C$72),0,Config!$C$70*D25)</f>
        <v>0</v>
      </c>
      <c r="E50" s="122">
        <f>IF((E25&lt;=Config!$C$72),0,Config!$C$70*E25)</f>
        <v>0</v>
      </c>
      <c r="F50" s="122">
        <f>IF((F25&lt;=Config!$C$72),0,Config!$C$70*F25)</f>
        <v>0</v>
      </c>
      <c r="G50" s="122">
        <f>IF((G25&lt;=Config!$C$72),0,Config!$C$70*G25)</f>
        <v>0</v>
      </c>
      <c r="H50" s="122">
        <f>IF((H25&lt;=Config!$C$72),0,Config!$C$70*H25)</f>
        <v>0</v>
      </c>
      <c r="I50" s="122">
        <f>IF((I25&lt;=Config!$C$72),0,Config!$C$70*I25)</f>
        <v>0</v>
      </c>
      <c r="J50" s="122">
        <f>IF((J25&lt;=Config!$C$72),0,Config!$C$70*J25)</f>
        <v>0</v>
      </c>
      <c r="K50" s="122">
        <f>IF((K25&lt;=Config!$C$72),0,Config!$C$70*K25)</f>
        <v>0</v>
      </c>
      <c r="L50" s="122">
        <f>IF((L25&lt;=Config!$C$72),0,Config!$C$70*L25)</f>
        <v>0</v>
      </c>
      <c r="M50" s="122">
        <f>IF((M25&lt;=Config!$C$72),0,Config!$C$70*M25)</f>
        <v>0</v>
      </c>
      <c r="N50" s="59">
        <f t="shared" si="10"/>
        <v>0</v>
      </c>
      <c r="O50" s="122">
        <f>IF((O25&lt;=Config!$C$72),0,Config!$C$70*O25)</f>
        <v>0</v>
      </c>
      <c r="P50" s="122">
        <f>IF((P25&lt;=Config!$C$72),0,Config!$C$70*P25)</f>
        <v>0</v>
      </c>
      <c r="Q50" s="122">
        <f>IF((Q25&lt;=Config!$C$72),0,Config!$C$70*Q25)</f>
        <v>0</v>
      </c>
      <c r="R50" s="122">
        <f>IF((R25&lt;=Config!$C$72),0,Config!$C$70*R25)</f>
        <v>0</v>
      </c>
      <c r="S50" s="122">
        <f>IF((S25&lt;=Config!$C$72),0,Config!$C$70*S25)</f>
        <v>0</v>
      </c>
      <c r="T50" s="122">
        <f>IF((T25&lt;=Config!$C$72),0,Config!$C$70*T25)</f>
        <v>0</v>
      </c>
      <c r="U50" s="122">
        <f>IF((U25&lt;=Config!$C$72),0,Config!$C$70*U25)</f>
        <v>0</v>
      </c>
      <c r="V50" s="122">
        <f>IF((V25&lt;=Config!$C$72),0,Config!$C$70*V25)</f>
        <v>0</v>
      </c>
      <c r="W50" s="122">
        <f>IF((W25&lt;=Config!$C$72),0,Config!$C$70*W25)</f>
        <v>0</v>
      </c>
      <c r="X50" s="122">
        <f>IF((X25&lt;=Config!$C$72),0,Config!$C$70*X25)</f>
        <v>0</v>
      </c>
      <c r="Y50" s="122">
        <f>IF((Y25&lt;=Config!$C$72),0,Config!$C$70*Y25)</f>
        <v>0</v>
      </c>
      <c r="Z50" s="122">
        <f>IF((Z25&lt;=Config!$C$72),0,Config!$C$70*Z25)</f>
        <v>0</v>
      </c>
      <c r="AA50" s="59">
        <f t="shared" si="11"/>
        <v>0</v>
      </c>
      <c r="AB50" s="122">
        <f>IF((AB25&lt;=(Config!$C$72*6)),0,Config!$C$70*AB25)</f>
        <v>0</v>
      </c>
      <c r="AC50" s="122">
        <f>IF((AC25&lt;=(Config!$C$72*6)),0,Config!$C$70*AC25)</f>
        <v>0</v>
      </c>
      <c r="AD50" s="59">
        <f t="shared" si="12"/>
        <v>0</v>
      </c>
      <c r="AE50" s="122">
        <f>IF((AE25&lt;=(Config!$C$72*6)),0,Config!$C$70*AE25)</f>
        <v>0</v>
      </c>
      <c r="AF50" s="122">
        <f>IF((AF25&lt;=(Config!$C$72*6)),0,Config!$C$70*AF25)</f>
        <v>0</v>
      </c>
      <c r="AG50" s="59">
        <f t="shared" si="13"/>
        <v>0</v>
      </c>
      <c r="AH50" s="122">
        <f>IF((AH25&lt;=(Config!$C$72*6)),0,Config!$C$70*AH25)</f>
        <v>0</v>
      </c>
      <c r="AI50" s="122">
        <f>IF((AI25&lt;=(Config!$C$72*6)),0,Config!$C$70*AI25)</f>
        <v>0</v>
      </c>
      <c r="AJ50" s="59">
        <f t="shared" si="14"/>
        <v>0</v>
      </c>
      <c r="AK50" s="70"/>
    </row>
    <row r="51" spans="2:37" x14ac:dyDescent="0.2">
      <c r="B51" s="122">
        <f>IF((B26&lt;=Config!$C$72),0,Config!$C$70*B26)</f>
        <v>0</v>
      </c>
      <c r="C51" s="122">
        <f>IF((C26&lt;=Config!$C$72),0,Config!$C$70*C26)</f>
        <v>0</v>
      </c>
      <c r="D51" s="122">
        <f>IF((D26&lt;=Config!$C$72),0,Config!$C$70*D26)</f>
        <v>0</v>
      </c>
      <c r="E51" s="122">
        <f>IF((E26&lt;=Config!$C$72),0,Config!$C$70*E26)</f>
        <v>0</v>
      </c>
      <c r="F51" s="122">
        <f>IF((F26&lt;=Config!$C$72),0,Config!$C$70*F26)</f>
        <v>0</v>
      </c>
      <c r="G51" s="122">
        <f>IF((G26&lt;=Config!$C$72),0,Config!$C$70*G26)</f>
        <v>0</v>
      </c>
      <c r="H51" s="122">
        <f>IF((H26&lt;=Config!$C$72),0,Config!$C$70*H26)</f>
        <v>0</v>
      </c>
      <c r="I51" s="122">
        <f>IF((I26&lt;=Config!$C$72),0,Config!$C$70*I26)</f>
        <v>0</v>
      </c>
      <c r="J51" s="122">
        <f>IF((J26&lt;=Config!$C$72),0,Config!$C$70*J26)</f>
        <v>0</v>
      </c>
      <c r="K51" s="122">
        <f>IF((K26&lt;=Config!$C$72),0,Config!$C$70*K26)</f>
        <v>0</v>
      </c>
      <c r="L51" s="122">
        <f>IF((L26&lt;=Config!$C$72),0,Config!$C$70*L26)</f>
        <v>0</v>
      </c>
      <c r="M51" s="122">
        <f>IF((M26&lt;=Config!$C$72),0,Config!$C$70*M26)</f>
        <v>0</v>
      </c>
      <c r="N51" s="59">
        <f t="shared" si="10"/>
        <v>0</v>
      </c>
      <c r="O51" s="122">
        <f>IF((O26&lt;=Config!$C$72),0,Config!$C$70*O26)</f>
        <v>0</v>
      </c>
      <c r="P51" s="122">
        <f>IF((P26&lt;=Config!$C$72),0,Config!$C$70*P26)</f>
        <v>0</v>
      </c>
      <c r="Q51" s="122">
        <f>IF((Q26&lt;=Config!$C$72),0,Config!$C$70*Q26)</f>
        <v>0</v>
      </c>
      <c r="R51" s="122">
        <f>IF((R26&lt;=Config!$C$72),0,Config!$C$70*R26)</f>
        <v>0</v>
      </c>
      <c r="S51" s="122">
        <f>IF((S26&lt;=Config!$C$72),0,Config!$C$70*S26)</f>
        <v>0</v>
      </c>
      <c r="T51" s="122">
        <f>IF((T26&lt;=Config!$C$72),0,Config!$C$70*T26)</f>
        <v>0</v>
      </c>
      <c r="U51" s="122">
        <f>IF((U26&lt;=Config!$C$72),0,Config!$C$70*U26)</f>
        <v>0</v>
      </c>
      <c r="V51" s="122">
        <f>IF((V26&lt;=Config!$C$72),0,Config!$C$70*V26)</f>
        <v>0</v>
      </c>
      <c r="W51" s="122">
        <f>IF((W26&lt;=Config!$C$72),0,Config!$C$70*W26)</f>
        <v>0</v>
      </c>
      <c r="X51" s="122">
        <f>IF((X26&lt;=Config!$C$72),0,Config!$C$70*X26)</f>
        <v>0</v>
      </c>
      <c r="Y51" s="122">
        <f>IF((Y26&lt;=Config!$C$72),0,Config!$C$70*Y26)</f>
        <v>0</v>
      </c>
      <c r="Z51" s="122">
        <f>IF((Z26&lt;=Config!$C$72),0,Config!$C$70*Z26)</f>
        <v>0</v>
      </c>
      <c r="AA51" s="59">
        <f t="shared" si="11"/>
        <v>0</v>
      </c>
      <c r="AB51" s="122">
        <f>IF((AB26&lt;=(Config!$C$72*6)),0,Config!$C$70*AB26)</f>
        <v>0</v>
      </c>
      <c r="AC51" s="122">
        <f>IF((AC26&lt;=(Config!$C$72*6)),0,Config!$C$70*AC26)</f>
        <v>0</v>
      </c>
      <c r="AD51" s="59">
        <f t="shared" si="12"/>
        <v>0</v>
      </c>
      <c r="AE51" s="122">
        <f>IF((AE26&lt;=(Config!$C$72*6)),0,Config!$C$70*AE26)</f>
        <v>0</v>
      </c>
      <c r="AF51" s="122">
        <f>IF((AF26&lt;=(Config!$C$72*6)),0,Config!$C$70*AF26)</f>
        <v>0</v>
      </c>
      <c r="AG51" s="59">
        <f t="shared" si="13"/>
        <v>0</v>
      </c>
      <c r="AH51" s="122">
        <f>IF((AH26&lt;=(Config!$C$72*6)),0,Config!$C$70*AH26)</f>
        <v>0</v>
      </c>
      <c r="AI51" s="122">
        <f>IF((AI26&lt;=(Config!$C$72*6)),0,Config!$C$70*AI26)</f>
        <v>0</v>
      </c>
      <c r="AJ51" s="59">
        <f t="shared" si="14"/>
        <v>0</v>
      </c>
      <c r="AK51" s="70"/>
    </row>
    <row r="52" spans="2:37" x14ac:dyDescent="0.2">
      <c r="B52" s="122">
        <f>IF((B27&lt;=Config!$C$72),0,Config!$C$70*B27)</f>
        <v>0</v>
      </c>
      <c r="C52" s="122">
        <f>IF((C27&lt;=Config!$C$72),0,Config!$C$70*C27)</f>
        <v>0</v>
      </c>
      <c r="D52" s="122">
        <f>IF((D27&lt;=Config!$C$72),0,Config!$C$70*D27)</f>
        <v>0</v>
      </c>
      <c r="E52" s="122">
        <f>IF((E27&lt;=Config!$C$72),0,Config!$C$70*E27)</f>
        <v>0</v>
      </c>
      <c r="F52" s="122">
        <f>IF((F27&lt;=Config!$C$72),0,Config!$C$70*F27)</f>
        <v>0</v>
      </c>
      <c r="G52" s="122">
        <f>IF((G27&lt;=Config!$C$72),0,Config!$C$70*G27)</f>
        <v>0</v>
      </c>
      <c r="H52" s="122">
        <f>IF((H27&lt;=Config!$C$72),0,Config!$C$70*H27)</f>
        <v>0</v>
      </c>
      <c r="I52" s="122">
        <f>IF((I27&lt;=Config!$C$72),0,Config!$C$70*I27)</f>
        <v>0</v>
      </c>
      <c r="J52" s="122">
        <f>IF((J27&lt;=Config!$C$72),0,Config!$C$70*J27)</f>
        <v>0</v>
      </c>
      <c r="K52" s="122">
        <f>IF((K27&lt;=Config!$C$72),0,Config!$C$70*K27)</f>
        <v>0</v>
      </c>
      <c r="L52" s="122">
        <f>IF((L27&lt;=Config!$C$72),0,Config!$C$70*L27)</f>
        <v>0</v>
      </c>
      <c r="M52" s="122">
        <f>IF((M27&lt;=Config!$C$72),0,Config!$C$70*M27)</f>
        <v>0</v>
      </c>
      <c r="N52" s="59">
        <f t="shared" si="10"/>
        <v>0</v>
      </c>
      <c r="O52" s="122">
        <f>IF((O27&lt;=Config!$C$72),0,Config!$C$70*O27)</f>
        <v>0</v>
      </c>
      <c r="P52" s="122">
        <f>IF((P27&lt;=Config!$C$72),0,Config!$C$70*P27)</f>
        <v>0</v>
      </c>
      <c r="Q52" s="122">
        <f>IF((Q27&lt;=Config!$C$72),0,Config!$C$70*Q27)</f>
        <v>0</v>
      </c>
      <c r="R52" s="122">
        <f>IF((R27&lt;=Config!$C$72),0,Config!$C$70*R27)</f>
        <v>0</v>
      </c>
      <c r="S52" s="122">
        <f>IF((S27&lt;=Config!$C$72),0,Config!$C$70*S27)</f>
        <v>0</v>
      </c>
      <c r="T52" s="122">
        <f>IF((T27&lt;=Config!$C$72),0,Config!$C$70*T27)</f>
        <v>0</v>
      </c>
      <c r="U52" s="122">
        <f>IF((U27&lt;=Config!$C$72),0,Config!$C$70*U27)</f>
        <v>0</v>
      </c>
      <c r="V52" s="122">
        <f>IF((V27&lt;=Config!$C$72),0,Config!$C$70*V27)</f>
        <v>0</v>
      </c>
      <c r="W52" s="122">
        <f>IF((W27&lt;=Config!$C$72),0,Config!$C$70*W27)</f>
        <v>0</v>
      </c>
      <c r="X52" s="122">
        <f>IF((X27&lt;=Config!$C$72),0,Config!$C$70*X27)</f>
        <v>0</v>
      </c>
      <c r="Y52" s="122">
        <f>IF((Y27&lt;=Config!$C$72),0,Config!$C$70*Y27)</f>
        <v>0</v>
      </c>
      <c r="Z52" s="122">
        <f>IF((Z27&lt;=Config!$C$72),0,Config!$C$70*Z27)</f>
        <v>0</v>
      </c>
      <c r="AA52" s="59">
        <f t="shared" si="11"/>
        <v>0</v>
      </c>
      <c r="AB52" s="122">
        <f>IF((AB27&lt;=(Config!$C$72*6)),0,Config!$C$70*AB27)</f>
        <v>0</v>
      </c>
      <c r="AC52" s="122">
        <f>IF((AC27&lt;=(Config!$C$72*6)),0,Config!$C$70*AC27)</f>
        <v>0</v>
      </c>
      <c r="AD52" s="59">
        <f t="shared" si="12"/>
        <v>0</v>
      </c>
      <c r="AE52" s="122">
        <f>IF((AE27&lt;=(Config!$C$72*6)),0,Config!$C$70*AE27)</f>
        <v>0</v>
      </c>
      <c r="AF52" s="122">
        <f>IF((AF27&lt;=(Config!$C$72*6)),0,Config!$C$70*AF27)</f>
        <v>0</v>
      </c>
      <c r="AG52" s="59">
        <f t="shared" si="13"/>
        <v>0</v>
      </c>
      <c r="AH52" s="122">
        <f>IF((AH27&lt;=(Config!$C$72*6)),0,Config!$C$70*AH27)</f>
        <v>0</v>
      </c>
      <c r="AI52" s="122">
        <f>IF((AI27&lt;=(Config!$C$72*6)),0,Config!$C$70*AI27)</f>
        <v>0</v>
      </c>
      <c r="AJ52" s="59">
        <f t="shared" si="14"/>
        <v>0</v>
      </c>
      <c r="AK52" s="70"/>
    </row>
    <row r="53" spans="2:37" x14ac:dyDescent="0.2">
      <c r="B53" s="122">
        <f>IF((B28&lt;=Config!$C$72),0,Config!$C$70*B28)</f>
        <v>0</v>
      </c>
      <c r="C53" s="122">
        <f>IF((C28&lt;=Config!$C$72),0,Config!$C$70*C28)</f>
        <v>0</v>
      </c>
      <c r="D53" s="122">
        <f>IF((D28&lt;=Config!$C$72),0,Config!$C$70*D28)</f>
        <v>0</v>
      </c>
      <c r="E53" s="122">
        <f>IF((E28&lt;=Config!$C$72),0,Config!$C$70*E28)</f>
        <v>0</v>
      </c>
      <c r="F53" s="122">
        <f>IF((F28&lt;=Config!$C$72),0,Config!$C$70*F28)</f>
        <v>0</v>
      </c>
      <c r="G53" s="122">
        <f>IF((G28&lt;=Config!$C$72),0,Config!$C$70*G28)</f>
        <v>0</v>
      </c>
      <c r="H53" s="122">
        <f>IF((H28&lt;=Config!$C$72),0,Config!$C$70*H28)</f>
        <v>0</v>
      </c>
      <c r="I53" s="122">
        <f>IF((I28&lt;=Config!$C$72),0,Config!$C$70*I28)</f>
        <v>0</v>
      </c>
      <c r="J53" s="122">
        <f>IF((J28&lt;=Config!$C$72),0,Config!$C$70*J28)</f>
        <v>0</v>
      </c>
      <c r="K53" s="122">
        <f>IF((K28&lt;=Config!$C$72),0,Config!$C$70*K28)</f>
        <v>0</v>
      </c>
      <c r="L53" s="122">
        <f>IF((L28&lt;=Config!$C$72),0,Config!$C$70*L28)</f>
        <v>0</v>
      </c>
      <c r="M53" s="122">
        <f>IF((M28&lt;=Config!$C$72),0,Config!$C$70*M28)</f>
        <v>0</v>
      </c>
      <c r="N53" s="59">
        <f t="shared" si="10"/>
        <v>0</v>
      </c>
      <c r="O53" s="122">
        <f>IF((O28&lt;=Config!$C$72),0,Config!$C$70*O28)</f>
        <v>0</v>
      </c>
      <c r="P53" s="122">
        <f>IF((P28&lt;=Config!$C$72),0,Config!$C$70*P28)</f>
        <v>0</v>
      </c>
      <c r="Q53" s="122">
        <f>IF((Q28&lt;=Config!$C$72),0,Config!$C$70*Q28)</f>
        <v>0</v>
      </c>
      <c r="R53" s="122">
        <f>IF((R28&lt;=Config!$C$72),0,Config!$C$70*R28)</f>
        <v>0</v>
      </c>
      <c r="S53" s="122">
        <f>IF((S28&lt;=Config!$C$72),0,Config!$C$70*S28)</f>
        <v>0</v>
      </c>
      <c r="T53" s="122">
        <f>IF((T28&lt;=Config!$C$72),0,Config!$C$70*T28)</f>
        <v>0</v>
      </c>
      <c r="U53" s="122">
        <f>IF((U28&lt;=Config!$C$72),0,Config!$C$70*U28)</f>
        <v>0</v>
      </c>
      <c r="V53" s="122">
        <f>IF((V28&lt;=Config!$C$72),0,Config!$C$70*V28)</f>
        <v>0</v>
      </c>
      <c r="W53" s="122">
        <f>IF((W28&lt;=Config!$C$72),0,Config!$C$70*W28)</f>
        <v>0</v>
      </c>
      <c r="X53" s="122">
        <f>IF((X28&lt;=Config!$C$72),0,Config!$C$70*X28)</f>
        <v>0</v>
      </c>
      <c r="Y53" s="122">
        <f>IF((Y28&lt;=Config!$C$72),0,Config!$C$70*Y28)</f>
        <v>0</v>
      </c>
      <c r="Z53" s="122">
        <f>IF((Z28&lt;=Config!$C$72),0,Config!$C$70*Z28)</f>
        <v>0</v>
      </c>
      <c r="AA53" s="59">
        <f t="shared" si="11"/>
        <v>0</v>
      </c>
      <c r="AB53" s="122">
        <f>IF((AB28&lt;=(Config!$C$72*6)),0,Config!$C$70*AB28)</f>
        <v>0</v>
      </c>
      <c r="AC53" s="122">
        <f>IF((AC28&lt;=(Config!$C$72*6)),0,Config!$C$70*AC28)</f>
        <v>0</v>
      </c>
      <c r="AD53" s="59">
        <f t="shared" si="12"/>
        <v>0</v>
      </c>
      <c r="AE53" s="122">
        <f>IF((AE28&lt;=(Config!$C$72*6)),0,Config!$C$70*AE28)</f>
        <v>0</v>
      </c>
      <c r="AF53" s="122">
        <f>IF((AF28&lt;=(Config!$C$72*6)),0,Config!$C$70*AF28)</f>
        <v>0</v>
      </c>
      <c r="AG53" s="59">
        <f t="shared" si="13"/>
        <v>0</v>
      </c>
      <c r="AH53" s="122">
        <f>IF((AH28&lt;=(Config!$C$72*6)),0,Config!$C$70*AH28)</f>
        <v>0</v>
      </c>
      <c r="AI53" s="122">
        <f>IF((AI28&lt;=(Config!$C$72*6)),0,Config!$C$70*AI28)</f>
        <v>0</v>
      </c>
      <c r="AJ53" s="59">
        <f t="shared" si="14"/>
        <v>0</v>
      </c>
      <c r="AK53" s="70"/>
    </row>
    <row r="54" spans="2:37" x14ac:dyDescent="0.2">
      <c r="B54" s="122">
        <f>IF((B29&lt;=Config!$C$72),0,Config!$C$70*B29)</f>
        <v>0</v>
      </c>
      <c r="C54" s="122">
        <f>IF((C29&lt;=Config!$C$72),0,Config!$C$70*C29)</f>
        <v>0</v>
      </c>
      <c r="D54" s="122">
        <f>IF((D29&lt;=Config!$C$72),0,Config!$C$70*D29)</f>
        <v>0</v>
      </c>
      <c r="E54" s="122">
        <f>IF((E29&lt;=Config!$C$72),0,Config!$C$70*E29)</f>
        <v>0</v>
      </c>
      <c r="F54" s="122">
        <f>IF((F29&lt;=Config!$C$72),0,Config!$C$70*F29)</f>
        <v>0</v>
      </c>
      <c r="G54" s="122">
        <f>IF((G29&lt;=Config!$C$72),0,Config!$C$70*G29)</f>
        <v>0</v>
      </c>
      <c r="H54" s="122">
        <f>IF((H29&lt;=Config!$C$72),0,Config!$C$70*H29)</f>
        <v>0</v>
      </c>
      <c r="I54" s="122">
        <f>IF((I29&lt;=Config!$C$72),0,Config!$C$70*I29)</f>
        <v>0</v>
      </c>
      <c r="J54" s="122">
        <f>IF((J29&lt;=Config!$C$72),0,Config!$C$70*J29)</f>
        <v>0</v>
      </c>
      <c r="K54" s="122">
        <f>IF((K29&lt;=Config!$C$72),0,Config!$C$70*K29)</f>
        <v>0</v>
      </c>
      <c r="L54" s="122">
        <f>IF((L29&lt;=Config!$C$72),0,Config!$C$70*L29)</f>
        <v>0</v>
      </c>
      <c r="M54" s="122">
        <f>IF((M29&lt;=Config!$C$72),0,Config!$C$70*M29)</f>
        <v>0</v>
      </c>
      <c r="N54" s="59">
        <f t="shared" si="10"/>
        <v>0</v>
      </c>
      <c r="O54" s="122">
        <f>IF((O29&lt;=Config!$C$72),0,Config!$C$70*O29)</f>
        <v>0</v>
      </c>
      <c r="P54" s="122">
        <f>IF((P29&lt;=Config!$C$72),0,Config!$C$70*P29)</f>
        <v>0</v>
      </c>
      <c r="Q54" s="122">
        <f>IF((Q29&lt;=Config!$C$72),0,Config!$C$70*Q29)</f>
        <v>0</v>
      </c>
      <c r="R54" s="122">
        <f>IF((R29&lt;=Config!$C$72),0,Config!$C$70*R29)</f>
        <v>0</v>
      </c>
      <c r="S54" s="122">
        <f>IF((S29&lt;=Config!$C$72),0,Config!$C$70*S29)</f>
        <v>0</v>
      </c>
      <c r="T54" s="122">
        <f>IF((T29&lt;=Config!$C$72),0,Config!$C$70*T29)</f>
        <v>0</v>
      </c>
      <c r="U54" s="122">
        <f>IF((U29&lt;=Config!$C$72),0,Config!$C$70*U29)</f>
        <v>0</v>
      </c>
      <c r="V54" s="122">
        <f>IF((V29&lt;=Config!$C$72),0,Config!$C$70*V29)</f>
        <v>0</v>
      </c>
      <c r="W54" s="122">
        <f>IF((W29&lt;=Config!$C$72),0,Config!$C$70*W29)</f>
        <v>0</v>
      </c>
      <c r="X54" s="122">
        <f>IF((X29&lt;=Config!$C$72),0,Config!$C$70*X29)</f>
        <v>0</v>
      </c>
      <c r="Y54" s="122">
        <f>IF((Y29&lt;=Config!$C$72),0,Config!$C$70*Y29)</f>
        <v>0</v>
      </c>
      <c r="Z54" s="122">
        <f>IF((Z29&lt;=Config!$C$72),0,Config!$C$70*Z29)</f>
        <v>0</v>
      </c>
      <c r="AA54" s="59">
        <f t="shared" si="11"/>
        <v>0</v>
      </c>
      <c r="AB54" s="122">
        <f>IF((AB29&lt;=(Config!$C$72*6)),0,Config!$C$70*AB29)</f>
        <v>0</v>
      </c>
      <c r="AC54" s="122">
        <f>IF((AC29&lt;=(Config!$C$72*6)),0,Config!$C$70*AC29)</f>
        <v>0</v>
      </c>
      <c r="AD54" s="59">
        <f t="shared" si="12"/>
        <v>0</v>
      </c>
      <c r="AE54" s="122">
        <f>IF((AE29&lt;=(Config!$C$72*6)),0,Config!$C$70*AE29)</f>
        <v>0</v>
      </c>
      <c r="AF54" s="122">
        <f>IF((AF29&lt;=(Config!$C$72*6)),0,Config!$C$70*AF29)</f>
        <v>0</v>
      </c>
      <c r="AG54" s="59">
        <f t="shared" si="13"/>
        <v>0</v>
      </c>
      <c r="AH54" s="122">
        <f>IF((AH29&lt;=(Config!$C$72*6)),0,Config!$C$70*AH29)</f>
        <v>0</v>
      </c>
      <c r="AI54" s="122">
        <f>IF((AI29&lt;=(Config!$C$72*6)),0,Config!$C$70*AI29)</f>
        <v>0</v>
      </c>
      <c r="AJ54" s="59">
        <f t="shared" si="14"/>
        <v>0</v>
      </c>
      <c r="AK54" s="70"/>
    </row>
    <row r="55" spans="2:37" x14ac:dyDescent="0.2">
      <c r="B55" s="122">
        <f>IF((B30&lt;=Config!$C$72),0,Config!$C$70*B30)</f>
        <v>0</v>
      </c>
      <c r="C55" s="122">
        <f>IF((C30&lt;=Config!$C$72),0,Config!$C$70*C30)</f>
        <v>0</v>
      </c>
      <c r="D55" s="122">
        <f>IF((D30&lt;=Config!$C$72),0,Config!$C$70*D30)</f>
        <v>0</v>
      </c>
      <c r="E55" s="122">
        <f>IF((E30&lt;=Config!$C$72),0,Config!$C$70*E30)</f>
        <v>0</v>
      </c>
      <c r="F55" s="122">
        <f>IF((F30&lt;=Config!$C$72),0,Config!$C$70*F30)</f>
        <v>0</v>
      </c>
      <c r="G55" s="122">
        <f>IF((G30&lt;=Config!$C$72),0,Config!$C$70*G30)</f>
        <v>0</v>
      </c>
      <c r="H55" s="122">
        <f>IF((H30&lt;=Config!$C$72),0,Config!$C$70*H30)</f>
        <v>0</v>
      </c>
      <c r="I55" s="122">
        <f>IF((I30&lt;=Config!$C$72),0,Config!$C$70*I30)</f>
        <v>0</v>
      </c>
      <c r="J55" s="122">
        <f>IF((J30&lt;=Config!$C$72),0,Config!$C$70*J30)</f>
        <v>0</v>
      </c>
      <c r="K55" s="122">
        <f>IF((K30&lt;=Config!$C$72),0,Config!$C$70*K30)</f>
        <v>0</v>
      </c>
      <c r="L55" s="122">
        <f>IF((L30&lt;=Config!$C$72),0,Config!$C$70*L30)</f>
        <v>0</v>
      </c>
      <c r="M55" s="122">
        <f>IF((M30&lt;=Config!$C$72),0,Config!$C$70*M30)</f>
        <v>0</v>
      </c>
      <c r="N55" s="59">
        <f t="shared" si="10"/>
        <v>0</v>
      </c>
      <c r="O55" s="122">
        <f>IF((O30&lt;=Config!$C$72),0,Config!$C$70*O30)</f>
        <v>0</v>
      </c>
      <c r="P55" s="122">
        <f>IF((P30&lt;=Config!$C$72),0,Config!$C$70*P30)</f>
        <v>0</v>
      </c>
      <c r="Q55" s="122">
        <f>IF((Q30&lt;=Config!$C$72),0,Config!$C$70*Q30)</f>
        <v>0</v>
      </c>
      <c r="R55" s="122">
        <f>IF((R30&lt;=Config!$C$72),0,Config!$C$70*R30)</f>
        <v>0</v>
      </c>
      <c r="S55" s="122">
        <f>IF((S30&lt;=Config!$C$72),0,Config!$C$70*S30)</f>
        <v>0</v>
      </c>
      <c r="T55" s="122">
        <f>IF((T30&lt;=Config!$C$72),0,Config!$C$70*T30)</f>
        <v>0</v>
      </c>
      <c r="U55" s="122">
        <f>IF((U30&lt;=Config!$C$72),0,Config!$C$70*U30)</f>
        <v>0</v>
      </c>
      <c r="V55" s="122">
        <f>IF((V30&lt;=Config!$C$72),0,Config!$C$70*V30)</f>
        <v>0</v>
      </c>
      <c r="W55" s="122">
        <f>IF((W30&lt;=Config!$C$72),0,Config!$C$70*W30)</f>
        <v>0</v>
      </c>
      <c r="X55" s="122">
        <f>IF((X30&lt;=Config!$C$72),0,Config!$C$70*X30)</f>
        <v>0</v>
      </c>
      <c r="Y55" s="122">
        <f>IF((Y30&lt;=Config!$C$72),0,Config!$C$70*Y30)</f>
        <v>0</v>
      </c>
      <c r="Z55" s="122">
        <f>IF((Z30&lt;=Config!$C$72),0,Config!$C$70*Z30)</f>
        <v>0</v>
      </c>
      <c r="AA55" s="59">
        <f t="shared" si="11"/>
        <v>0</v>
      </c>
      <c r="AB55" s="122">
        <f>IF((AB30&lt;=(Config!$C$72*6)),0,Config!$C$70*AB30)</f>
        <v>0</v>
      </c>
      <c r="AC55" s="122">
        <f>IF((AC30&lt;=(Config!$C$72*6)),0,Config!$C$70*AC30)</f>
        <v>0</v>
      </c>
      <c r="AD55" s="59">
        <f t="shared" si="12"/>
        <v>0</v>
      </c>
      <c r="AE55" s="122">
        <f>IF((AE30&lt;=(Config!$C$72*6)),0,Config!$C$70*AE30)</f>
        <v>0</v>
      </c>
      <c r="AF55" s="122">
        <f>IF((AF30&lt;=(Config!$C$72*6)),0,Config!$C$70*AF30)</f>
        <v>0</v>
      </c>
      <c r="AG55" s="59">
        <f t="shared" si="13"/>
        <v>0</v>
      </c>
      <c r="AH55" s="122">
        <f>IF((AH30&lt;=(Config!$C$72*6)),0,Config!$C$70*AH30)</f>
        <v>0</v>
      </c>
      <c r="AI55" s="122">
        <f>IF((AI30&lt;=(Config!$C$72*6)),0,Config!$C$70*AI30)</f>
        <v>0</v>
      </c>
      <c r="AJ55" s="59">
        <f t="shared" si="14"/>
        <v>0</v>
      </c>
      <c r="AK55" s="70"/>
    </row>
    <row r="56" spans="2:37" x14ac:dyDescent="0.2">
      <c r="B56" s="122">
        <f t="shared" ref="B56:AJ56" si="15">SUM(B36:B55)</f>
        <v>2006.6666666666665</v>
      </c>
      <c r="C56" s="122">
        <f t="shared" si="15"/>
        <v>2006.6666666666665</v>
      </c>
      <c r="D56" s="122">
        <f t="shared" si="15"/>
        <v>3081.6666666666665</v>
      </c>
      <c r="E56" s="122">
        <f t="shared" si="15"/>
        <v>3081.6666666666665</v>
      </c>
      <c r="F56" s="122">
        <f t="shared" si="15"/>
        <v>3081.6666666666665</v>
      </c>
      <c r="G56" s="122">
        <f t="shared" si="15"/>
        <v>3081.6666666666665</v>
      </c>
      <c r="H56" s="122">
        <f t="shared" si="15"/>
        <v>3081.6666666666665</v>
      </c>
      <c r="I56" s="122">
        <f t="shared" si="15"/>
        <v>3081.6666666666665</v>
      </c>
      <c r="J56" s="122">
        <f t="shared" si="15"/>
        <v>3081.6666666666665</v>
      </c>
      <c r="K56" s="122">
        <f t="shared" si="15"/>
        <v>3081.6666666666665</v>
      </c>
      <c r="L56" s="122">
        <f t="shared" si="15"/>
        <v>3081.6666666666665</v>
      </c>
      <c r="M56" s="122">
        <f t="shared" si="15"/>
        <v>3081.6666666666665</v>
      </c>
      <c r="N56" s="122">
        <f t="shared" si="15"/>
        <v>34830</v>
      </c>
      <c r="O56" s="122">
        <f t="shared" si="15"/>
        <v>2257.5</v>
      </c>
      <c r="P56" s="122">
        <f t="shared" si="15"/>
        <v>2257.5</v>
      </c>
      <c r="Q56" s="122">
        <f t="shared" si="15"/>
        <v>2257.5</v>
      </c>
      <c r="R56" s="122">
        <f t="shared" si="15"/>
        <v>2257.5</v>
      </c>
      <c r="S56" s="122">
        <f t="shared" si="15"/>
        <v>2257.5</v>
      </c>
      <c r="T56" s="122">
        <f t="shared" si="15"/>
        <v>3027.916666666667</v>
      </c>
      <c r="U56" s="122">
        <f t="shared" si="15"/>
        <v>3027.916666666667</v>
      </c>
      <c r="V56" s="122">
        <f t="shared" si="15"/>
        <v>3027.916666666667</v>
      </c>
      <c r="W56" s="122">
        <f t="shared" si="15"/>
        <v>4353.75</v>
      </c>
      <c r="X56" s="122">
        <f t="shared" si="15"/>
        <v>4353.75</v>
      </c>
      <c r="Y56" s="122">
        <f t="shared" si="15"/>
        <v>4353.75</v>
      </c>
      <c r="Z56" s="122">
        <f t="shared" si="15"/>
        <v>4353.75</v>
      </c>
      <c r="AA56" s="122">
        <f t="shared" si="15"/>
        <v>37786.250000000007</v>
      </c>
      <c r="AB56" s="122">
        <f t="shared" si="15"/>
        <v>27950</v>
      </c>
      <c r="AC56" s="122">
        <f t="shared" si="15"/>
        <v>27950</v>
      </c>
      <c r="AD56" s="122">
        <f t="shared" si="15"/>
        <v>55900</v>
      </c>
      <c r="AE56" s="122">
        <f t="shared" si="15"/>
        <v>38700</v>
      </c>
      <c r="AF56" s="122">
        <f t="shared" si="15"/>
        <v>38700</v>
      </c>
      <c r="AG56" s="122">
        <f t="shared" si="15"/>
        <v>77400</v>
      </c>
      <c r="AH56" s="122">
        <f t="shared" si="15"/>
        <v>49665</v>
      </c>
      <c r="AI56" s="122">
        <f t="shared" si="15"/>
        <v>49665</v>
      </c>
      <c r="AJ56" s="122">
        <f t="shared" si="15"/>
        <v>99330</v>
      </c>
      <c r="AK56" s="70"/>
    </row>
    <row r="57" spans="2:37" x14ac:dyDescent="0.2">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row>
    <row r="58" spans="2:37" x14ac:dyDescent="0.2">
      <c r="B58" s="170" t="s">
        <v>108</v>
      </c>
      <c r="C58" s="157"/>
      <c r="D58" s="157"/>
      <c r="E58" s="157"/>
      <c r="F58" s="157"/>
      <c r="G58" s="157"/>
      <c r="H58" s="157"/>
      <c r="I58" s="157"/>
      <c r="J58" s="157"/>
      <c r="K58" s="157"/>
      <c r="L58" s="157"/>
      <c r="M58" s="157"/>
      <c r="N58" s="158"/>
      <c r="O58" s="54"/>
      <c r="P58" s="54"/>
      <c r="Q58" s="54"/>
      <c r="R58" s="54"/>
      <c r="S58" s="54"/>
      <c r="T58" s="54"/>
      <c r="U58" s="54"/>
      <c r="V58" s="54"/>
      <c r="W58" s="54"/>
      <c r="X58" s="54"/>
      <c r="Y58" s="54"/>
      <c r="Z58" s="54"/>
      <c r="AA58" s="54"/>
      <c r="AB58" s="54"/>
      <c r="AC58" s="54"/>
      <c r="AD58" s="54"/>
      <c r="AE58" s="54"/>
      <c r="AF58" s="54"/>
      <c r="AG58" s="54"/>
      <c r="AH58" s="54"/>
      <c r="AI58" s="54"/>
      <c r="AJ58" s="54"/>
      <c r="AK58" s="70"/>
    </row>
    <row r="59" spans="2:37" x14ac:dyDescent="0.2">
      <c r="B59" s="170" t="s">
        <v>77</v>
      </c>
      <c r="C59" s="157"/>
      <c r="D59" s="157"/>
      <c r="E59" s="157"/>
      <c r="F59" s="157"/>
      <c r="G59" s="157"/>
      <c r="H59" s="157"/>
      <c r="I59" s="157"/>
      <c r="J59" s="157"/>
      <c r="K59" s="157"/>
      <c r="L59" s="157"/>
      <c r="M59" s="157"/>
      <c r="N59" s="158"/>
      <c r="O59" s="170" t="s">
        <v>78</v>
      </c>
      <c r="P59" s="157"/>
      <c r="Q59" s="157"/>
      <c r="R59" s="157"/>
      <c r="S59" s="157"/>
      <c r="T59" s="157"/>
      <c r="U59" s="157"/>
      <c r="V59" s="157"/>
      <c r="W59" s="157"/>
      <c r="X59" s="157"/>
      <c r="Y59" s="157"/>
      <c r="Z59" s="157"/>
      <c r="AA59" s="158"/>
      <c r="AB59" s="170" t="s">
        <v>79</v>
      </c>
      <c r="AC59" s="157"/>
      <c r="AD59" s="158"/>
      <c r="AE59" s="170" t="s">
        <v>80</v>
      </c>
      <c r="AF59" s="157"/>
      <c r="AG59" s="158"/>
      <c r="AH59" s="170" t="s">
        <v>81</v>
      </c>
      <c r="AI59" s="157"/>
      <c r="AJ59" s="158"/>
      <c r="AK59" s="70"/>
    </row>
    <row r="60" spans="2:37" x14ac:dyDescent="0.2">
      <c r="B60" s="55">
        <f>Config!$C$7</f>
        <v>46388</v>
      </c>
      <c r="C60" s="55">
        <f t="shared" ref="C60:M60" si="16">DATE(YEAR(B60),MONTH(B60)+1,DAY(B60))</f>
        <v>46419</v>
      </c>
      <c r="D60" s="55">
        <f t="shared" si="16"/>
        <v>46447</v>
      </c>
      <c r="E60" s="55">
        <f t="shared" si="16"/>
        <v>46478</v>
      </c>
      <c r="F60" s="55">
        <f t="shared" si="16"/>
        <v>46508</v>
      </c>
      <c r="G60" s="55">
        <f t="shared" si="16"/>
        <v>46539</v>
      </c>
      <c r="H60" s="55">
        <f t="shared" si="16"/>
        <v>46569</v>
      </c>
      <c r="I60" s="55">
        <f t="shared" si="16"/>
        <v>46600</v>
      </c>
      <c r="J60" s="55">
        <f t="shared" si="16"/>
        <v>46631</v>
      </c>
      <c r="K60" s="55">
        <f t="shared" si="16"/>
        <v>46661</v>
      </c>
      <c r="L60" s="55">
        <f t="shared" si="16"/>
        <v>46692</v>
      </c>
      <c r="M60" s="55">
        <f t="shared" si="16"/>
        <v>46722</v>
      </c>
      <c r="N60" s="139" t="s">
        <v>106</v>
      </c>
      <c r="O60" s="55">
        <f>DATE(YEAR(M60),MONTH(M60)+1,DAY(M60))</f>
        <v>46753</v>
      </c>
      <c r="P60" s="55">
        <f t="shared" ref="P60:Z60" si="17">DATE(YEAR(O60),MONTH(O60)+1,DAY(O60))</f>
        <v>46784</v>
      </c>
      <c r="Q60" s="55">
        <f t="shared" si="17"/>
        <v>46813</v>
      </c>
      <c r="R60" s="55">
        <f t="shared" si="17"/>
        <v>46844</v>
      </c>
      <c r="S60" s="55">
        <f t="shared" si="17"/>
        <v>46874</v>
      </c>
      <c r="T60" s="55">
        <f t="shared" si="17"/>
        <v>46905</v>
      </c>
      <c r="U60" s="55">
        <f t="shared" si="17"/>
        <v>46935</v>
      </c>
      <c r="V60" s="55">
        <f t="shared" si="17"/>
        <v>46966</v>
      </c>
      <c r="W60" s="55">
        <f t="shared" si="17"/>
        <v>46997</v>
      </c>
      <c r="X60" s="55">
        <f t="shared" si="17"/>
        <v>47027</v>
      </c>
      <c r="Y60" s="55">
        <f t="shared" si="17"/>
        <v>47058</v>
      </c>
      <c r="Z60" s="55">
        <f t="shared" si="17"/>
        <v>47088</v>
      </c>
      <c r="AA60" s="139" t="s">
        <v>106</v>
      </c>
      <c r="AB60" s="140" t="s">
        <v>85</v>
      </c>
      <c r="AC60" s="140" t="s">
        <v>86</v>
      </c>
      <c r="AD60" s="139" t="s">
        <v>106</v>
      </c>
      <c r="AE60" s="140" t="s">
        <v>85</v>
      </c>
      <c r="AF60" s="140" t="s">
        <v>86</v>
      </c>
      <c r="AG60" s="139" t="s">
        <v>106</v>
      </c>
      <c r="AH60" s="140" t="s">
        <v>85</v>
      </c>
      <c r="AI60" s="140" t="s">
        <v>86</v>
      </c>
      <c r="AJ60" s="139" t="s">
        <v>106</v>
      </c>
      <c r="AK60" s="70"/>
    </row>
    <row r="61" spans="2:37" x14ac:dyDescent="0.2">
      <c r="B61" s="122">
        <f t="shared" ref="B61:M61" si="18">B11+B36</f>
        <v>0</v>
      </c>
      <c r="C61" s="122">
        <f t="shared" si="18"/>
        <v>0</v>
      </c>
      <c r="D61" s="122">
        <f t="shared" si="18"/>
        <v>0</v>
      </c>
      <c r="E61" s="122">
        <f t="shared" si="18"/>
        <v>0</v>
      </c>
      <c r="F61" s="122">
        <f t="shared" si="18"/>
        <v>0</v>
      </c>
      <c r="G61" s="122">
        <f t="shared" si="18"/>
        <v>0</v>
      </c>
      <c r="H61" s="122">
        <f t="shared" si="18"/>
        <v>0</v>
      </c>
      <c r="I61" s="122">
        <f t="shared" si="18"/>
        <v>0</v>
      </c>
      <c r="J61" s="122">
        <f t="shared" si="18"/>
        <v>0</v>
      </c>
      <c r="K61" s="122">
        <f t="shared" si="18"/>
        <v>0</v>
      </c>
      <c r="L61" s="122">
        <f t="shared" si="18"/>
        <v>0</v>
      </c>
      <c r="M61" s="122">
        <f t="shared" si="18"/>
        <v>0</v>
      </c>
      <c r="N61" s="59">
        <f t="shared" ref="N61:N80" si="19">SUM(B61:M61)</f>
        <v>0</v>
      </c>
      <c r="O61" s="122">
        <f t="shared" ref="O61:Z61" si="20">O11+O36</f>
        <v>0</v>
      </c>
      <c r="P61" s="122">
        <f t="shared" si="20"/>
        <v>0</v>
      </c>
      <c r="Q61" s="122">
        <f t="shared" si="20"/>
        <v>0</v>
      </c>
      <c r="R61" s="122">
        <f t="shared" si="20"/>
        <v>0</v>
      </c>
      <c r="S61" s="122">
        <f t="shared" si="20"/>
        <v>0</v>
      </c>
      <c r="T61" s="122">
        <f t="shared" si="20"/>
        <v>0</v>
      </c>
      <c r="U61" s="122">
        <f t="shared" si="20"/>
        <v>0</v>
      </c>
      <c r="V61" s="122">
        <f t="shared" si="20"/>
        <v>0</v>
      </c>
      <c r="W61" s="122">
        <f t="shared" si="20"/>
        <v>0</v>
      </c>
      <c r="X61" s="122">
        <f t="shared" si="20"/>
        <v>0</v>
      </c>
      <c r="Y61" s="122">
        <f t="shared" si="20"/>
        <v>0</v>
      </c>
      <c r="Z61" s="122">
        <f t="shared" si="20"/>
        <v>0</v>
      </c>
      <c r="AA61" s="59">
        <f t="shared" ref="AA61:AA80" si="21">SUM(O61:Z61)</f>
        <v>0</v>
      </c>
      <c r="AB61" s="122">
        <f t="shared" ref="AB61:AC80" si="22">AB11+AB36</f>
        <v>0</v>
      </c>
      <c r="AC61" s="122">
        <f t="shared" si="22"/>
        <v>0</v>
      </c>
      <c r="AD61" s="59">
        <f t="shared" ref="AD61:AD80" si="23">SUM(AB61:AC61)</f>
        <v>0</v>
      </c>
      <c r="AE61" s="122">
        <f t="shared" ref="AE61:AF80" si="24">AE11+AE36</f>
        <v>0</v>
      </c>
      <c r="AF61" s="122">
        <f t="shared" si="24"/>
        <v>0</v>
      </c>
      <c r="AG61" s="59">
        <f t="shared" ref="AG61:AG80" si="25">SUM(AE61:AF61)</f>
        <v>0</v>
      </c>
      <c r="AH61" s="122">
        <f t="shared" ref="AH61:AI80" si="26">AH11+AH36</f>
        <v>0</v>
      </c>
      <c r="AI61" s="122">
        <f t="shared" si="26"/>
        <v>0</v>
      </c>
      <c r="AJ61" s="59">
        <f t="shared" ref="AJ61:AJ80" si="27">SUM(AH61:AI61)</f>
        <v>0</v>
      </c>
      <c r="AK61" s="70"/>
    </row>
    <row r="62" spans="2:37" x14ac:dyDescent="0.2">
      <c r="B62" s="122">
        <f t="shared" ref="B62:M62" si="28">B12+B37</f>
        <v>2166.6666666666665</v>
      </c>
      <c r="C62" s="122">
        <f t="shared" si="28"/>
        <v>2166.6666666666665</v>
      </c>
      <c r="D62" s="122">
        <f t="shared" si="28"/>
        <v>2166.6666666666665</v>
      </c>
      <c r="E62" s="122">
        <f t="shared" si="28"/>
        <v>2166.6666666666665</v>
      </c>
      <c r="F62" s="122">
        <f t="shared" si="28"/>
        <v>2166.6666666666665</v>
      </c>
      <c r="G62" s="122">
        <f t="shared" si="28"/>
        <v>2166.6666666666665</v>
      </c>
      <c r="H62" s="122">
        <f t="shared" si="28"/>
        <v>2166.6666666666665</v>
      </c>
      <c r="I62" s="122">
        <f t="shared" si="28"/>
        <v>2166.6666666666665</v>
      </c>
      <c r="J62" s="122">
        <f t="shared" si="28"/>
        <v>2166.6666666666665</v>
      </c>
      <c r="K62" s="122">
        <f t="shared" si="28"/>
        <v>2166.6666666666665</v>
      </c>
      <c r="L62" s="122">
        <f t="shared" si="28"/>
        <v>2166.6666666666665</v>
      </c>
      <c r="M62" s="122">
        <f t="shared" si="28"/>
        <v>2166.6666666666665</v>
      </c>
      <c r="N62" s="59">
        <f t="shared" si="19"/>
        <v>26000.000000000004</v>
      </c>
      <c r="O62" s="122">
        <f t="shared" ref="O62:Z62" si="29">O12+O37</f>
        <v>3000</v>
      </c>
      <c r="P62" s="122">
        <f t="shared" si="29"/>
        <v>3000</v>
      </c>
      <c r="Q62" s="122">
        <f t="shared" si="29"/>
        <v>3000</v>
      </c>
      <c r="R62" s="122">
        <f t="shared" si="29"/>
        <v>3000</v>
      </c>
      <c r="S62" s="122">
        <f t="shared" si="29"/>
        <v>3000</v>
      </c>
      <c r="T62" s="122">
        <f t="shared" si="29"/>
        <v>3000</v>
      </c>
      <c r="U62" s="122">
        <f t="shared" si="29"/>
        <v>3000</v>
      </c>
      <c r="V62" s="122">
        <f t="shared" si="29"/>
        <v>3000</v>
      </c>
      <c r="W62" s="122">
        <f t="shared" si="29"/>
        <v>3000</v>
      </c>
      <c r="X62" s="122">
        <f t="shared" si="29"/>
        <v>3000</v>
      </c>
      <c r="Y62" s="122">
        <f t="shared" si="29"/>
        <v>3000</v>
      </c>
      <c r="Z62" s="122">
        <f t="shared" si="29"/>
        <v>3000</v>
      </c>
      <c r="AA62" s="59">
        <f t="shared" si="21"/>
        <v>36000</v>
      </c>
      <c r="AB62" s="122">
        <f t="shared" si="22"/>
        <v>21000</v>
      </c>
      <c r="AC62" s="122">
        <f t="shared" si="22"/>
        <v>21000</v>
      </c>
      <c r="AD62" s="59">
        <f t="shared" si="23"/>
        <v>42000</v>
      </c>
      <c r="AE62" s="122">
        <f t="shared" si="24"/>
        <v>24000</v>
      </c>
      <c r="AF62" s="122">
        <f t="shared" si="24"/>
        <v>24000</v>
      </c>
      <c r="AG62" s="59">
        <f t="shared" si="25"/>
        <v>48000</v>
      </c>
      <c r="AH62" s="122">
        <f t="shared" si="26"/>
        <v>30000</v>
      </c>
      <c r="AI62" s="122">
        <f t="shared" si="26"/>
        <v>30000</v>
      </c>
      <c r="AJ62" s="59">
        <f t="shared" si="27"/>
        <v>60000</v>
      </c>
      <c r="AK62" s="70"/>
    </row>
    <row r="63" spans="2:37" x14ac:dyDescent="0.2">
      <c r="B63" s="122">
        <f t="shared" ref="B63:M63" si="30">B13+B38</f>
        <v>3575</v>
      </c>
      <c r="C63" s="122">
        <f t="shared" si="30"/>
        <v>3575</v>
      </c>
      <c r="D63" s="122">
        <f t="shared" si="30"/>
        <v>3575</v>
      </c>
      <c r="E63" s="122">
        <f t="shared" si="30"/>
        <v>3575</v>
      </c>
      <c r="F63" s="122">
        <f t="shared" si="30"/>
        <v>3575</v>
      </c>
      <c r="G63" s="122">
        <f t="shared" si="30"/>
        <v>3575</v>
      </c>
      <c r="H63" s="122">
        <f t="shared" si="30"/>
        <v>3575</v>
      </c>
      <c r="I63" s="122">
        <f t="shared" si="30"/>
        <v>3575</v>
      </c>
      <c r="J63" s="122">
        <f t="shared" si="30"/>
        <v>3575</v>
      </c>
      <c r="K63" s="122">
        <f t="shared" si="30"/>
        <v>3575</v>
      </c>
      <c r="L63" s="122">
        <f t="shared" si="30"/>
        <v>3575</v>
      </c>
      <c r="M63" s="122">
        <f t="shared" si="30"/>
        <v>3575</v>
      </c>
      <c r="N63" s="59">
        <f t="shared" si="19"/>
        <v>42900</v>
      </c>
      <c r="O63" s="122">
        <f t="shared" ref="O63:Z63" si="31">O13+O38</f>
        <v>4290</v>
      </c>
      <c r="P63" s="122">
        <f t="shared" si="31"/>
        <v>4290</v>
      </c>
      <c r="Q63" s="122">
        <f t="shared" si="31"/>
        <v>4290</v>
      </c>
      <c r="R63" s="122">
        <f t="shared" si="31"/>
        <v>4290</v>
      </c>
      <c r="S63" s="122">
        <f t="shared" si="31"/>
        <v>4290</v>
      </c>
      <c r="T63" s="122">
        <f t="shared" si="31"/>
        <v>4290</v>
      </c>
      <c r="U63" s="122">
        <f t="shared" si="31"/>
        <v>4290</v>
      </c>
      <c r="V63" s="122">
        <f t="shared" si="31"/>
        <v>4290</v>
      </c>
      <c r="W63" s="122">
        <f t="shared" si="31"/>
        <v>4290</v>
      </c>
      <c r="X63" s="122">
        <f t="shared" si="31"/>
        <v>4290</v>
      </c>
      <c r="Y63" s="122">
        <f t="shared" si="31"/>
        <v>4290</v>
      </c>
      <c r="Z63" s="122">
        <f t="shared" si="31"/>
        <v>4290</v>
      </c>
      <c r="AA63" s="59">
        <f t="shared" si="21"/>
        <v>51480</v>
      </c>
      <c r="AB63" s="122">
        <f t="shared" si="22"/>
        <v>30030</v>
      </c>
      <c r="AC63" s="122">
        <f t="shared" si="22"/>
        <v>30030</v>
      </c>
      <c r="AD63" s="59">
        <f t="shared" si="23"/>
        <v>60060</v>
      </c>
      <c r="AE63" s="122">
        <f t="shared" si="24"/>
        <v>34320</v>
      </c>
      <c r="AF63" s="122">
        <f t="shared" si="24"/>
        <v>34320</v>
      </c>
      <c r="AG63" s="59">
        <f t="shared" si="25"/>
        <v>68640</v>
      </c>
      <c r="AH63" s="122">
        <f t="shared" si="26"/>
        <v>42900</v>
      </c>
      <c r="AI63" s="122">
        <f t="shared" si="26"/>
        <v>42900</v>
      </c>
      <c r="AJ63" s="59">
        <f t="shared" si="27"/>
        <v>85800</v>
      </c>
      <c r="AK63" s="70"/>
    </row>
    <row r="64" spans="2:37" x14ac:dyDescent="0.2">
      <c r="B64" s="122">
        <f t="shared" ref="B64:M64" si="32">B14+B39</f>
        <v>0</v>
      </c>
      <c r="C64" s="122">
        <f t="shared" si="32"/>
        <v>0</v>
      </c>
      <c r="D64" s="122">
        <f t="shared" si="32"/>
        <v>3575</v>
      </c>
      <c r="E64" s="122">
        <f t="shared" si="32"/>
        <v>3575</v>
      </c>
      <c r="F64" s="122">
        <f t="shared" si="32"/>
        <v>3575</v>
      </c>
      <c r="G64" s="122">
        <f t="shared" si="32"/>
        <v>3575</v>
      </c>
      <c r="H64" s="122">
        <f t="shared" si="32"/>
        <v>3575</v>
      </c>
      <c r="I64" s="122">
        <f t="shared" si="32"/>
        <v>3575</v>
      </c>
      <c r="J64" s="122">
        <f t="shared" si="32"/>
        <v>3575</v>
      </c>
      <c r="K64" s="122">
        <f t="shared" si="32"/>
        <v>3575</v>
      </c>
      <c r="L64" s="122">
        <f t="shared" si="32"/>
        <v>3575</v>
      </c>
      <c r="M64" s="122">
        <f t="shared" si="32"/>
        <v>3575</v>
      </c>
      <c r="N64" s="59">
        <f t="shared" si="19"/>
        <v>35750</v>
      </c>
      <c r="O64" s="122">
        <f t="shared" ref="O64:Z64" si="33">O14+O39</f>
        <v>3217.5</v>
      </c>
      <c r="P64" s="122">
        <f t="shared" si="33"/>
        <v>3217.5</v>
      </c>
      <c r="Q64" s="122">
        <f t="shared" si="33"/>
        <v>3217.5</v>
      </c>
      <c r="R64" s="122">
        <f t="shared" si="33"/>
        <v>3217.5</v>
      </c>
      <c r="S64" s="122">
        <f t="shared" si="33"/>
        <v>3217.5</v>
      </c>
      <c r="T64" s="122">
        <f t="shared" si="33"/>
        <v>3217.5</v>
      </c>
      <c r="U64" s="122">
        <f t="shared" si="33"/>
        <v>3217.5</v>
      </c>
      <c r="V64" s="122">
        <f t="shared" si="33"/>
        <v>3217.5</v>
      </c>
      <c r="W64" s="122">
        <f t="shared" si="33"/>
        <v>3217.5</v>
      </c>
      <c r="X64" s="122">
        <f t="shared" si="33"/>
        <v>3217.5</v>
      </c>
      <c r="Y64" s="122">
        <f t="shared" si="33"/>
        <v>3217.5</v>
      </c>
      <c r="Z64" s="122">
        <f t="shared" si="33"/>
        <v>3217.5</v>
      </c>
      <c r="AA64" s="59">
        <f t="shared" si="21"/>
        <v>38610</v>
      </c>
      <c r="AB64" s="122">
        <f t="shared" si="22"/>
        <v>20020</v>
      </c>
      <c r="AC64" s="122">
        <f t="shared" si="22"/>
        <v>20020</v>
      </c>
      <c r="AD64" s="59">
        <f t="shared" si="23"/>
        <v>40040</v>
      </c>
      <c r="AE64" s="122">
        <f t="shared" si="24"/>
        <v>20735</v>
      </c>
      <c r="AF64" s="122">
        <f t="shared" si="24"/>
        <v>20735</v>
      </c>
      <c r="AG64" s="59">
        <f t="shared" si="25"/>
        <v>41470</v>
      </c>
      <c r="AH64" s="122">
        <f t="shared" si="26"/>
        <v>22880</v>
      </c>
      <c r="AI64" s="122">
        <f t="shared" si="26"/>
        <v>22880</v>
      </c>
      <c r="AJ64" s="59">
        <f t="shared" si="27"/>
        <v>45760</v>
      </c>
      <c r="AK64" s="70"/>
    </row>
    <row r="65" spans="2:37" x14ac:dyDescent="0.2">
      <c r="B65" s="122">
        <f t="shared" ref="B65:M65" si="34">B15+B40</f>
        <v>3098.333333333333</v>
      </c>
      <c r="C65" s="122">
        <f t="shared" si="34"/>
        <v>3098.333333333333</v>
      </c>
      <c r="D65" s="122">
        <f t="shared" si="34"/>
        <v>3098.333333333333</v>
      </c>
      <c r="E65" s="122">
        <f t="shared" si="34"/>
        <v>3098.333333333333</v>
      </c>
      <c r="F65" s="122">
        <f t="shared" si="34"/>
        <v>3098.333333333333</v>
      </c>
      <c r="G65" s="122">
        <f t="shared" si="34"/>
        <v>3098.333333333333</v>
      </c>
      <c r="H65" s="122">
        <f t="shared" si="34"/>
        <v>3098.333333333333</v>
      </c>
      <c r="I65" s="122">
        <f t="shared" si="34"/>
        <v>3098.333333333333</v>
      </c>
      <c r="J65" s="122">
        <f t="shared" si="34"/>
        <v>3098.333333333333</v>
      </c>
      <c r="K65" s="122">
        <f t="shared" si="34"/>
        <v>3098.333333333333</v>
      </c>
      <c r="L65" s="122">
        <f t="shared" si="34"/>
        <v>3098.333333333333</v>
      </c>
      <c r="M65" s="122">
        <f t="shared" si="34"/>
        <v>3098.333333333333</v>
      </c>
      <c r="N65" s="59">
        <f t="shared" si="19"/>
        <v>37179.999999999993</v>
      </c>
      <c r="O65" s="122">
        <f t="shared" ref="O65:Z65" si="35">O15+O40</f>
        <v>0</v>
      </c>
      <c r="P65" s="122">
        <f t="shared" si="35"/>
        <v>0</v>
      </c>
      <c r="Q65" s="122">
        <f t="shared" si="35"/>
        <v>0</v>
      </c>
      <c r="R65" s="122">
        <f t="shared" si="35"/>
        <v>0</v>
      </c>
      <c r="S65" s="122">
        <f t="shared" si="35"/>
        <v>0</v>
      </c>
      <c r="T65" s="122">
        <f t="shared" si="35"/>
        <v>2562.0833333333335</v>
      </c>
      <c r="U65" s="122">
        <f t="shared" si="35"/>
        <v>2562.0833333333335</v>
      </c>
      <c r="V65" s="122">
        <f t="shared" si="35"/>
        <v>2562.0833333333335</v>
      </c>
      <c r="W65" s="122">
        <f t="shared" si="35"/>
        <v>2562.0833333333335</v>
      </c>
      <c r="X65" s="122">
        <f t="shared" si="35"/>
        <v>2562.0833333333335</v>
      </c>
      <c r="Y65" s="122">
        <f t="shared" si="35"/>
        <v>2562.0833333333335</v>
      </c>
      <c r="Z65" s="122">
        <f t="shared" si="35"/>
        <v>2562.0833333333335</v>
      </c>
      <c r="AA65" s="59">
        <f t="shared" si="21"/>
        <v>17934.583333333336</v>
      </c>
      <c r="AB65" s="122">
        <f t="shared" si="22"/>
        <v>15730</v>
      </c>
      <c r="AC65" s="122">
        <f t="shared" si="22"/>
        <v>15730</v>
      </c>
      <c r="AD65" s="59">
        <f t="shared" si="23"/>
        <v>31460</v>
      </c>
      <c r="AE65" s="122">
        <f t="shared" si="24"/>
        <v>32175</v>
      </c>
      <c r="AF65" s="122">
        <f t="shared" si="24"/>
        <v>32175</v>
      </c>
      <c r="AG65" s="59">
        <f t="shared" si="25"/>
        <v>64350</v>
      </c>
      <c r="AH65" s="122">
        <f t="shared" si="26"/>
        <v>32890</v>
      </c>
      <c r="AI65" s="122">
        <f t="shared" si="26"/>
        <v>32890</v>
      </c>
      <c r="AJ65" s="59">
        <f t="shared" si="27"/>
        <v>65780</v>
      </c>
      <c r="AK65" s="70"/>
    </row>
    <row r="66" spans="2:37" x14ac:dyDescent="0.2">
      <c r="B66" s="122">
        <f t="shared" ref="B66:M66" si="36">B16+B41</f>
        <v>0</v>
      </c>
      <c r="C66" s="122">
        <f t="shared" si="36"/>
        <v>0</v>
      </c>
      <c r="D66" s="122">
        <f t="shared" si="36"/>
        <v>0</v>
      </c>
      <c r="E66" s="122">
        <f t="shared" si="36"/>
        <v>0</v>
      </c>
      <c r="F66" s="122">
        <f t="shared" si="36"/>
        <v>0</v>
      </c>
      <c r="G66" s="122">
        <f t="shared" si="36"/>
        <v>0</v>
      </c>
      <c r="H66" s="122">
        <f t="shared" si="36"/>
        <v>0</v>
      </c>
      <c r="I66" s="122">
        <f t="shared" si="36"/>
        <v>0</v>
      </c>
      <c r="J66" s="122">
        <f t="shared" si="36"/>
        <v>0</v>
      </c>
      <c r="K66" s="122">
        <f t="shared" si="36"/>
        <v>0</v>
      </c>
      <c r="L66" s="122">
        <f t="shared" si="36"/>
        <v>0</v>
      </c>
      <c r="M66" s="122">
        <f t="shared" si="36"/>
        <v>0</v>
      </c>
      <c r="N66" s="59">
        <f t="shared" si="19"/>
        <v>0</v>
      </c>
      <c r="O66" s="122">
        <f t="shared" ref="O66:Z66" si="37">O16+O41</f>
        <v>0</v>
      </c>
      <c r="P66" s="122">
        <f t="shared" si="37"/>
        <v>0</v>
      </c>
      <c r="Q66" s="122">
        <f t="shared" si="37"/>
        <v>0</v>
      </c>
      <c r="R66" s="122">
        <f t="shared" si="37"/>
        <v>0</v>
      </c>
      <c r="S66" s="122">
        <f t="shared" si="37"/>
        <v>0</v>
      </c>
      <c r="T66" s="122">
        <f t="shared" si="37"/>
        <v>0</v>
      </c>
      <c r="U66" s="122">
        <f t="shared" si="37"/>
        <v>0</v>
      </c>
      <c r="V66" s="122">
        <f t="shared" si="37"/>
        <v>0</v>
      </c>
      <c r="W66" s="122">
        <f t="shared" si="37"/>
        <v>2860</v>
      </c>
      <c r="X66" s="122">
        <f t="shared" si="37"/>
        <v>2860</v>
      </c>
      <c r="Y66" s="122">
        <f t="shared" si="37"/>
        <v>2860</v>
      </c>
      <c r="Z66" s="122">
        <f t="shared" si="37"/>
        <v>2860</v>
      </c>
      <c r="AA66" s="59">
        <f t="shared" si="21"/>
        <v>11440</v>
      </c>
      <c r="AB66" s="122">
        <f t="shared" si="22"/>
        <v>17875</v>
      </c>
      <c r="AC66" s="122">
        <f t="shared" si="22"/>
        <v>17875</v>
      </c>
      <c r="AD66" s="59">
        <f t="shared" si="23"/>
        <v>35750</v>
      </c>
      <c r="AE66" s="122">
        <f t="shared" si="24"/>
        <v>18590</v>
      </c>
      <c r="AF66" s="122">
        <f t="shared" si="24"/>
        <v>18590</v>
      </c>
      <c r="AG66" s="59">
        <f t="shared" si="25"/>
        <v>37180</v>
      </c>
      <c r="AH66" s="122">
        <f t="shared" si="26"/>
        <v>20020</v>
      </c>
      <c r="AI66" s="122">
        <f t="shared" si="26"/>
        <v>20020</v>
      </c>
      <c r="AJ66" s="59">
        <f t="shared" si="27"/>
        <v>40040</v>
      </c>
      <c r="AK66" s="70"/>
    </row>
    <row r="67" spans="2:37" x14ac:dyDescent="0.2">
      <c r="B67" s="122">
        <f t="shared" ref="B67:M67" si="38">B17+B42</f>
        <v>0</v>
      </c>
      <c r="C67" s="122">
        <f t="shared" si="38"/>
        <v>0</v>
      </c>
      <c r="D67" s="122">
        <f t="shared" si="38"/>
        <v>0</v>
      </c>
      <c r="E67" s="122">
        <f t="shared" si="38"/>
        <v>0</v>
      </c>
      <c r="F67" s="122">
        <f t="shared" si="38"/>
        <v>0</v>
      </c>
      <c r="G67" s="122">
        <f t="shared" si="38"/>
        <v>0</v>
      </c>
      <c r="H67" s="122">
        <f t="shared" si="38"/>
        <v>0</v>
      </c>
      <c r="I67" s="122">
        <f t="shared" si="38"/>
        <v>0</v>
      </c>
      <c r="J67" s="122">
        <f t="shared" si="38"/>
        <v>0</v>
      </c>
      <c r="K67" s="122">
        <f t="shared" si="38"/>
        <v>0</v>
      </c>
      <c r="L67" s="122">
        <f t="shared" si="38"/>
        <v>0</v>
      </c>
      <c r="M67" s="122">
        <f t="shared" si="38"/>
        <v>0</v>
      </c>
      <c r="N67" s="59">
        <f t="shared" si="19"/>
        <v>0</v>
      </c>
      <c r="O67" s="122">
        <f t="shared" ref="O67:Z67" si="39">O17+O42</f>
        <v>0</v>
      </c>
      <c r="P67" s="122">
        <f t="shared" si="39"/>
        <v>0</v>
      </c>
      <c r="Q67" s="122">
        <f t="shared" si="39"/>
        <v>0</v>
      </c>
      <c r="R67" s="122">
        <f t="shared" si="39"/>
        <v>0</v>
      </c>
      <c r="S67" s="122">
        <f t="shared" si="39"/>
        <v>0</v>
      </c>
      <c r="T67" s="122">
        <f t="shared" si="39"/>
        <v>0</v>
      </c>
      <c r="U67" s="122">
        <f t="shared" si="39"/>
        <v>0</v>
      </c>
      <c r="V67" s="122">
        <f t="shared" si="39"/>
        <v>0</v>
      </c>
      <c r="W67" s="122">
        <f t="shared" si="39"/>
        <v>1549.1666666666665</v>
      </c>
      <c r="X67" s="122">
        <f t="shared" si="39"/>
        <v>1549.1666666666665</v>
      </c>
      <c r="Y67" s="122">
        <f t="shared" si="39"/>
        <v>1549.1666666666665</v>
      </c>
      <c r="Z67" s="122">
        <f t="shared" si="39"/>
        <v>1549.1666666666665</v>
      </c>
      <c r="AA67" s="59">
        <f t="shared" si="21"/>
        <v>6196.6666666666661</v>
      </c>
      <c r="AB67" s="122">
        <f t="shared" si="22"/>
        <v>9295</v>
      </c>
      <c r="AC67" s="122">
        <f t="shared" si="22"/>
        <v>9295</v>
      </c>
      <c r="AD67" s="59">
        <f t="shared" si="23"/>
        <v>18590</v>
      </c>
      <c r="AE67" s="122">
        <f t="shared" si="24"/>
        <v>0</v>
      </c>
      <c r="AF67" s="122">
        <f t="shared" si="24"/>
        <v>0</v>
      </c>
      <c r="AG67" s="59">
        <f t="shared" si="25"/>
        <v>0</v>
      </c>
      <c r="AH67" s="122">
        <f t="shared" si="26"/>
        <v>0</v>
      </c>
      <c r="AI67" s="122">
        <f t="shared" si="26"/>
        <v>0</v>
      </c>
      <c r="AJ67" s="59">
        <f t="shared" si="27"/>
        <v>0</v>
      </c>
      <c r="AK67" s="70"/>
    </row>
    <row r="68" spans="2:37" x14ac:dyDescent="0.2">
      <c r="B68" s="122">
        <f t="shared" ref="B68:M68" si="40">B18+B43</f>
        <v>0</v>
      </c>
      <c r="C68" s="122">
        <f t="shared" si="40"/>
        <v>0</v>
      </c>
      <c r="D68" s="122">
        <f t="shared" si="40"/>
        <v>0</v>
      </c>
      <c r="E68" s="122">
        <f t="shared" si="40"/>
        <v>0</v>
      </c>
      <c r="F68" s="122">
        <f t="shared" si="40"/>
        <v>0</v>
      </c>
      <c r="G68" s="122">
        <f t="shared" si="40"/>
        <v>693</v>
      </c>
      <c r="H68" s="122">
        <f t="shared" si="40"/>
        <v>693</v>
      </c>
      <c r="I68" s="122">
        <f t="shared" si="40"/>
        <v>693</v>
      </c>
      <c r="J68" s="122">
        <f t="shared" si="40"/>
        <v>0</v>
      </c>
      <c r="K68" s="122">
        <f t="shared" si="40"/>
        <v>0</v>
      </c>
      <c r="L68" s="122">
        <f t="shared" si="40"/>
        <v>0</v>
      </c>
      <c r="M68" s="122">
        <f t="shared" si="40"/>
        <v>693</v>
      </c>
      <c r="N68" s="59">
        <f t="shared" si="19"/>
        <v>2772</v>
      </c>
      <c r="O68" s="122">
        <f t="shared" ref="O68:Z68" si="41">O18+O43</f>
        <v>0</v>
      </c>
      <c r="P68" s="122">
        <f t="shared" si="41"/>
        <v>0</v>
      </c>
      <c r="Q68" s="122">
        <f t="shared" si="41"/>
        <v>0</v>
      </c>
      <c r="R68" s="122">
        <f t="shared" si="41"/>
        <v>0</v>
      </c>
      <c r="S68" s="122">
        <f t="shared" si="41"/>
        <v>0</v>
      </c>
      <c r="T68" s="122">
        <f t="shared" si="41"/>
        <v>0</v>
      </c>
      <c r="U68" s="122">
        <f t="shared" si="41"/>
        <v>0</v>
      </c>
      <c r="V68" s="122">
        <f t="shared" si="41"/>
        <v>0</v>
      </c>
      <c r="W68" s="122">
        <f t="shared" si="41"/>
        <v>0</v>
      </c>
      <c r="X68" s="122">
        <f t="shared" si="41"/>
        <v>0</v>
      </c>
      <c r="Y68" s="122">
        <f t="shared" si="41"/>
        <v>0</v>
      </c>
      <c r="Z68" s="122">
        <f t="shared" si="41"/>
        <v>0</v>
      </c>
      <c r="AA68" s="59">
        <f t="shared" si="21"/>
        <v>0</v>
      </c>
      <c r="AB68" s="122">
        <f t="shared" si="22"/>
        <v>0</v>
      </c>
      <c r="AC68" s="122">
        <f t="shared" si="22"/>
        <v>0</v>
      </c>
      <c r="AD68" s="59">
        <f t="shared" si="23"/>
        <v>0</v>
      </c>
      <c r="AE68" s="122">
        <f t="shared" si="24"/>
        <v>0</v>
      </c>
      <c r="AF68" s="122">
        <f t="shared" si="24"/>
        <v>0</v>
      </c>
      <c r="AG68" s="59">
        <f t="shared" si="25"/>
        <v>0</v>
      </c>
      <c r="AH68" s="122">
        <f t="shared" si="26"/>
        <v>0</v>
      </c>
      <c r="AI68" s="122">
        <f t="shared" si="26"/>
        <v>0</v>
      </c>
      <c r="AJ68" s="59">
        <f t="shared" si="27"/>
        <v>0</v>
      </c>
      <c r="AK68" s="70"/>
    </row>
    <row r="69" spans="2:37" x14ac:dyDescent="0.2">
      <c r="B69" s="122">
        <f t="shared" ref="B69:M69" si="42">B19+B44</f>
        <v>0</v>
      </c>
      <c r="C69" s="122">
        <f t="shared" si="42"/>
        <v>0</v>
      </c>
      <c r="D69" s="122">
        <f t="shared" si="42"/>
        <v>0</v>
      </c>
      <c r="E69" s="122">
        <f t="shared" si="42"/>
        <v>0</v>
      </c>
      <c r="F69" s="122">
        <f t="shared" si="42"/>
        <v>0</v>
      </c>
      <c r="G69" s="122">
        <f t="shared" si="42"/>
        <v>0</v>
      </c>
      <c r="H69" s="122">
        <f t="shared" si="42"/>
        <v>0</v>
      </c>
      <c r="I69" s="122">
        <f t="shared" si="42"/>
        <v>0</v>
      </c>
      <c r="J69" s="122">
        <f t="shared" si="42"/>
        <v>0</v>
      </c>
      <c r="K69" s="122">
        <f t="shared" si="42"/>
        <v>0</v>
      </c>
      <c r="L69" s="122">
        <f t="shared" si="42"/>
        <v>0</v>
      </c>
      <c r="M69" s="122">
        <f t="shared" si="42"/>
        <v>0</v>
      </c>
      <c r="N69" s="59">
        <f t="shared" si="19"/>
        <v>0</v>
      </c>
      <c r="O69" s="122">
        <f t="shared" ref="O69:Z69" si="43">O19+O44</f>
        <v>0</v>
      </c>
      <c r="P69" s="122">
        <f t="shared" si="43"/>
        <v>0</v>
      </c>
      <c r="Q69" s="122">
        <f t="shared" si="43"/>
        <v>0</v>
      </c>
      <c r="R69" s="122">
        <f t="shared" si="43"/>
        <v>0</v>
      </c>
      <c r="S69" s="122">
        <f t="shared" si="43"/>
        <v>0</v>
      </c>
      <c r="T69" s="122">
        <f t="shared" si="43"/>
        <v>0</v>
      </c>
      <c r="U69" s="122">
        <f t="shared" si="43"/>
        <v>0</v>
      </c>
      <c r="V69" s="122">
        <f t="shared" si="43"/>
        <v>0</v>
      </c>
      <c r="W69" s="122">
        <f t="shared" si="43"/>
        <v>0</v>
      </c>
      <c r="X69" s="122">
        <f t="shared" si="43"/>
        <v>0</v>
      </c>
      <c r="Y69" s="122">
        <f t="shared" si="43"/>
        <v>0</v>
      </c>
      <c r="Z69" s="122">
        <f t="shared" si="43"/>
        <v>0</v>
      </c>
      <c r="AA69" s="59">
        <f t="shared" si="21"/>
        <v>0</v>
      </c>
      <c r="AB69" s="122">
        <f t="shared" si="22"/>
        <v>0</v>
      </c>
      <c r="AC69" s="122">
        <f t="shared" si="22"/>
        <v>0</v>
      </c>
      <c r="AD69" s="59">
        <f t="shared" si="23"/>
        <v>0</v>
      </c>
      <c r="AE69" s="122">
        <f t="shared" si="24"/>
        <v>22880</v>
      </c>
      <c r="AF69" s="122">
        <f t="shared" si="24"/>
        <v>22880</v>
      </c>
      <c r="AG69" s="59">
        <f t="shared" si="25"/>
        <v>45760</v>
      </c>
      <c r="AH69" s="122">
        <f t="shared" si="26"/>
        <v>25025</v>
      </c>
      <c r="AI69" s="122">
        <f t="shared" si="26"/>
        <v>25025</v>
      </c>
      <c r="AJ69" s="59">
        <f t="shared" si="27"/>
        <v>50050</v>
      </c>
      <c r="AK69" s="70"/>
    </row>
    <row r="70" spans="2:37" x14ac:dyDescent="0.2">
      <c r="B70" s="122">
        <f t="shared" ref="B70:M70" si="44">B20+B45</f>
        <v>0</v>
      </c>
      <c r="C70" s="122">
        <f t="shared" si="44"/>
        <v>0</v>
      </c>
      <c r="D70" s="122">
        <f t="shared" si="44"/>
        <v>0</v>
      </c>
      <c r="E70" s="122">
        <f t="shared" si="44"/>
        <v>0</v>
      </c>
      <c r="F70" s="122">
        <f t="shared" si="44"/>
        <v>0</v>
      </c>
      <c r="G70" s="122">
        <f t="shared" si="44"/>
        <v>0</v>
      </c>
      <c r="H70" s="122">
        <f t="shared" si="44"/>
        <v>0</v>
      </c>
      <c r="I70" s="122">
        <f t="shared" si="44"/>
        <v>0</v>
      </c>
      <c r="J70" s="122">
        <f t="shared" si="44"/>
        <v>0</v>
      </c>
      <c r="K70" s="122">
        <f t="shared" si="44"/>
        <v>0</v>
      </c>
      <c r="L70" s="122">
        <f t="shared" si="44"/>
        <v>0</v>
      </c>
      <c r="M70" s="122">
        <f t="shared" si="44"/>
        <v>0</v>
      </c>
      <c r="N70" s="59">
        <f t="shared" si="19"/>
        <v>0</v>
      </c>
      <c r="O70" s="122">
        <f t="shared" ref="O70:Z70" si="45">O20+O45</f>
        <v>0</v>
      </c>
      <c r="P70" s="122">
        <f t="shared" si="45"/>
        <v>0</v>
      </c>
      <c r="Q70" s="122">
        <f t="shared" si="45"/>
        <v>0</v>
      </c>
      <c r="R70" s="122">
        <f t="shared" si="45"/>
        <v>0</v>
      </c>
      <c r="S70" s="122">
        <f t="shared" si="45"/>
        <v>0</v>
      </c>
      <c r="T70" s="122">
        <f t="shared" si="45"/>
        <v>0</v>
      </c>
      <c r="U70" s="122">
        <f t="shared" si="45"/>
        <v>0</v>
      </c>
      <c r="V70" s="122">
        <f t="shared" si="45"/>
        <v>0</v>
      </c>
      <c r="W70" s="122">
        <f t="shared" si="45"/>
        <v>0</v>
      </c>
      <c r="X70" s="122">
        <f t="shared" si="45"/>
        <v>0</v>
      </c>
      <c r="Y70" s="122">
        <f t="shared" si="45"/>
        <v>0</v>
      </c>
      <c r="Z70" s="122">
        <f t="shared" si="45"/>
        <v>0</v>
      </c>
      <c r="AA70" s="59">
        <f t="shared" si="21"/>
        <v>0</v>
      </c>
      <c r="AB70" s="122">
        <f t="shared" si="22"/>
        <v>0</v>
      </c>
      <c r="AC70" s="122">
        <f t="shared" si="22"/>
        <v>0</v>
      </c>
      <c r="AD70" s="59">
        <f t="shared" si="23"/>
        <v>0</v>
      </c>
      <c r="AE70" s="122">
        <f t="shared" si="24"/>
        <v>0</v>
      </c>
      <c r="AF70" s="122">
        <f t="shared" si="24"/>
        <v>0</v>
      </c>
      <c r="AG70" s="59">
        <f t="shared" si="25"/>
        <v>0</v>
      </c>
      <c r="AH70" s="122">
        <f t="shared" si="26"/>
        <v>21450</v>
      </c>
      <c r="AI70" s="122">
        <f t="shared" si="26"/>
        <v>21450</v>
      </c>
      <c r="AJ70" s="59">
        <f t="shared" si="27"/>
        <v>42900</v>
      </c>
      <c r="AK70" s="70"/>
    </row>
    <row r="71" spans="2:37" x14ac:dyDescent="0.2">
      <c r="B71" s="122">
        <f t="shared" ref="B71:M71" si="46">B21+B46</f>
        <v>0</v>
      </c>
      <c r="C71" s="122">
        <f t="shared" si="46"/>
        <v>0</v>
      </c>
      <c r="D71" s="122">
        <f t="shared" si="46"/>
        <v>0</v>
      </c>
      <c r="E71" s="122">
        <f t="shared" si="46"/>
        <v>0</v>
      </c>
      <c r="F71" s="122">
        <f t="shared" si="46"/>
        <v>0</v>
      </c>
      <c r="G71" s="122">
        <f t="shared" si="46"/>
        <v>0</v>
      </c>
      <c r="H71" s="122">
        <f t="shared" si="46"/>
        <v>0</v>
      </c>
      <c r="I71" s="122">
        <f t="shared" si="46"/>
        <v>0</v>
      </c>
      <c r="J71" s="122">
        <f t="shared" si="46"/>
        <v>0</v>
      </c>
      <c r="K71" s="122">
        <f t="shared" si="46"/>
        <v>0</v>
      </c>
      <c r="L71" s="122">
        <f t="shared" si="46"/>
        <v>0</v>
      </c>
      <c r="M71" s="122">
        <f t="shared" si="46"/>
        <v>0</v>
      </c>
      <c r="N71" s="59">
        <f t="shared" si="19"/>
        <v>0</v>
      </c>
      <c r="O71" s="122">
        <f t="shared" ref="O71:Z71" si="47">O21+O46</f>
        <v>0</v>
      </c>
      <c r="P71" s="122">
        <f t="shared" si="47"/>
        <v>0</v>
      </c>
      <c r="Q71" s="122">
        <f t="shared" si="47"/>
        <v>0</v>
      </c>
      <c r="R71" s="122">
        <f t="shared" si="47"/>
        <v>0</v>
      </c>
      <c r="S71" s="122">
        <f t="shared" si="47"/>
        <v>0</v>
      </c>
      <c r="T71" s="122">
        <f t="shared" si="47"/>
        <v>0</v>
      </c>
      <c r="U71" s="122">
        <f t="shared" si="47"/>
        <v>0</v>
      </c>
      <c r="V71" s="122">
        <f t="shared" si="47"/>
        <v>0</v>
      </c>
      <c r="W71" s="122">
        <f t="shared" si="47"/>
        <v>0</v>
      </c>
      <c r="X71" s="122">
        <f t="shared" si="47"/>
        <v>0</v>
      </c>
      <c r="Y71" s="122">
        <f t="shared" si="47"/>
        <v>0</v>
      </c>
      <c r="Z71" s="122">
        <f t="shared" si="47"/>
        <v>0</v>
      </c>
      <c r="AA71" s="59">
        <f t="shared" si="21"/>
        <v>0</v>
      </c>
      <c r="AB71" s="122">
        <f t="shared" si="22"/>
        <v>0</v>
      </c>
      <c r="AC71" s="122">
        <f t="shared" si="22"/>
        <v>0</v>
      </c>
      <c r="AD71" s="59">
        <f t="shared" si="23"/>
        <v>0</v>
      </c>
      <c r="AE71" s="122">
        <f t="shared" si="24"/>
        <v>0</v>
      </c>
      <c r="AF71" s="122">
        <f t="shared" si="24"/>
        <v>0</v>
      </c>
      <c r="AG71" s="59">
        <f t="shared" si="25"/>
        <v>0</v>
      </c>
      <c r="AH71" s="122">
        <f t="shared" si="26"/>
        <v>0</v>
      </c>
      <c r="AI71" s="122">
        <f t="shared" si="26"/>
        <v>0</v>
      </c>
      <c r="AJ71" s="59">
        <f t="shared" si="27"/>
        <v>0</v>
      </c>
      <c r="AK71" s="70"/>
    </row>
    <row r="72" spans="2:37" x14ac:dyDescent="0.2">
      <c r="B72" s="122">
        <f t="shared" ref="B72:M72" si="48">B22+B47</f>
        <v>0</v>
      </c>
      <c r="C72" s="122">
        <f t="shared" si="48"/>
        <v>0</v>
      </c>
      <c r="D72" s="122">
        <f t="shared" si="48"/>
        <v>0</v>
      </c>
      <c r="E72" s="122">
        <f t="shared" si="48"/>
        <v>0</v>
      </c>
      <c r="F72" s="122">
        <f t="shared" si="48"/>
        <v>0</v>
      </c>
      <c r="G72" s="122">
        <f t="shared" si="48"/>
        <v>0</v>
      </c>
      <c r="H72" s="122">
        <f t="shared" si="48"/>
        <v>0</v>
      </c>
      <c r="I72" s="122">
        <f t="shared" si="48"/>
        <v>0</v>
      </c>
      <c r="J72" s="122">
        <f t="shared" si="48"/>
        <v>0</v>
      </c>
      <c r="K72" s="122">
        <f t="shared" si="48"/>
        <v>0</v>
      </c>
      <c r="L72" s="122">
        <f t="shared" si="48"/>
        <v>0</v>
      </c>
      <c r="M72" s="122">
        <f t="shared" si="48"/>
        <v>0</v>
      </c>
      <c r="N72" s="59">
        <f t="shared" si="19"/>
        <v>0</v>
      </c>
      <c r="O72" s="122">
        <f t="shared" ref="O72:Z72" si="49">O22+O47</f>
        <v>0</v>
      </c>
      <c r="P72" s="122">
        <f t="shared" si="49"/>
        <v>0</v>
      </c>
      <c r="Q72" s="122">
        <f t="shared" si="49"/>
        <v>0</v>
      </c>
      <c r="R72" s="122">
        <f t="shared" si="49"/>
        <v>0</v>
      </c>
      <c r="S72" s="122">
        <f t="shared" si="49"/>
        <v>0</v>
      </c>
      <c r="T72" s="122">
        <f t="shared" si="49"/>
        <v>0</v>
      </c>
      <c r="U72" s="122">
        <f t="shared" si="49"/>
        <v>0</v>
      </c>
      <c r="V72" s="122">
        <f t="shared" si="49"/>
        <v>0</v>
      </c>
      <c r="W72" s="122">
        <f t="shared" si="49"/>
        <v>0</v>
      </c>
      <c r="X72" s="122">
        <f t="shared" si="49"/>
        <v>0</v>
      </c>
      <c r="Y72" s="122">
        <f t="shared" si="49"/>
        <v>0</v>
      </c>
      <c r="Z72" s="122">
        <f t="shared" si="49"/>
        <v>0</v>
      </c>
      <c r="AA72" s="59">
        <f t="shared" si="21"/>
        <v>0</v>
      </c>
      <c r="AB72" s="122">
        <f t="shared" si="22"/>
        <v>0</v>
      </c>
      <c r="AC72" s="122">
        <f t="shared" si="22"/>
        <v>0</v>
      </c>
      <c r="AD72" s="59">
        <f t="shared" si="23"/>
        <v>0</v>
      </c>
      <c r="AE72" s="122">
        <f t="shared" si="24"/>
        <v>0</v>
      </c>
      <c r="AF72" s="122">
        <f t="shared" si="24"/>
        <v>0</v>
      </c>
      <c r="AG72" s="59">
        <f t="shared" si="25"/>
        <v>0</v>
      </c>
      <c r="AH72" s="122">
        <f t="shared" si="26"/>
        <v>0</v>
      </c>
      <c r="AI72" s="122">
        <f t="shared" si="26"/>
        <v>0</v>
      </c>
      <c r="AJ72" s="59">
        <f t="shared" si="27"/>
        <v>0</v>
      </c>
      <c r="AK72" s="70"/>
    </row>
    <row r="73" spans="2:37" x14ac:dyDescent="0.2">
      <c r="B73" s="122">
        <f t="shared" ref="B73:M73" si="50">B23+B48</f>
        <v>0</v>
      </c>
      <c r="C73" s="122">
        <f t="shared" si="50"/>
        <v>0</v>
      </c>
      <c r="D73" s="122">
        <f t="shared" si="50"/>
        <v>0</v>
      </c>
      <c r="E73" s="122">
        <f t="shared" si="50"/>
        <v>0</v>
      </c>
      <c r="F73" s="122">
        <f t="shared" si="50"/>
        <v>0</v>
      </c>
      <c r="G73" s="122">
        <f t="shared" si="50"/>
        <v>0</v>
      </c>
      <c r="H73" s="122">
        <f t="shared" si="50"/>
        <v>0</v>
      </c>
      <c r="I73" s="122">
        <f t="shared" si="50"/>
        <v>0</v>
      </c>
      <c r="J73" s="122">
        <f t="shared" si="50"/>
        <v>0</v>
      </c>
      <c r="K73" s="122">
        <f t="shared" si="50"/>
        <v>0</v>
      </c>
      <c r="L73" s="122">
        <f t="shared" si="50"/>
        <v>0</v>
      </c>
      <c r="M73" s="122">
        <f t="shared" si="50"/>
        <v>0</v>
      </c>
      <c r="N73" s="59">
        <f t="shared" si="19"/>
        <v>0</v>
      </c>
      <c r="O73" s="122">
        <f t="shared" ref="O73:Z73" si="51">O23+O48</f>
        <v>0</v>
      </c>
      <c r="P73" s="122">
        <f t="shared" si="51"/>
        <v>0</v>
      </c>
      <c r="Q73" s="122">
        <f t="shared" si="51"/>
        <v>0</v>
      </c>
      <c r="R73" s="122">
        <f t="shared" si="51"/>
        <v>0</v>
      </c>
      <c r="S73" s="122">
        <f t="shared" si="51"/>
        <v>0</v>
      </c>
      <c r="T73" s="122">
        <f t="shared" si="51"/>
        <v>0</v>
      </c>
      <c r="U73" s="122">
        <f t="shared" si="51"/>
        <v>0</v>
      </c>
      <c r="V73" s="122">
        <f t="shared" si="51"/>
        <v>0</v>
      </c>
      <c r="W73" s="122">
        <f t="shared" si="51"/>
        <v>0</v>
      </c>
      <c r="X73" s="122">
        <f t="shared" si="51"/>
        <v>0</v>
      </c>
      <c r="Y73" s="122">
        <f t="shared" si="51"/>
        <v>0</v>
      </c>
      <c r="Z73" s="122">
        <f t="shared" si="51"/>
        <v>0</v>
      </c>
      <c r="AA73" s="59">
        <f t="shared" si="21"/>
        <v>0</v>
      </c>
      <c r="AB73" s="122">
        <f t="shared" si="22"/>
        <v>0</v>
      </c>
      <c r="AC73" s="122">
        <f t="shared" si="22"/>
        <v>0</v>
      </c>
      <c r="AD73" s="59">
        <f t="shared" si="23"/>
        <v>0</v>
      </c>
      <c r="AE73" s="122">
        <f t="shared" si="24"/>
        <v>0</v>
      </c>
      <c r="AF73" s="122">
        <f t="shared" si="24"/>
        <v>0</v>
      </c>
      <c r="AG73" s="59">
        <f t="shared" si="25"/>
        <v>0</v>
      </c>
      <c r="AH73" s="122">
        <f t="shared" si="26"/>
        <v>0</v>
      </c>
      <c r="AI73" s="122">
        <f t="shared" si="26"/>
        <v>0</v>
      </c>
      <c r="AJ73" s="59">
        <f t="shared" si="27"/>
        <v>0</v>
      </c>
      <c r="AK73" s="70"/>
    </row>
    <row r="74" spans="2:37" x14ac:dyDescent="0.2">
      <c r="B74" s="122">
        <f t="shared" ref="B74:M74" si="52">B24+B49</f>
        <v>0</v>
      </c>
      <c r="C74" s="122">
        <f t="shared" si="52"/>
        <v>0</v>
      </c>
      <c r="D74" s="122">
        <f t="shared" si="52"/>
        <v>0</v>
      </c>
      <c r="E74" s="122">
        <f t="shared" si="52"/>
        <v>0</v>
      </c>
      <c r="F74" s="122">
        <f t="shared" si="52"/>
        <v>0</v>
      </c>
      <c r="G74" s="122">
        <f t="shared" si="52"/>
        <v>0</v>
      </c>
      <c r="H74" s="122">
        <f t="shared" si="52"/>
        <v>0</v>
      </c>
      <c r="I74" s="122">
        <f t="shared" si="52"/>
        <v>0</v>
      </c>
      <c r="J74" s="122">
        <f t="shared" si="52"/>
        <v>0</v>
      </c>
      <c r="K74" s="122">
        <f t="shared" si="52"/>
        <v>0</v>
      </c>
      <c r="L74" s="122">
        <f t="shared" si="52"/>
        <v>0</v>
      </c>
      <c r="M74" s="122">
        <f t="shared" si="52"/>
        <v>0</v>
      </c>
      <c r="N74" s="59">
        <f t="shared" si="19"/>
        <v>0</v>
      </c>
      <c r="O74" s="122">
        <f t="shared" ref="O74:Z74" si="53">O24+O49</f>
        <v>0</v>
      </c>
      <c r="P74" s="122">
        <f t="shared" si="53"/>
        <v>0</v>
      </c>
      <c r="Q74" s="122">
        <f t="shared" si="53"/>
        <v>0</v>
      </c>
      <c r="R74" s="122">
        <f t="shared" si="53"/>
        <v>0</v>
      </c>
      <c r="S74" s="122">
        <f t="shared" si="53"/>
        <v>0</v>
      </c>
      <c r="T74" s="122">
        <f t="shared" si="53"/>
        <v>0</v>
      </c>
      <c r="U74" s="122">
        <f t="shared" si="53"/>
        <v>0</v>
      </c>
      <c r="V74" s="122">
        <f t="shared" si="53"/>
        <v>0</v>
      </c>
      <c r="W74" s="122">
        <f t="shared" si="53"/>
        <v>0</v>
      </c>
      <c r="X74" s="122">
        <f t="shared" si="53"/>
        <v>0</v>
      </c>
      <c r="Y74" s="122">
        <f t="shared" si="53"/>
        <v>0</v>
      </c>
      <c r="Z74" s="122">
        <f t="shared" si="53"/>
        <v>0</v>
      </c>
      <c r="AA74" s="59">
        <f t="shared" si="21"/>
        <v>0</v>
      </c>
      <c r="AB74" s="122">
        <f t="shared" si="22"/>
        <v>0</v>
      </c>
      <c r="AC74" s="122">
        <f t="shared" si="22"/>
        <v>0</v>
      </c>
      <c r="AD74" s="59">
        <f t="shared" si="23"/>
        <v>0</v>
      </c>
      <c r="AE74" s="122">
        <f t="shared" si="24"/>
        <v>0</v>
      </c>
      <c r="AF74" s="122">
        <f t="shared" si="24"/>
        <v>0</v>
      </c>
      <c r="AG74" s="59">
        <f t="shared" si="25"/>
        <v>0</v>
      </c>
      <c r="AH74" s="122">
        <f t="shared" si="26"/>
        <v>0</v>
      </c>
      <c r="AI74" s="122">
        <f t="shared" si="26"/>
        <v>0</v>
      </c>
      <c r="AJ74" s="59">
        <f t="shared" si="27"/>
        <v>0</v>
      </c>
      <c r="AK74" s="70"/>
    </row>
    <row r="75" spans="2:37" x14ac:dyDescent="0.2">
      <c r="B75" s="122">
        <f t="shared" ref="B75:M75" si="54">B25+B50</f>
        <v>0</v>
      </c>
      <c r="C75" s="122">
        <f t="shared" si="54"/>
        <v>0</v>
      </c>
      <c r="D75" s="122">
        <f t="shared" si="54"/>
        <v>0</v>
      </c>
      <c r="E75" s="122">
        <f t="shared" si="54"/>
        <v>0</v>
      </c>
      <c r="F75" s="122">
        <f t="shared" si="54"/>
        <v>0</v>
      </c>
      <c r="G75" s="122">
        <f t="shared" si="54"/>
        <v>0</v>
      </c>
      <c r="H75" s="122">
        <f t="shared" si="54"/>
        <v>0</v>
      </c>
      <c r="I75" s="122">
        <f t="shared" si="54"/>
        <v>0</v>
      </c>
      <c r="J75" s="122">
        <f t="shared" si="54"/>
        <v>0</v>
      </c>
      <c r="K75" s="122">
        <f t="shared" si="54"/>
        <v>0</v>
      </c>
      <c r="L75" s="122">
        <f t="shared" si="54"/>
        <v>0</v>
      </c>
      <c r="M75" s="122">
        <f t="shared" si="54"/>
        <v>0</v>
      </c>
      <c r="N75" s="59">
        <f t="shared" si="19"/>
        <v>0</v>
      </c>
      <c r="O75" s="122">
        <f t="shared" ref="O75:Z75" si="55">O25+O50</f>
        <v>0</v>
      </c>
      <c r="P75" s="122">
        <f t="shared" si="55"/>
        <v>0</v>
      </c>
      <c r="Q75" s="122">
        <f t="shared" si="55"/>
        <v>0</v>
      </c>
      <c r="R75" s="122">
        <f t="shared" si="55"/>
        <v>0</v>
      </c>
      <c r="S75" s="122">
        <f t="shared" si="55"/>
        <v>0</v>
      </c>
      <c r="T75" s="122">
        <f t="shared" si="55"/>
        <v>0</v>
      </c>
      <c r="U75" s="122">
        <f t="shared" si="55"/>
        <v>0</v>
      </c>
      <c r="V75" s="122">
        <f t="shared" si="55"/>
        <v>0</v>
      </c>
      <c r="W75" s="122">
        <f t="shared" si="55"/>
        <v>0</v>
      </c>
      <c r="X75" s="122">
        <f t="shared" si="55"/>
        <v>0</v>
      </c>
      <c r="Y75" s="122">
        <f t="shared" si="55"/>
        <v>0</v>
      </c>
      <c r="Z75" s="122">
        <f t="shared" si="55"/>
        <v>0</v>
      </c>
      <c r="AA75" s="59">
        <f t="shared" si="21"/>
        <v>0</v>
      </c>
      <c r="AB75" s="122">
        <f t="shared" si="22"/>
        <v>0</v>
      </c>
      <c r="AC75" s="122">
        <f t="shared" si="22"/>
        <v>0</v>
      </c>
      <c r="AD75" s="59">
        <f t="shared" si="23"/>
        <v>0</v>
      </c>
      <c r="AE75" s="122">
        <f t="shared" si="24"/>
        <v>0</v>
      </c>
      <c r="AF75" s="122">
        <f t="shared" si="24"/>
        <v>0</v>
      </c>
      <c r="AG75" s="59">
        <f t="shared" si="25"/>
        <v>0</v>
      </c>
      <c r="AH75" s="122">
        <f t="shared" si="26"/>
        <v>0</v>
      </c>
      <c r="AI75" s="122">
        <f t="shared" si="26"/>
        <v>0</v>
      </c>
      <c r="AJ75" s="59">
        <f t="shared" si="27"/>
        <v>0</v>
      </c>
      <c r="AK75" s="70"/>
    </row>
    <row r="76" spans="2:37" x14ac:dyDescent="0.2">
      <c r="B76" s="122">
        <f t="shared" ref="B76:M76" si="56">B26+B51</f>
        <v>0</v>
      </c>
      <c r="C76" s="122">
        <f t="shared" si="56"/>
        <v>0</v>
      </c>
      <c r="D76" s="122">
        <f t="shared" si="56"/>
        <v>0</v>
      </c>
      <c r="E76" s="122">
        <f t="shared" si="56"/>
        <v>0</v>
      </c>
      <c r="F76" s="122">
        <f t="shared" si="56"/>
        <v>0</v>
      </c>
      <c r="G76" s="122">
        <f t="shared" si="56"/>
        <v>0</v>
      </c>
      <c r="H76" s="122">
        <f t="shared" si="56"/>
        <v>0</v>
      </c>
      <c r="I76" s="122">
        <f t="shared" si="56"/>
        <v>0</v>
      </c>
      <c r="J76" s="122">
        <f t="shared" si="56"/>
        <v>0</v>
      </c>
      <c r="K76" s="122">
        <f t="shared" si="56"/>
        <v>0</v>
      </c>
      <c r="L76" s="122">
        <f t="shared" si="56"/>
        <v>0</v>
      </c>
      <c r="M76" s="122">
        <f t="shared" si="56"/>
        <v>0</v>
      </c>
      <c r="N76" s="59">
        <f t="shared" si="19"/>
        <v>0</v>
      </c>
      <c r="O76" s="122">
        <f t="shared" ref="O76:Z76" si="57">O26+O51</f>
        <v>0</v>
      </c>
      <c r="P76" s="122">
        <f t="shared" si="57"/>
        <v>0</v>
      </c>
      <c r="Q76" s="122">
        <f t="shared" si="57"/>
        <v>0</v>
      </c>
      <c r="R76" s="122">
        <f t="shared" si="57"/>
        <v>0</v>
      </c>
      <c r="S76" s="122">
        <f t="shared" si="57"/>
        <v>0</v>
      </c>
      <c r="T76" s="122">
        <f t="shared" si="57"/>
        <v>0</v>
      </c>
      <c r="U76" s="122">
        <f t="shared" si="57"/>
        <v>0</v>
      </c>
      <c r="V76" s="122">
        <f t="shared" si="57"/>
        <v>0</v>
      </c>
      <c r="W76" s="122">
        <f t="shared" si="57"/>
        <v>0</v>
      </c>
      <c r="X76" s="122">
        <f t="shared" si="57"/>
        <v>0</v>
      </c>
      <c r="Y76" s="122">
        <f t="shared" si="57"/>
        <v>0</v>
      </c>
      <c r="Z76" s="122">
        <f t="shared" si="57"/>
        <v>0</v>
      </c>
      <c r="AA76" s="59">
        <f t="shared" si="21"/>
        <v>0</v>
      </c>
      <c r="AB76" s="122">
        <f t="shared" si="22"/>
        <v>0</v>
      </c>
      <c r="AC76" s="122">
        <f t="shared" si="22"/>
        <v>0</v>
      </c>
      <c r="AD76" s="59">
        <f t="shared" si="23"/>
        <v>0</v>
      </c>
      <c r="AE76" s="122">
        <f t="shared" si="24"/>
        <v>0</v>
      </c>
      <c r="AF76" s="122">
        <f t="shared" si="24"/>
        <v>0</v>
      </c>
      <c r="AG76" s="59">
        <f t="shared" si="25"/>
        <v>0</v>
      </c>
      <c r="AH76" s="122">
        <f t="shared" si="26"/>
        <v>0</v>
      </c>
      <c r="AI76" s="122">
        <f t="shared" si="26"/>
        <v>0</v>
      </c>
      <c r="AJ76" s="59">
        <f t="shared" si="27"/>
        <v>0</v>
      </c>
      <c r="AK76" s="70"/>
    </row>
    <row r="77" spans="2:37" x14ac:dyDescent="0.2">
      <c r="B77" s="122">
        <f t="shared" ref="B77:M77" si="58">B27+B52</f>
        <v>0</v>
      </c>
      <c r="C77" s="122">
        <f t="shared" si="58"/>
        <v>0</v>
      </c>
      <c r="D77" s="122">
        <f t="shared" si="58"/>
        <v>0</v>
      </c>
      <c r="E77" s="122">
        <f t="shared" si="58"/>
        <v>0</v>
      </c>
      <c r="F77" s="122">
        <f t="shared" si="58"/>
        <v>0</v>
      </c>
      <c r="G77" s="122">
        <f t="shared" si="58"/>
        <v>0</v>
      </c>
      <c r="H77" s="122">
        <f t="shared" si="58"/>
        <v>0</v>
      </c>
      <c r="I77" s="122">
        <f t="shared" si="58"/>
        <v>0</v>
      </c>
      <c r="J77" s="122">
        <f t="shared" si="58"/>
        <v>0</v>
      </c>
      <c r="K77" s="122">
        <f t="shared" si="58"/>
        <v>0</v>
      </c>
      <c r="L77" s="122">
        <f t="shared" si="58"/>
        <v>0</v>
      </c>
      <c r="M77" s="122">
        <f t="shared" si="58"/>
        <v>0</v>
      </c>
      <c r="N77" s="59">
        <f t="shared" si="19"/>
        <v>0</v>
      </c>
      <c r="O77" s="122">
        <f t="shared" ref="O77:Z77" si="59">O27+O52</f>
        <v>0</v>
      </c>
      <c r="P77" s="122">
        <f t="shared" si="59"/>
        <v>0</v>
      </c>
      <c r="Q77" s="122">
        <f t="shared" si="59"/>
        <v>0</v>
      </c>
      <c r="R77" s="122">
        <f t="shared" si="59"/>
        <v>0</v>
      </c>
      <c r="S77" s="122">
        <f t="shared" si="59"/>
        <v>0</v>
      </c>
      <c r="T77" s="122">
        <f t="shared" si="59"/>
        <v>0</v>
      </c>
      <c r="U77" s="122">
        <f t="shared" si="59"/>
        <v>0</v>
      </c>
      <c r="V77" s="122">
        <f t="shared" si="59"/>
        <v>0</v>
      </c>
      <c r="W77" s="122">
        <f t="shared" si="59"/>
        <v>0</v>
      </c>
      <c r="X77" s="122">
        <f t="shared" si="59"/>
        <v>0</v>
      </c>
      <c r="Y77" s="122">
        <f t="shared" si="59"/>
        <v>0</v>
      </c>
      <c r="Z77" s="122">
        <f t="shared" si="59"/>
        <v>0</v>
      </c>
      <c r="AA77" s="59">
        <f t="shared" si="21"/>
        <v>0</v>
      </c>
      <c r="AB77" s="122">
        <f t="shared" si="22"/>
        <v>0</v>
      </c>
      <c r="AC77" s="122">
        <f t="shared" si="22"/>
        <v>0</v>
      </c>
      <c r="AD77" s="59">
        <f t="shared" si="23"/>
        <v>0</v>
      </c>
      <c r="AE77" s="122">
        <f t="shared" si="24"/>
        <v>0</v>
      </c>
      <c r="AF77" s="122">
        <f t="shared" si="24"/>
        <v>0</v>
      </c>
      <c r="AG77" s="59">
        <f t="shared" si="25"/>
        <v>0</v>
      </c>
      <c r="AH77" s="122">
        <f t="shared" si="26"/>
        <v>0</v>
      </c>
      <c r="AI77" s="122">
        <f t="shared" si="26"/>
        <v>0</v>
      </c>
      <c r="AJ77" s="59">
        <f t="shared" si="27"/>
        <v>0</v>
      </c>
      <c r="AK77" s="70"/>
    </row>
    <row r="78" spans="2:37" x14ac:dyDescent="0.2">
      <c r="B78" s="122">
        <f t="shared" ref="B78:M78" si="60">B28+B53</f>
        <v>0</v>
      </c>
      <c r="C78" s="122">
        <f t="shared" si="60"/>
        <v>0</v>
      </c>
      <c r="D78" s="122">
        <f t="shared" si="60"/>
        <v>0</v>
      </c>
      <c r="E78" s="122">
        <f t="shared" si="60"/>
        <v>0</v>
      </c>
      <c r="F78" s="122">
        <f t="shared" si="60"/>
        <v>0</v>
      </c>
      <c r="G78" s="122">
        <f t="shared" si="60"/>
        <v>0</v>
      </c>
      <c r="H78" s="122">
        <f t="shared" si="60"/>
        <v>0</v>
      </c>
      <c r="I78" s="122">
        <f t="shared" si="60"/>
        <v>0</v>
      </c>
      <c r="J78" s="122">
        <f t="shared" si="60"/>
        <v>0</v>
      </c>
      <c r="K78" s="122">
        <f t="shared" si="60"/>
        <v>0</v>
      </c>
      <c r="L78" s="122">
        <f t="shared" si="60"/>
        <v>0</v>
      </c>
      <c r="M78" s="122">
        <f t="shared" si="60"/>
        <v>0</v>
      </c>
      <c r="N78" s="59">
        <f t="shared" si="19"/>
        <v>0</v>
      </c>
      <c r="O78" s="122">
        <f t="shared" ref="O78:Z78" si="61">O28+O53</f>
        <v>0</v>
      </c>
      <c r="P78" s="122">
        <f t="shared" si="61"/>
        <v>0</v>
      </c>
      <c r="Q78" s="122">
        <f t="shared" si="61"/>
        <v>0</v>
      </c>
      <c r="R78" s="122">
        <f t="shared" si="61"/>
        <v>0</v>
      </c>
      <c r="S78" s="122">
        <f t="shared" si="61"/>
        <v>0</v>
      </c>
      <c r="T78" s="122">
        <f t="shared" si="61"/>
        <v>0</v>
      </c>
      <c r="U78" s="122">
        <f t="shared" si="61"/>
        <v>0</v>
      </c>
      <c r="V78" s="122">
        <f t="shared" si="61"/>
        <v>0</v>
      </c>
      <c r="W78" s="122">
        <f t="shared" si="61"/>
        <v>0</v>
      </c>
      <c r="X78" s="122">
        <f t="shared" si="61"/>
        <v>0</v>
      </c>
      <c r="Y78" s="122">
        <f t="shared" si="61"/>
        <v>0</v>
      </c>
      <c r="Z78" s="122">
        <f t="shared" si="61"/>
        <v>0</v>
      </c>
      <c r="AA78" s="59">
        <f t="shared" si="21"/>
        <v>0</v>
      </c>
      <c r="AB78" s="122">
        <f t="shared" si="22"/>
        <v>0</v>
      </c>
      <c r="AC78" s="122">
        <f t="shared" si="22"/>
        <v>0</v>
      </c>
      <c r="AD78" s="59">
        <f t="shared" si="23"/>
        <v>0</v>
      </c>
      <c r="AE78" s="122">
        <f t="shared" si="24"/>
        <v>0</v>
      </c>
      <c r="AF78" s="122">
        <f t="shared" si="24"/>
        <v>0</v>
      </c>
      <c r="AG78" s="59">
        <f t="shared" si="25"/>
        <v>0</v>
      </c>
      <c r="AH78" s="122">
        <f t="shared" si="26"/>
        <v>0</v>
      </c>
      <c r="AI78" s="122">
        <f t="shared" si="26"/>
        <v>0</v>
      </c>
      <c r="AJ78" s="59">
        <f t="shared" si="27"/>
        <v>0</v>
      </c>
      <c r="AK78" s="70"/>
    </row>
    <row r="79" spans="2:37" x14ac:dyDescent="0.2">
      <c r="B79" s="122">
        <f t="shared" ref="B79:M79" si="62">B29+B54</f>
        <v>0</v>
      </c>
      <c r="C79" s="122">
        <f t="shared" si="62"/>
        <v>0</v>
      </c>
      <c r="D79" s="122">
        <f t="shared" si="62"/>
        <v>0</v>
      </c>
      <c r="E79" s="122">
        <f t="shared" si="62"/>
        <v>0</v>
      </c>
      <c r="F79" s="122">
        <f t="shared" si="62"/>
        <v>0</v>
      </c>
      <c r="G79" s="122">
        <f t="shared" si="62"/>
        <v>0</v>
      </c>
      <c r="H79" s="122">
        <f t="shared" si="62"/>
        <v>0</v>
      </c>
      <c r="I79" s="122">
        <f t="shared" si="62"/>
        <v>0</v>
      </c>
      <c r="J79" s="122">
        <f t="shared" si="62"/>
        <v>0</v>
      </c>
      <c r="K79" s="122">
        <f t="shared" si="62"/>
        <v>0</v>
      </c>
      <c r="L79" s="122">
        <f t="shared" si="62"/>
        <v>0</v>
      </c>
      <c r="M79" s="122">
        <f t="shared" si="62"/>
        <v>0</v>
      </c>
      <c r="N79" s="59">
        <f t="shared" si="19"/>
        <v>0</v>
      </c>
      <c r="O79" s="122">
        <f t="shared" ref="O79:Z79" si="63">O29+O54</f>
        <v>0</v>
      </c>
      <c r="P79" s="122">
        <f t="shared" si="63"/>
        <v>0</v>
      </c>
      <c r="Q79" s="122">
        <f t="shared" si="63"/>
        <v>0</v>
      </c>
      <c r="R79" s="122">
        <f t="shared" si="63"/>
        <v>0</v>
      </c>
      <c r="S79" s="122">
        <f t="shared" si="63"/>
        <v>0</v>
      </c>
      <c r="T79" s="122">
        <f t="shared" si="63"/>
        <v>0</v>
      </c>
      <c r="U79" s="122">
        <f t="shared" si="63"/>
        <v>0</v>
      </c>
      <c r="V79" s="122">
        <f t="shared" si="63"/>
        <v>0</v>
      </c>
      <c r="W79" s="122">
        <f t="shared" si="63"/>
        <v>0</v>
      </c>
      <c r="X79" s="122">
        <f t="shared" si="63"/>
        <v>0</v>
      </c>
      <c r="Y79" s="122">
        <f t="shared" si="63"/>
        <v>0</v>
      </c>
      <c r="Z79" s="122">
        <f t="shared" si="63"/>
        <v>0</v>
      </c>
      <c r="AA79" s="59">
        <f t="shared" si="21"/>
        <v>0</v>
      </c>
      <c r="AB79" s="122">
        <f t="shared" si="22"/>
        <v>0</v>
      </c>
      <c r="AC79" s="122">
        <f t="shared" si="22"/>
        <v>0</v>
      </c>
      <c r="AD79" s="59">
        <f t="shared" si="23"/>
        <v>0</v>
      </c>
      <c r="AE79" s="122">
        <f t="shared" si="24"/>
        <v>0</v>
      </c>
      <c r="AF79" s="122">
        <f t="shared" si="24"/>
        <v>0</v>
      </c>
      <c r="AG79" s="59">
        <f t="shared" si="25"/>
        <v>0</v>
      </c>
      <c r="AH79" s="122">
        <f t="shared" si="26"/>
        <v>0</v>
      </c>
      <c r="AI79" s="122">
        <f t="shared" si="26"/>
        <v>0</v>
      </c>
      <c r="AJ79" s="59">
        <f t="shared" si="27"/>
        <v>0</v>
      </c>
      <c r="AK79" s="70"/>
    </row>
    <row r="80" spans="2:37" x14ac:dyDescent="0.2">
      <c r="B80" s="122">
        <f t="shared" ref="B80:M80" si="64">B30+B55</f>
        <v>0</v>
      </c>
      <c r="C80" s="122">
        <f t="shared" si="64"/>
        <v>0</v>
      </c>
      <c r="D80" s="122">
        <f t="shared" si="64"/>
        <v>0</v>
      </c>
      <c r="E80" s="122">
        <f t="shared" si="64"/>
        <v>0</v>
      </c>
      <c r="F80" s="122">
        <f t="shared" si="64"/>
        <v>0</v>
      </c>
      <c r="G80" s="122">
        <f t="shared" si="64"/>
        <v>0</v>
      </c>
      <c r="H80" s="122">
        <f t="shared" si="64"/>
        <v>0</v>
      </c>
      <c r="I80" s="122">
        <f t="shared" si="64"/>
        <v>0</v>
      </c>
      <c r="J80" s="122">
        <f t="shared" si="64"/>
        <v>0</v>
      </c>
      <c r="K80" s="122">
        <f t="shared" si="64"/>
        <v>0</v>
      </c>
      <c r="L80" s="122">
        <f t="shared" si="64"/>
        <v>0</v>
      </c>
      <c r="M80" s="122">
        <f t="shared" si="64"/>
        <v>0</v>
      </c>
      <c r="N80" s="59">
        <f t="shared" si="19"/>
        <v>0</v>
      </c>
      <c r="O80" s="122">
        <f t="shared" ref="O80:Z80" si="65">O30+O55</f>
        <v>0</v>
      </c>
      <c r="P80" s="122">
        <f t="shared" si="65"/>
        <v>0</v>
      </c>
      <c r="Q80" s="122">
        <f t="shared" si="65"/>
        <v>0</v>
      </c>
      <c r="R80" s="122">
        <f t="shared" si="65"/>
        <v>0</v>
      </c>
      <c r="S80" s="122">
        <f t="shared" si="65"/>
        <v>0</v>
      </c>
      <c r="T80" s="122">
        <f t="shared" si="65"/>
        <v>0</v>
      </c>
      <c r="U80" s="122">
        <f t="shared" si="65"/>
        <v>0</v>
      </c>
      <c r="V80" s="122">
        <f t="shared" si="65"/>
        <v>0</v>
      </c>
      <c r="W80" s="122">
        <f t="shared" si="65"/>
        <v>0</v>
      </c>
      <c r="X80" s="122">
        <f t="shared" si="65"/>
        <v>0</v>
      </c>
      <c r="Y80" s="122">
        <f t="shared" si="65"/>
        <v>0</v>
      </c>
      <c r="Z80" s="122">
        <f t="shared" si="65"/>
        <v>0</v>
      </c>
      <c r="AA80" s="59">
        <f t="shared" si="21"/>
        <v>0</v>
      </c>
      <c r="AB80" s="122">
        <f t="shared" si="22"/>
        <v>0</v>
      </c>
      <c r="AC80" s="122">
        <f t="shared" si="22"/>
        <v>0</v>
      </c>
      <c r="AD80" s="59">
        <f t="shared" si="23"/>
        <v>0</v>
      </c>
      <c r="AE80" s="122">
        <f t="shared" si="24"/>
        <v>0</v>
      </c>
      <c r="AF80" s="122">
        <f t="shared" si="24"/>
        <v>0</v>
      </c>
      <c r="AG80" s="59">
        <f t="shared" si="25"/>
        <v>0</v>
      </c>
      <c r="AH80" s="122">
        <f t="shared" si="26"/>
        <v>0</v>
      </c>
      <c r="AI80" s="122">
        <f t="shared" si="26"/>
        <v>0</v>
      </c>
      <c r="AJ80" s="59">
        <f t="shared" si="27"/>
        <v>0</v>
      </c>
      <c r="AK80" s="70"/>
    </row>
    <row r="81" spans="2:37" x14ac:dyDescent="0.2">
      <c r="B81" s="122">
        <f t="shared" ref="B81:AJ81" si="66">SUM(B61:B80)</f>
        <v>8840</v>
      </c>
      <c r="C81" s="122">
        <f t="shared" si="66"/>
        <v>8840</v>
      </c>
      <c r="D81" s="122">
        <f t="shared" si="66"/>
        <v>12415</v>
      </c>
      <c r="E81" s="122">
        <f t="shared" si="66"/>
        <v>12415</v>
      </c>
      <c r="F81" s="122">
        <f t="shared" si="66"/>
        <v>12415</v>
      </c>
      <c r="G81" s="122">
        <f t="shared" si="66"/>
        <v>13108</v>
      </c>
      <c r="H81" s="122">
        <f t="shared" si="66"/>
        <v>13108</v>
      </c>
      <c r="I81" s="122">
        <f t="shared" si="66"/>
        <v>13108</v>
      </c>
      <c r="J81" s="122">
        <f t="shared" si="66"/>
        <v>12415</v>
      </c>
      <c r="K81" s="122">
        <f t="shared" si="66"/>
        <v>12415</v>
      </c>
      <c r="L81" s="122">
        <f t="shared" si="66"/>
        <v>12415</v>
      </c>
      <c r="M81" s="122">
        <f t="shared" si="66"/>
        <v>13108</v>
      </c>
      <c r="N81" s="122">
        <f t="shared" si="66"/>
        <v>144602</v>
      </c>
      <c r="O81" s="122">
        <f t="shared" si="66"/>
        <v>10507.5</v>
      </c>
      <c r="P81" s="122">
        <f t="shared" si="66"/>
        <v>10507.5</v>
      </c>
      <c r="Q81" s="122">
        <f t="shared" si="66"/>
        <v>10507.5</v>
      </c>
      <c r="R81" s="122">
        <f t="shared" si="66"/>
        <v>10507.5</v>
      </c>
      <c r="S81" s="122">
        <f t="shared" si="66"/>
        <v>10507.5</v>
      </c>
      <c r="T81" s="122">
        <f t="shared" si="66"/>
        <v>13069.583333333334</v>
      </c>
      <c r="U81" s="122">
        <f t="shared" si="66"/>
        <v>13069.583333333334</v>
      </c>
      <c r="V81" s="122">
        <f t="shared" si="66"/>
        <v>13069.583333333334</v>
      </c>
      <c r="W81" s="122">
        <f t="shared" si="66"/>
        <v>17478.75</v>
      </c>
      <c r="X81" s="122">
        <f t="shared" si="66"/>
        <v>17478.75</v>
      </c>
      <c r="Y81" s="122">
        <f t="shared" si="66"/>
        <v>17478.75</v>
      </c>
      <c r="Z81" s="122">
        <f t="shared" si="66"/>
        <v>17478.75</v>
      </c>
      <c r="AA81" s="122">
        <f t="shared" si="66"/>
        <v>161661.25</v>
      </c>
      <c r="AB81" s="122">
        <f t="shared" si="66"/>
        <v>113950</v>
      </c>
      <c r="AC81" s="122">
        <f t="shared" si="66"/>
        <v>113950</v>
      </c>
      <c r="AD81" s="122">
        <f t="shared" si="66"/>
        <v>227900</v>
      </c>
      <c r="AE81" s="122">
        <f t="shared" si="66"/>
        <v>152700</v>
      </c>
      <c r="AF81" s="122">
        <f t="shared" si="66"/>
        <v>152700</v>
      </c>
      <c r="AG81" s="122">
        <f t="shared" si="66"/>
        <v>305400</v>
      </c>
      <c r="AH81" s="122">
        <f t="shared" si="66"/>
        <v>195165</v>
      </c>
      <c r="AI81" s="122">
        <f t="shared" si="66"/>
        <v>195165</v>
      </c>
      <c r="AJ81" s="122">
        <f t="shared" si="66"/>
        <v>390330</v>
      </c>
      <c r="AK81" s="70"/>
    </row>
    <row r="82" spans="2:37" x14ac:dyDescent="0.2">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c r="AJ82" s="70"/>
      <c r="AK82" s="70"/>
    </row>
  </sheetData>
  <sheetProtection sheet="1" objects="1" scenarios="1"/>
  <mergeCells count="19">
    <mergeCell ref="B2:E3"/>
    <mergeCell ref="AH34:AJ34"/>
    <mergeCell ref="AH59:AJ59"/>
    <mergeCell ref="AE9:AG9"/>
    <mergeCell ref="AE34:AG34"/>
    <mergeCell ref="O34:AA34"/>
    <mergeCell ref="B59:N59"/>
    <mergeCell ref="AB34:AD34"/>
    <mergeCell ref="O9:AA9"/>
    <mergeCell ref="B58:N58"/>
    <mergeCell ref="AE59:AG59"/>
    <mergeCell ref="B8:N8"/>
    <mergeCell ref="B34:N34"/>
    <mergeCell ref="O59:AA59"/>
    <mergeCell ref="AB59:AD59"/>
    <mergeCell ref="B9:N9"/>
    <mergeCell ref="AB9:AD9"/>
    <mergeCell ref="AH9:AJ9"/>
    <mergeCell ref="B33:N33"/>
  </mergeCells>
  <dataValidations count="1">
    <dataValidation type="whole" operator="greaterThanOrEqual" allowBlank="1" showInputMessage="1" showErrorMessage="1" sqref="B11:B31 B36:B56 B61:M80 C11:M30 C31:AJ31 C36:M55 C56:AJ56 O11:Z30 O36:Z55 O61:Z80 AB11:AC30 AB36:AC55 AB61:AC80 AE11:AF30 AE36:AF55 AE61:AF80 AH11:AI30 AH36:AI55 AH61:AI80" xr:uid="{00000000-0002-0000-0500-000000000000}">
      <formula1>0</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2">
    <tabColor theme="3" tint="0.79998168889431442"/>
  </sheetPr>
  <dimension ref="B1:BQ30"/>
  <sheetViews>
    <sheetView showGridLines="0" showRowColHeaders="0" zoomScale="85" zoomScaleNormal="85" workbookViewId="0">
      <pane xSplit="2" ySplit="8" topLeftCell="C9" activePane="bottomRight" state="frozen"/>
      <selection pane="topRight" activeCell="D1" sqref="D1"/>
      <selection pane="bottomLeft" activeCell="A9" sqref="A9"/>
      <selection pane="bottomRight" activeCell="B5" sqref="B5:Q5"/>
    </sheetView>
  </sheetViews>
  <sheetFormatPr baseColWidth="10" defaultColWidth="11.5" defaultRowHeight="15" x14ac:dyDescent="0.2"/>
  <cols>
    <col min="1" max="1" width="3.5" customWidth="1"/>
    <col min="2" max="2" width="32.5" customWidth="1"/>
    <col min="3" max="7" width="12.5" customWidth="1"/>
    <col min="8" max="8" width="3.5" customWidth="1"/>
    <col min="9" max="11" width="11.5" customWidth="1"/>
    <col min="69" max="69" width="3" customWidth="1"/>
  </cols>
  <sheetData>
    <row r="1" spans="2:69" x14ac:dyDescent="0.2">
      <c r="BQ1" s="61"/>
    </row>
    <row r="2" spans="2:69" x14ac:dyDescent="0.2">
      <c r="B2" s="172" t="s">
        <v>109</v>
      </c>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row>
    <row r="3" spans="2:69" x14ac:dyDescent="0.2">
      <c r="B3" s="169"/>
      <c r="C3" s="63"/>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row>
    <row r="4" spans="2:69" x14ac:dyDescent="0.2">
      <c r="B4" s="64"/>
      <c r="C4" s="63"/>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row>
    <row r="5" spans="2:69" ht="37.5" customHeight="1" x14ac:dyDescent="0.2">
      <c r="B5" s="181" t="s">
        <v>110</v>
      </c>
      <c r="C5" s="157"/>
      <c r="D5" s="157"/>
      <c r="E5" s="157"/>
      <c r="F5" s="157"/>
      <c r="G5" s="157"/>
      <c r="H5" s="157"/>
      <c r="I5" s="157"/>
      <c r="J5" s="157"/>
      <c r="K5" s="157"/>
      <c r="L5" s="157"/>
      <c r="M5" s="157"/>
      <c r="N5" s="157"/>
      <c r="O5" s="157"/>
      <c r="P5" s="157"/>
      <c r="Q5" s="158"/>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row>
    <row r="6" spans="2:69" x14ac:dyDescent="0.2">
      <c r="B6" s="64"/>
      <c r="C6" s="63"/>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row>
    <row r="7" spans="2:69" x14ac:dyDescent="0.2">
      <c r="B7" s="62"/>
      <c r="C7" s="180" t="s">
        <v>111</v>
      </c>
      <c r="D7" s="157"/>
      <c r="E7" s="157"/>
      <c r="F7" s="157"/>
      <c r="G7" s="158"/>
      <c r="H7" s="70"/>
      <c r="I7" s="174" t="s">
        <v>77</v>
      </c>
      <c r="J7" s="157"/>
      <c r="K7" s="157"/>
      <c r="L7" s="157"/>
      <c r="M7" s="157"/>
      <c r="N7" s="157"/>
      <c r="O7" s="157"/>
      <c r="P7" s="157"/>
      <c r="Q7" s="157"/>
      <c r="R7" s="157"/>
      <c r="S7" s="157"/>
      <c r="T7" s="158"/>
      <c r="U7" s="174" t="s">
        <v>78</v>
      </c>
      <c r="V7" s="157"/>
      <c r="W7" s="157"/>
      <c r="X7" s="157"/>
      <c r="Y7" s="157"/>
      <c r="Z7" s="157"/>
      <c r="AA7" s="157"/>
      <c r="AB7" s="157"/>
      <c r="AC7" s="157"/>
      <c r="AD7" s="157"/>
      <c r="AE7" s="157"/>
      <c r="AF7" s="158"/>
      <c r="AG7" s="174" t="s">
        <v>79</v>
      </c>
      <c r="AH7" s="157"/>
      <c r="AI7" s="157"/>
      <c r="AJ7" s="157"/>
      <c r="AK7" s="157"/>
      <c r="AL7" s="157"/>
      <c r="AM7" s="157"/>
      <c r="AN7" s="157"/>
      <c r="AO7" s="157"/>
      <c r="AP7" s="157"/>
      <c r="AQ7" s="157"/>
      <c r="AR7" s="158"/>
      <c r="AS7" s="174" t="s">
        <v>80</v>
      </c>
      <c r="AT7" s="157"/>
      <c r="AU7" s="157"/>
      <c r="AV7" s="157"/>
      <c r="AW7" s="157"/>
      <c r="AX7" s="157"/>
      <c r="AY7" s="157"/>
      <c r="AZ7" s="157"/>
      <c r="BA7" s="157"/>
      <c r="BB7" s="157"/>
      <c r="BC7" s="157"/>
      <c r="BD7" s="158"/>
      <c r="BE7" s="174" t="s">
        <v>81</v>
      </c>
      <c r="BF7" s="157"/>
      <c r="BG7" s="157"/>
      <c r="BH7" s="157"/>
      <c r="BI7" s="157"/>
      <c r="BJ7" s="157"/>
      <c r="BK7" s="157"/>
      <c r="BL7" s="157"/>
      <c r="BM7" s="157"/>
      <c r="BN7" s="157"/>
      <c r="BO7" s="157"/>
      <c r="BP7" s="158"/>
      <c r="BQ7" s="62"/>
    </row>
    <row r="8" spans="2:69" ht="15" customHeight="1" x14ac:dyDescent="0.2">
      <c r="B8" s="139" t="s">
        <v>40</v>
      </c>
      <c r="C8" s="139" t="s">
        <v>77</v>
      </c>
      <c r="D8" s="139" t="s">
        <v>78</v>
      </c>
      <c r="E8" s="139" t="s">
        <v>79</v>
      </c>
      <c r="F8" s="139" t="s">
        <v>80</v>
      </c>
      <c r="G8" s="139" t="s">
        <v>81</v>
      </c>
      <c r="H8" s="70"/>
      <c r="I8" s="55">
        <f>Config!$C$7</f>
        <v>46388</v>
      </c>
      <c r="J8" s="55">
        <f t="shared" ref="J8:AO8" si="0">DATE(YEAR(I8),MONTH(I8)+1,DAY(I8))</f>
        <v>46419</v>
      </c>
      <c r="K8" s="55">
        <f t="shared" si="0"/>
        <v>46447</v>
      </c>
      <c r="L8" s="55">
        <f t="shared" si="0"/>
        <v>46478</v>
      </c>
      <c r="M8" s="55">
        <f t="shared" si="0"/>
        <v>46508</v>
      </c>
      <c r="N8" s="55">
        <f t="shared" si="0"/>
        <v>46539</v>
      </c>
      <c r="O8" s="55">
        <f t="shared" si="0"/>
        <v>46569</v>
      </c>
      <c r="P8" s="55">
        <f t="shared" si="0"/>
        <v>46600</v>
      </c>
      <c r="Q8" s="55">
        <f t="shared" si="0"/>
        <v>46631</v>
      </c>
      <c r="R8" s="55">
        <f t="shared" si="0"/>
        <v>46661</v>
      </c>
      <c r="S8" s="55">
        <f t="shared" si="0"/>
        <v>46692</v>
      </c>
      <c r="T8" s="55">
        <f t="shared" si="0"/>
        <v>46722</v>
      </c>
      <c r="U8" s="55">
        <f t="shared" si="0"/>
        <v>46753</v>
      </c>
      <c r="V8" s="55">
        <f t="shared" si="0"/>
        <v>46784</v>
      </c>
      <c r="W8" s="55">
        <f t="shared" si="0"/>
        <v>46813</v>
      </c>
      <c r="X8" s="55">
        <f t="shared" si="0"/>
        <v>46844</v>
      </c>
      <c r="Y8" s="55">
        <f t="shared" si="0"/>
        <v>46874</v>
      </c>
      <c r="Z8" s="55">
        <f t="shared" si="0"/>
        <v>46905</v>
      </c>
      <c r="AA8" s="55">
        <f t="shared" si="0"/>
        <v>46935</v>
      </c>
      <c r="AB8" s="55">
        <f t="shared" si="0"/>
        <v>46966</v>
      </c>
      <c r="AC8" s="55">
        <f t="shared" si="0"/>
        <v>46997</v>
      </c>
      <c r="AD8" s="55">
        <f t="shared" si="0"/>
        <v>47027</v>
      </c>
      <c r="AE8" s="55">
        <f t="shared" si="0"/>
        <v>47058</v>
      </c>
      <c r="AF8" s="55">
        <f t="shared" si="0"/>
        <v>47088</v>
      </c>
      <c r="AG8" s="55">
        <f t="shared" si="0"/>
        <v>47119</v>
      </c>
      <c r="AH8" s="55">
        <f t="shared" si="0"/>
        <v>47150</v>
      </c>
      <c r="AI8" s="55">
        <f t="shared" si="0"/>
        <v>47178</v>
      </c>
      <c r="AJ8" s="55">
        <f t="shared" si="0"/>
        <v>47209</v>
      </c>
      <c r="AK8" s="55">
        <f t="shared" si="0"/>
        <v>47239</v>
      </c>
      <c r="AL8" s="55">
        <f t="shared" si="0"/>
        <v>47270</v>
      </c>
      <c r="AM8" s="55">
        <f t="shared" si="0"/>
        <v>47300</v>
      </c>
      <c r="AN8" s="55">
        <f t="shared" si="0"/>
        <v>47331</v>
      </c>
      <c r="AO8" s="55">
        <f t="shared" si="0"/>
        <v>47362</v>
      </c>
      <c r="AP8" s="55">
        <f t="shared" ref="AP8:BP8" si="1">DATE(YEAR(AO8),MONTH(AO8)+1,DAY(AO8))</f>
        <v>47392</v>
      </c>
      <c r="AQ8" s="55">
        <f t="shared" si="1"/>
        <v>47423</v>
      </c>
      <c r="AR8" s="55">
        <f t="shared" si="1"/>
        <v>47453</v>
      </c>
      <c r="AS8" s="55">
        <f t="shared" si="1"/>
        <v>47484</v>
      </c>
      <c r="AT8" s="55">
        <f t="shared" si="1"/>
        <v>47515</v>
      </c>
      <c r="AU8" s="55">
        <f t="shared" si="1"/>
        <v>47543</v>
      </c>
      <c r="AV8" s="55">
        <f t="shared" si="1"/>
        <v>47574</v>
      </c>
      <c r="AW8" s="55">
        <f t="shared" si="1"/>
        <v>47604</v>
      </c>
      <c r="AX8" s="55">
        <f t="shared" si="1"/>
        <v>47635</v>
      </c>
      <c r="AY8" s="55">
        <f t="shared" si="1"/>
        <v>47665</v>
      </c>
      <c r="AZ8" s="55">
        <f t="shared" si="1"/>
        <v>47696</v>
      </c>
      <c r="BA8" s="55">
        <f t="shared" si="1"/>
        <v>47727</v>
      </c>
      <c r="BB8" s="55">
        <f t="shared" si="1"/>
        <v>47757</v>
      </c>
      <c r="BC8" s="55">
        <f t="shared" si="1"/>
        <v>47788</v>
      </c>
      <c r="BD8" s="55">
        <f t="shared" si="1"/>
        <v>47818</v>
      </c>
      <c r="BE8" s="55">
        <f t="shared" si="1"/>
        <v>47849</v>
      </c>
      <c r="BF8" s="55">
        <f t="shared" si="1"/>
        <v>47880</v>
      </c>
      <c r="BG8" s="55">
        <f t="shared" si="1"/>
        <v>47908</v>
      </c>
      <c r="BH8" s="55">
        <f t="shared" si="1"/>
        <v>47939</v>
      </c>
      <c r="BI8" s="55">
        <f t="shared" si="1"/>
        <v>47969</v>
      </c>
      <c r="BJ8" s="55">
        <f t="shared" si="1"/>
        <v>48000</v>
      </c>
      <c r="BK8" s="55">
        <f t="shared" si="1"/>
        <v>48030</v>
      </c>
      <c r="BL8" s="55">
        <f t="shared" si="1"/>
        <v>48061</v>
      </c>
      <c r="BM8" s="55">
        <f t="shared" si="1"/>
        <v>48092</v>
      </c>
      <c r="BN8" s="55">
        <f t="shared" si="1"/>
        <v>48122</v>
      </c>
      <c r="BO8" s="55">
        <f t="shared" si="1"/>
        <v>48153</v>
      </c>
      <c r="BP8" s="55">
        <f t="shared" si="1"/>
        <v>48183</v>
      </c>
      <c r="BQ8" s="65"/>
    </row>
    <row r="9" spans="2:69" x14ac:dyDescent="0.2">
      <c r="B9" s="134" t="s">
        <v>44</v>
      </c>
      <c r="C9" s="66">
        <f>Config!$C$55+Config!$D$55*'Commandes - Calculs auto'!N23</f>
        <v>4414.4740000000002</v>
      </c>
      <c r="D9" s="66">
        <f>Config!$C$55+Config!$D$55*'Commandes - Calculs auto'!Z23</f>
        <v>10240.806</v>
      </c>
      <c r="E9" s="66">
        <f>Config!$C$55+Config!$D$55*'Commandes - Calculs auto'!AL23</f>
        <v>17608.121999999999</v>
      </c>
      <c r="F9" s="66">
        <f>Config!$C$55+Config!$D$55*'Commandes - Calculs auto'!AX23</f>
        <v>27411.165000000001</v>
      </c>
      <c r="G9" s="66">
        <f>Config!$C$55+Config!$D$55*'Commandes - Calculs auto'!BJ23</f>
        <v>42574.499000000003</v>
      </c>
      <c r="H9" s="70"/>
      <c r="I9" s="67">
        <f t="shared" ref="I9:T18" si="2">$C9/12</f>
        <v>367.87283333333335</v>
      </c>
      <c r="J9" s="67">
        <f t="shared" si="2"/>
        <v>367.87283333333335</v>
      </c>
      <c r="K9" s="67">
        <f t="shared" si="2"/>
        <v>367.87283333333335</v>
      </c>
      <c r="L9" s="67">
        <f t="shared" si="2"/>
        <v>367.87283333333335</v>
      </c>
      <c r="M9" s="67">
        <f t="shared" si="2"/>
        <v>367.87283333333335</v>
      </c>
      <c r="N9" s="67">
        <f t="shared" si="2"/>
        <v>367.87283333333335</v>
      </c>
      <c r="O9" s="67">
        <f t="shared" si="2"/>
        <v>367.87283333333335</v>
      </c>
      <c r="P9" s="67">
        <f t="shared" si="2"/>
        <v>367.87283333333335</v>
      </c>
      <c r="Q9" s="67">
        <f t="shared" si="2"/>
        <v>367.87283333333335</v>
      </c>
      <c r="R9" s="67">
        <f t="shared" si="2"/>
        <v>367.87283333333335</v>
      </c>
      <c r="S9" s="67">
        <f t="shared" si="2"/>
        <v>367.87283333333335</v>
      </c>
      <c r="T9" s="67">
        <f t="shared" si="2"/>
        <v>367.87283333333335</v>
      </c>
      <c r="U9" s="67">
        <f t="shared" ref="U9:AF18" si="3">$D9/12</f>
        <v>853.40050000000008</v>
      </c>
      <c r="V9" s="67">
        <f t="shared" si="3"/>
        <v>853.40050000000008</v>
      </c>
      <c r="W9" s="67">
        <f t="shared" si="3"/>
        <v>853.40050000000008</v>
      </c>
      <c r="X9" s="67">
        <f t="shared" si="3"/>
        <v>853.40050000000008</v>
      </c>
      <c r="Y9" s="67">
        <f t="shared" si="3"/>
        <v>853.40050000000008</v>
      </c>
      <c r="Z9" s="67">
        <f t="shared" si="3"/>
        <v>853.40050000000008</v>
      </c>
      <c r="AA9" s="67">
        <f t="shared" si="3"/>
        <v>853.40050000000008</v>
      </c>
      <c r="AB9" s="67">
        <f t="shared" si="3"/>
        <v>853.40050000000008</v>
      </c>
      <c r="AC9" s="67">
        <f t="shared" si="3"/>
        <v>853.40050000000008</v>
      </c>
      <c r="AD9" s="67">
        <f t="shared" si="3"/>
        <v>853.40050000000008</v>
      </c>
      <c r="AE9" s="67">
        <f t="shared" si="3"/>
        <v>853.40050000000008</v>
      </c>
      <c r="AF9" s="67">
        <f t="shared" si="3"/>
        <v>853.40050000000008</v>
      </c>
      <c r="AG9" s="67">
        <f t="shared" ref="AG9:AR18" si="4">$E9/12</f>
        <v>1467.3434999999999</v>
      </c>
      <c r="AH9" s="67">
        <f t="shared" si="4"/>
        <v>1467.3434999999999</v>
      </c>
      <c r="AI9" s="67">
        <f t="shared" si="4"/>
        <v>1467.3434999999999</v>
      </c>
      <c r="AJ9" s="67">
        <f t="shared" si="4"/>
        <v>1467.3434999999999</v>
      </c>
      <c r="AK9" s="67">
        <f t="shared" si="4"/>
        <v>1467.3434999999999</v>
      </c>
      <c r="AL9" s="67">
        <f t="shared" si="4"/>
        <v>1467.3434999999999</v>
      </c>
      <c r="AM9" s="67">
        <f t="shared" si="4"/>
        <v>1467.3434999999999</v>
      </c>
      <c r="AN9" s="67">
        <f t="shared" si="4"/>
        <v>1467.3434999999999</v>
      </c>
      <c r="AO9" s="67">
        <f t="shared" si="4"/>
        <v>1467.3434999999999</v>
      </c>
      <c r="AP9" s="67">
        <f t="shared" si="4"/>
        <v>1467.3434999999999</v>
      </c>
      <c r="AQ9" s="67">
        <f t="shared" si="4"/>
        <v>1467.3434999999999</v>
      </c>
      <c r="AR9" s="67">
        <f t="shared" si="4"/>
        <v>1467.3434999999999</v>
      </c>
      <c r="AS9" s="67">
        <f t="shared" ref="AS9:BD18" si="5">$F9/12</f>
        <v>2284.2637500000001</v>
      </c>
      <c r="AT9" s="67">
        <f t="shared" si="5"/>
        <v>2284.2637500000001</v>
      </c>
      <c r="AU9" s="67">
        <f t="shared" si="5"/>
        <v>2284.2637500000001</v>
      </c>
      <c r="AV9" s="67">
        <f t="shared" si="5"/>
        <v>2284.2637500000001</v>
      </c>
      <c r="AW9" s="67">
        <f t="shared" si="5"/>
        <v>2284.2637500000001</v>
      </c>
      <c r="AX9" s="67">
        <f t="shared" si="5"/>
        <v>2284.2637500000001</v>
      </c>
      <c r="AY9" s="67">
        <f t="shared" si="5"/>
        <v>2284.2637500000001</v>
      </c>
      <c r="AZ9" s="67">
        <f t="shared" si="5"/>
        <v>2284.2637500000001</v>
      </c>
      <c r="BA9" s="67">
        <f t="shared" si="5"/>
        <v>2284.2637500000001</v>
      </c>
      <c r="BB9" s="67">
        <f t="shared" si="5"/>
        <v>2284.2637500000001</v>
      </c>
      <c r="BC9" s="67">
        <f t="shared" si="5"/>
        <v>2284.2637500000001</v>
      </c>
      <c r="BD9" s="67">
        <f t="shared" si="5"/>
        <v>2284.2637500000001</v>
      </c>
      <c r="BE9" s="67">
        <f t="shared" ref="BE9:BP18" si="6">$G9/12</f>
        <v>3547.8749166666671</v>
      </c>
      <c r="BF9" s="67">
        <f t="shared" si="6"/>
        <v>3547.8749166666671</v>
      </c>
      <c r="BG9" s="67">
        <f t="shared" si="6"/>
        <v>3547.8749166666671</v>
      </c>
      <c r="BH9" s="67">
        <f t="shared" si="6"/>
        <v>3547.8749166666671</v>
      </c>
      <c r="BI9" s="67">
        <f t="shared" si="6"/>
        <v>3547.8749166666671</v>
      </c>
      <c r="BJ9" s="67">
        <f t="shared" si="6"/>
        <v>3547.8749166666671</v>
      </c>
      <c r="BK9" s="67">
        <f t="shared" si="6"/>
        <v>3547.8749166666671</v>
      </c>
      <c r="BL9" s="67">
        <f t="shared" si="6"/>
        <v>3547.8749166666671</v>
      </c>
      <c r="BM9" s="67">
        <f t="shared" si="6"/>
        <v>3547.8749166666671</v>
      </c>
      <c r="BN9" s="67">
        <f t="shared" si="6"/>
        <v>3547.8749166666671</v>
      </c>
      <c r="BO9" s="67">
        <f t="shared" si="6"/>
        <v>3547.8749166666671</v>
      </c>
      <c r="BP9" s="67">
        <f t="shared" si="6"/>
        <v>3547.8749166666671</v>
      </c>
      <c r="BQ9" s="65"/>
    </row>
    <row r="10" spans="2:69" x14ac:dyDescent="0.2">
      <c r="B10" s="134" t="s">
        <v>46</v>
      </c>
      <c r="C10" s="66">
        <f>Config!$C$56+Config!$D$56*'Personnel - Calculs auto'!C$6</f>
        <v>5450</v>
      </c>
      <c r="D10" s="66">
        <f>Config!$C$56+Config!$D$56*'Personnel - Calculs auto'!D$6</f>
        <v>5775</v>
      </c>
      <c r="E10" s="66">
        <f>Config!$C$56+Config!$D$56*'Personnel - Calculs auto'!E$6</f>
        <v>6300</v>
      </c>
      <c r="F10" s="66">
        <f>Config!$C$56+Config!$D$56*'Personnel - Calculs auto'!F$6</f>
        <v>6600</v>
      </c>
      <c r="G10" s="66">
        <f>Config!$C$56+Config!$D$56*'Personnel - Calculs auto'!G$6</f>
        <v>6900</v>
      </c>
      <c r="H10" s="70"/>
      <c r="I10" s="67">
        <f t="shared" si="2"/>
        <v>454.16666666666669</v>
      </c>
      <c r="J10" s="67">
        <f t="shared" si="2"/>
        <v>454.16666666666669</v>
      </c>
      <c r="K10" s="67">
        <f t="shared" si="2"/>
        <v>454.16666666666669</v>
      </c>
      <c r="L10" s="67">
        <f t="shared" si="2"/>
        <v>454.16666666666669</v>
      </c>
      <c r="M10" s="67">
        <f t="shared" si="2"/>
        <v>454.16666666666669</v>
      </c>
      <c r="N10" s="67">
        <f t="shared" si="2"/>
        <v>454.16666666666669</v>
      </c>
      <c r="O10" s="67">
        <f t="shared" si="2"/>
        <v>454.16666666666669</v>
      </c>
      <c r="P10" s="67">
        <f t="shared" si="2"/>
        <v>454.16666666666669</v>
      </c>
      <c r="Q10" s="67">
        <f t="shared" si="2"/>
        <v>454.16666666666669</v>
      </c>
      <c r="R10" s="67">
        <f t="shared" si="2"/>
        <v>454.16666666666669</v>
      </c>
      <c r="S10" s="67">
        <f t="shared" si="2"/>
        <v>454.16666666666669</v>
      </c>
      <c r="T10" s="67">
        <f t="shared" si="2"/>
        <v>454.16666666666669</v>
      </c>
      <c r="U10" s="67">
        <f t="shared" si="3"/>
        <v>481.25</v>
      </c>
      <c r="V10" s="67">
        <f t="shared" si="3"/>
        <v>481.25</v>
      </c>
      <c r="W10" s="67">
        <f t="shared" si="3"/>
        <v>481.25</v>
      </c>
      <c r="X10" s="67">
        <f t="shared" si="3"/>
        <v>481.25</v>
      </c>
      <c r="Y10" s="67">
        <f t="shared" si="3"/>
        <v>481.25</v>
      </c>
      <c r="Z10" s="67">
        <f t="shared" si="3"/>
        <v>481.25</v>
      </c>
      <c r="AA10" s="67">
        <f t="shared" si="3"/>
        <v>481.25</v>
      </c>
      <c r="AB10" s="67">
        <f t="shared" si="3"/>
        <v>481.25</v>
      </c>
      <c r="AC10" s="67">
        <f t="shared" si="3"/>
        <v>481.25</v>
      </c>
      <c r="AD10" s="67">
        <f t="shared" si="3"/>
        <v>481.25</v>
      </c>
      <c r="AE10" s="67">
        <f t="shared" si="3"/>
        <v>481.25</v>
      </c>
      <c r="AF10" s="67">
        <f t="shared" si="3"/>
        <v>481.25</v>
      </c>
      <c r="AG10" s="67">
        <f t="shared" si="4"/>
        <v>525</v>
      </c>
      <c r="AH10" s="67">
        <f t="shared" si="4"/>
        <v>525</v>
      </c>
      <c r="AI10" s="67">
        <f t="shared" si="4"/>
        <v>525</v>
      </c>
      <c r="AJ10" s="67">
        <f t="shared" si="4"/>
        <v>525</v>
      </c>
      <c r="AK10" s="67">
        <f t="shared" si="4"/>
        <v>525</v>
      </c>
      <c r="AL10" s="67">
        <f t="shared" si="4"/>
        <v>525</v>
      </c>
      <c r="AM10" s="67">
        <f t="shared" si="4"/>
        <v>525</v>
      </c>
      <c r="AN10" s="67">
        <f t="shared" si="4"/>
        <v>525</v>
      </c>
      <c r="AO10" s="67">
        <f t="shared" si="4"/>
        <v>525</v>
      </c>
      <c r="AP10" s="67">
        <f t="shared" si="4"/>
        <v>525</v>
      </c>
      <c r="AQ10" s="67">
        <f t="shared" si="4"/>
        <v>525</v>
      </c>
      <c r="AR10" s="67">
        <f t="shared" si="4"/>
        <v>525</v>
      </c>
      <c r="AS10" s="67">
        <f t="shared" si="5"/>
        <v>550</v>
      </c>
      <c r="AT10" s="67">
        <f t="shared" si="5"/>
        <v>550</v>
      </c>
      <c r="AU10" s="67">
        <f t="shared" si="5"/>
        <v>550</v>
      </c>
      <c r="AV10" s="67">
        <f t="shared" si="5"/>
        <v>550</v>
      </c>
      <c r="AW10" s="67">
        <f t="shared" si="5"/>
        <v>550</v>
      </c>
      <c r="AX10" s="67">
        <f t="shared" si="5"/>
        <v>550</v>
      </c>
      <c r="AY10" s="67">
        <f t="shared" si="5"/>
        <v>550</v>
      </c>
      <c r="AZ10" s="67">
        <f t="shared" si="5"/>
        <v>550</v>
      </c>
      <c r="BA10" s="67">
        <f t="shared" si="5"/>
        <v>550</v>
      </c>
      <c r="BB10" s="67">
        <f t="shared" si="5"/>
        <v>550</v>
      </c>
      <c r="BC10" s="67">
        <f t="shared" si="5"/>
        <v>550</v>
      </c>
      <c r="BD10" s="67">
        <f t="shared" si="5"/>
        <v>550</v>
      </c>
      <c r="BE10" s="67">
        <f t="shared" si="6"/>
        <v>575</v>
      </c>
      <c r="BF10" s="67">
        <f t="shared" si="6"/>
        <v>575</v>
      </c>
      <c r="BG10" s="67">
        <f t="shared" si="6"/>
        <v>575</v>
      </c>
      <c r="BH10" s="67">
        <f t="shared" si="6"/>
        <v>575</v>
      </c>
      <c r="BI10" s="67">
        <f t="shared" si="6"/>
        <v>575</v>
      </c>
      <c r="BJ10" s="67">
        <f t="shared" si="6"/>
        <v>575</v>
      </c>
      <c r="BK10" s="67">
        <f t="shared" si="6"/>
        <v>575</v>
      </c>
      <c r="BL10" s="67">
        <f t="shared" si="6"/>
        <v>575</v>
      </c>
      <c r="BM10" s="67">
        <f t="shared" si="6"/>
        <v>575</v>
      </c>
      <c r="BN10" s="67">
        <f t="shared" si="6"/>
        <v>575</v>
      </c>
      <c r="BO10" s="67">
        <f t="shared" si="6"/>
        <v>575</v>
      </c>
      <c r="BP10" s="67">
        <f t="shared" si="6"/>
        <v>575</v>
      </c>
      <c r="BQ10" s="65"/>
    </row>
    <row r="11" spans="2:69" x14ac:dyDescent="0.2">
      <c r="B11" s="134" t="s">
        <v>48</v>
      </c>
      <c r="C11" s="66">
        <f>Config!$C$57+Config!$D$57*'Commandes - Calculs auto'!N23</f>
        <v>72289.48</v>
      </c>
      <c r="D11" s="66">
        <f>Config!$C$57+Config!$D$57*'Commandes - Calculs auto'!Z23</f>
        <v>188816.12</v>
      </c>
      <c r="E11" s="66">
        <f>Config!$C$57+Config!$D$57*'Commandes - Calculs auto'!AL23</f>
        <v>336162.44</v>
      </c>
      <c r="F11" s="66">
        <f>Config!$C$57+Config!$D$57*'Commandes - Calculs auto'!AX23</f>
        <v>532223.30000000005</v>
      </c>
      <c r="G11" s="66">
        <f>Config!$C$57+Config!$D$57*'Commandes - Calculs auto'!BJ23</f>
        <v>835489.98</v>
      </c>
      <c r="H11" s="70"/>
      <c r="I11" s="67">
        <f t="shared" si="2"/>
        <v>6024.123333333333</v>
      </c>
      <c r="J11" s="67">
        <f t="shared" si="2"/>
        <v>6024.123333333333</v>
      </c>
      <c r="K11" s="67">
        <f t="shared" si="2"/>
        <v>6024.123333333333</v>
      </c>
      <c r="L11" s="67">
        <f t="shared" si="2"/>
        <v>6024.123333333333</v>
      </c>
      <c r="M11" s="67">
        <f t="shared" si="2"/>
        <v>6024.123333333333</v>
      </c>
      <c r="N11" s="67">
        <f t="shared" si="2"/>
        <v>6024.123333333333</v>
      </c>
      <c r="O11" s="67">
        <f t="shared" si="2"/>
        <v>6024.123333333333</v>
      </c>
      <c r="P11" s="67">
        <f t="shared" si="2"/>
        <v>6024.123333333333</v>
      </c>
      <c r="Q11" s="67">
        <f t="shared" si="2"/>
        <v>6024.123333333333</v>
      </c>
      <c r="R11" s="67">
        <f t="shared" si="2"/>
        <v>6024.123333333333</v>
      </c>
      <c r="S11" s="67">
        <f t="shared" si="2"/>
        <v>6024.123333333333</v>
      </c>
      <c r="T11" s="67">
        <f t="shared" si="2"/>
        <v>6024.123333333333</v>
      </c>
      <c r="U11" s="67">
        <f t="shared" si="3"/>
        <v>15734.676666666666</v>
      </c>
      <c r="V11" s="67">
        <f t="shared" si="3"/>
        <v>15734.676666666666</v>
      </c>
      <c r="W11" s="67">
        <f t="shared" si="3"/>
        <v>15734.676666666666</v>
      </c>
      <c r="X11" s="67">
        <f t="shared" si="3"/>
        <v>15734.676666666666</v>
      </c>
      <c r="Y11" s="67">
        <f t="shared" si="3"/>
        <v>15734.676666666666</v>
      </c>
      <c r="Z11" s="67">
        <f t="shared" si="3"/>
        <v>15734.676666666666</v>
      </c>
      <c r="AA11" s="67">
        <f t="shared" si="3"/>
        <v>15734.676666666666</v>
      </c>
      <c r="AB11" s="67">
        <f t="shared" si="3"/>
        <v>15734.676666666666</v>
      </c>
      <c r="AC11" s="67">
        <f t="shared" si="3"/>
        <v>15734.676666666666</v>
      </c>
      <c r="AD11" s="67">
        <f t="shared" si="3"/>
        <v>15734.676666666666</v>
      </c>
      <c r="AE11" s="67">
        <f t="shared" si="3"/>
        <v>15734.676666666666</v>
      </c>
      <c r="AF11" s="67">
        <f t="shared" si="3"/>
        <v>15734.676666666666</v>
      </c>
      <c r="AG11" s="67">
        <f t="shared" si="4"/>
        <v>28013.536666666667</v>
      </c>
      <c r="AH11" s="67">
        <f t="shared" si="4"/>
        <v>28013.536666666667</v>
      </c>
      <c r="AI11" s="67">
        <f t="shared" si="4"/>
        <v>28013.536666666667</v>
      </c>
      <c r="AJ11" s="67">
        <f t="shared" si="4"/>
        <v>28013.536666666667</v>
      </c>
      <c r="AK11" s="67">
        <f t="shared" si="4"/>
        <v>28013.536666666667</v>
      </c>
      <c r="AL11" s="67">
        <f t="shared" si="4"/>
        <v>28013.536666666667</v>
      </c>
      <c r="AM11" s="67">
        <f t="shared" si="4"/>
        <v>28013.536666666667</v>
      </c>
      <c r="AN11" s="67">
        <f t="shared" si="4"/>
        <v>28013.536666666667</v>
      </c>
      <c r="AO11" s="67">
        <f t="shared" si="4"/>
        <v>28013.536666666667</v>
      </c>
      <c r="AP11" s="67">
        <f t="shared" si="4"/>
        <v>28013.536666666667</v>
      </c>
      <c r="AQ11" s="67">
        <f t="shared" si="4"/>
        <v>28013.536666666667</v>
      </c>
      <c r="AR11" s="67">
        <f t="shared" si="4"/>
        <v>28013.536666666667</v>
      </c>
      <c r="AS11" s="67">
        <f t="shared" si="5"/>
        <v>44351.941666666673</v>
      </c>
      <c r="AT11" s="67">
        <f t="shared" si="5"/>
        <v>44351.941666666673</v>
      </c>
      <c r="AU11" s="67">
        <f t="shared" si="5"/>
        <v>44351.941666666673</v>
      </c>
      <c r="AV11" s="67">
        <f t="shared" si="5"/>
        <v>44351.941666666673</v>
      </c>
      <c r="AW11" s="67">
        <f t="shared" si="5"/>
        <v>44351.941666666673</v>
      </c>
      <c r="AX11" s="67">
        <f t="shared" si="5"/>
        <v>44351.941666666673</v>
      </c>
      <c r="AY11" s="67">
        <f t="shared" si="5"/>
        <v>44351.941666666673</v>
      </c>
      <c r="AZ11" s="67">
        <f t="shared" si="5"/>
        <v>44351.941666666673</v>
      </c>
      <c r="BA11" s="67">
        <f t="shared" si="5"/>
        <v>44351.941666666673</v>
      </c>
      <c r="BB11" s="67">
        <f t="shared" si="5"/>
        <v>44351.941666666673</v>
      </c>
      <c r="BC11" s="67">
        <f t="shared" si="5"/>
        <v>44351.941666666673</v>
      </c>
      <c r="BD11" s="67">
        <f t="shared" si="5"/>
        <v>44351.941666666673</v>
      </c>
      <c r="BE11" s="67">
        <f t="shared" si="6"/>
        <v>69624.164999999994</v>
      </c>
      <c r="BF11" s="67">
        <f t="shared" si="6"/>
        <v>69624.164999999994</v>
      </c>
      <c r="BG11" s="67">
        <f t="shared" si="6"/>
        <v>69624.164999999994</v>
      </c>
      <c r="BH11" s="67">
        <f t="shared" si="6"/>
        <v>69624.164999999994</v>
      </c>
      <c r="BI11" s="67">
        <f t="shared" si="6"/>
        <v>69624.164999999994</v>
      </c>
      <c r="BJ11" s="67">
        <f t="shared" si="6"/>
        <v>69624.164999999994</v>
      </c>
      <c r="BK11" s="67">
        <f t="shared" si="6"/>
        <v>69624.164999999994</v>
      </c>
      <c r="BL11" s="67">
        <f t="shared" si="6"/>
        <v>69624.164999999994</v>
      </c>
      <c r="BM11" s="67">
        <f t="shared" si="6"/>
        <v>69624.164999999994</v>
      </c>
      <c r="BN11" s="67">
        <f t="shared" si="6"/>
        <v>69624.164999999994</v>
      </c>
      <c r="BO11" s="67">
        <f t="shared" si="6"/>
        <v>69624.164999999994</v>
      </c>
      <c r="BP11" s="67">
        <f t="shared" si="6"/>
        <v>69624.164999999994</v>
      </c>
      <c r="BQ11" s="65"/>
    </row>
    <row r="12" spans="2:69" x14ac:dyDescent="0.2">
      <c r="B12" s="134" t="s">
        <v>49</v>
      </c>
      <c r="C12" s="66">
        <f>Config!$C$58+Config!$D$58*'Personnel - Calculs auto'!C$6</f>
        <v>21166.666666666668</v>
      </c>
      <c r="D12" s="66">
        <f>Config!$C$58+Config!$D$58*'Personnel - Calculs auto'!D$6</f>
        <v>22250</v>
      </c>
      <c r="E12" s="66">
        <f>Config!$C$58+Config!$D$58*'Personnel - Calculs auto'!E$6</f>
        <v>24000</v>
      </c>
      <c r="F12" s="66">
        <f>Config!$C$58+Config!$D$58*'Personnel - Calculs auto'!F$6</f>
        <v>25000</v>
      </c>
      <c r="G12" s="66">
        <f>Config!$C$58+Config!$D$58*'Personnel - Calculs auto'!G$6</f>
        <v>26000</v>
      </c>
      <c r="H12" s="70"/>
      <c r="I12" s="67">
        <f t="shared" si="2"/>
        <v>1763.8888888888889</v>
      </c>
      <c r="J12" s="67">
        <f t="shared" si="2"/>
        <v>1763.8888888888889</v>
      </c>
      <c r="K12" s="67">
        <f t="shared" si="2"/>
        <v>1763.8888888888889</v>
      </c>
      <c r="L12" s="67">
        <f t="shared" si="2"/>
        <v>1763.8888888888889</v>
      </c>
      <c r="M12" s="67">
        <f t="shared" si="2"/>
        <v>1763.8888888888889</v>
      </c>
      <c r="N12" s="67">
        <f t="shared" si="2"/>
        <v>1763.8888888888889</v>
      </c>
      <c r="O12" s="67">
        <f t="shared" si="2"/>
        <v>1763.8888888888889</v>
      </c>
      <c r="P12" s="67">
        <f t="shared" si="2"/>
        <v>1763.8888888888889</v>
      </c>
      <c r="Q12" s="67">
        <f t="shared" si="2"/>
        <v>1763.8888888888889</v>
      </c>
      <c r="R12" s="67">
        <f t="shared" si="2"/>
        <v>1763.8888888888889</v>
      </c>
      <c r="S12" s="67">
        <f t="shared" si="2"/>
        <v>1763.8888888888889</v>
      </c>
      <c r="T12" s="67">
        <f t="shared" si="2"/>
        <v>1763.8888888888889</v>
      </c>
      <c r="U12" s="67">
        <f t="shared" si="3"/>
        <v>1854.1666666666667</v>
      </c>
      <c r="V12" s="67">
        <f t="shared" si="3"/>
        <v>1854.1666666666667</v>
      </c>
      <c r="W12" s="67">
        <f t="shared" si="3"/>
        <v>1854.1666666666667</v>
      </c>
      <c r="X12" s="67">
        <f t="shared" si="3"/>
        <v>1854.1666666666667</v>
      </c>
      <c r="Y12" s="67">
        <f t="shared" si="3"/>
        <v>1854.1666666666667</v>
      </c>
      <c r="Z12" s="67">
        <f t="shared" si="3"/>
        <v>1854.1666666666667</v>
      </c>
      <c r="AA12" s="67">
        <f t="shared" si="3"/>
        <v>1854.1666666666667</v>
      </c>
      <c r="AB12" s="67">
        <f t="shared" si="3"/>
        <v>1854.1666666666667</v>
      </c>
      <c r="AC12" s="67">
        <f t="shared" si="3"/>
        <v>1854.1666666666667</v>
      </c>
      <c r="AD12" s="67">
        <f t="shared" si="3"/>
        <v>1854.1666666666667</v>
      </c>
      <c r="AE12" s="67">
        <f t="shared" si="3"/>
        <v>1854.1666666666667</v>
      </c>
      <c r="AF12" s="67">
        <f t="shared" si="3"/>
        <v>1854.1666666666667</v>
      </c>
      <c r="AG12" s="67">
        <f t="shared" si="4"/>
        <v>2000</v>
      </c>
      <c r="AH12" s="67">
        <f t="shared" si="4"/>
        <v>2000</v>
      </c>
      <c r="AI12" s="67">
        <f t="shared" si="4"/>
        <v>2000</v>
      </c>
      <c r="AJ12" s="67">
        <f t="shared" si="4"/>
        <v>2000</v>
      </c>
      <c r="AK12" s="67">
        <f t="shared" si="4"/>
        <v>2000</v>
      </c>
      <c r="AL12" s="67">
        <f t="shared" si="4"/>
        <v>2000</v>
      </c>
      <c r="AM12" s="67">
        <f t="shared" si="4"/>
        <v>2000</v>
      </c>
      <c r="AN12" s="67">
        <f t="shared" si="4"/>
        <v>2000</v>
      </c>
      <c r="AO12" s="67">
        <f t="shared" si="4"/>
        <v>2000</v>
      </c>
      <c r="AP12" s="67">
        <f t="shared" si="4"/>
        <v>2000</v>
      </c>
      <c r="AQ12" s="67">
        <f t="shared" si="4"/>
        <v>2000</v>
      </c>
      <c r="AR12" s="67">
        <f t="shared" si="4"/>
        <v>2000</v>
      </c>
      <c r="AS12" s="67">
        <f t="shared" si="5"/>
        <v>2083.3333333333335</v>
      </c>
      <c r="AT12" s="67">
        <f t="shared" si="5"/>
        <v>2083.3333333333335</v>
      </c>
      <c r="AU12" s="67">
        <f t="shared" si="5"/>
        <v>2083.3333333333335</v>
      </c>
      <c r="AV12" s="67">
        <f t="shared" si="5"/>
        <v>2083.3333333333335</v>
      </c>
      <c r="AW12" s="67">
        <f t="shared" si="5"/>
        <v>2083.3333333333335</v>
      </c>
      <c r="AX12" s="67">
        <f t="shared" si="5"/>
        <v>2083.3333333333335</v>
      </c>
      <c r="AY12" s="67">
        <f t="shared" si="5"/>
        <v>2083.3333333333335</v>
      </c>
      <c r="AZ12" s="67">
        <f t="shared" si="5"/>
        <v>2083.3333333333335</v>
      </c>
      <c r="BA12" s="67">
        <f t="shared" si="5"/>
        <v>2083.3333333333335</v>
      </c>
      <c r="BB12" s="67">
        <f t="shared" si="5"/>
        <v>2083.3333333333335</v>
      </c>
      <c r="BC12" s="67">
        <f t="shared" si="5"/>
        <v>2083.3333333333335</v>
      </c>
      <c r="BD12" s="67">
        <f t="shared" si="5"/>
        <v>2083.3333333333335</v>
      </c>
      <c r="BE12" s="67">
        <f t="shared" si="6"/>
        <v>2166.6666666666665</v>
      </c>
      <c r="BF12" s="67">
        <f t="shared" si="6"/>
        <v>2166.6666666666665</v>
      </c>
      <c r="BG12" s="67">
        <f t="shared" si="6"/>
        <v>2166.6666666666665</v>
      </c>
      <c r="BH12" s="67">
        <f t="shared" si="6"/>
        <v>2166.6666666666665</v>
      </c>
      <c r="BI12" s="67">
        <f t="shared" si="6"/>
        <v>2166.6666666666665</v>
      </c>
      <c r="BJ12" s="67">
        <f t="shared" si="6"/>
        <v>2166.6666666666665</v>
      </c>
      <c r="BK12" s="67">
        <f t="shared" si="6"/>
        <v>2166.6666666666665</v>
      </c>
      <c r="BL12" s="67">
        <f t="shared" si="6"/>
        <v>2166.6666666666665</v>
      </c>
      <c r="BM12" s="67">
        <f t="shared" si="6"/>
        <v>2166.6666666666665</v>
      </c>
      <c r="BN12" s="67">
        <f t="shared" si="6"/>
        <v>2166.6666666666665</v>
      </c>
      <c r="BO12" s="67">
        <f t="shared" si="6"/>
        <v>2166.6666666666665</v>
      </c>
      <c r="BP12" s="67">
        <f t="shared" si="6"/>
        <v>2166.6666666666665</v>
      </c>
      <c r="BQ12" s="65"/>
    </row>
    <row r="13" spans="2:69" x14ac:dyDescent="0.2">
      <c r="B13" s="134" t="s">
        <v>50</v>
      </c>
      <c r="C13" s="66">
        <f>Config!$C$59+Config!$D$59*'Personnel - Calculs auto'!C$6</f>
        <v>1550</v>
      </c>
      <c r="D13" s="66">
        <f>Config!$C$59+Config!$D$59*'Personnel - Calculs auto'!D$6</f>
        <v>1875</v>
      </c>
      <c r="E13" s="66">
        <f>Config!$C$59+Config!$D$59*'Personnel - Calculs auto'!E$6</f>
        <v>2400</v>
      </c>
      <c r="F13" s="66">
        <f>Config!$C$59+Config!$D$59*'Personnel - Calculs auto'!F$6</f>
        <v>2700</v>
      </c>
      <c r="G13" s="66">
        <f>Config!$C$59+Config!$D$59*'Personnel - Calculs auto'!G$6</f>
        <v>3000</v>
      </c>
      <c r="H13" s="70"/>
      <c r="I13" s="67">
        <f t="shared" si="2"/>
        <v>129.16666666666666</v>
      </c>
      <c r="J13" s="67">
        <f t="shared" si="2"/>
        <v>129.16666666666666</v>
      </c>
      <c r="K13" s="67">
        <f t="shared" si="2"/>
        <v>129.16666666666666</v>
      </c>
      <c r="L13" s="67">
        <f t="shared" si="2"/>
        <v>129.16666666666666</v>
      </c>
      <c r="M13" s="67">
        <f t="shared" si="2"/>
        <v>129.16666666666666</v>
      </c>
      <c r="N13" s="67">
        <f t="shared" si="2"/>
        <v>129.16666666666666</v>
      </c>
      <c r="O13" s="67">
        <f t="shared" si="2"/>
        <v>129.16666666666666</v>
      </c>
      <c r="P13" s="67">
        <f t="shared" si="2"/>
        <v>129.16666666666666</v>
      </c>
      <c r="Q13" s="67">
        <f t="shared" si="2"/>
        <v>129.16666666666666</v>
      </c>
      <c r="R13" s="67">
        <f t="shared" si="2"/>
        <v>129.16666666666666</v>
      </c>
      <c r="S13" s="67">
        <f t="shared" si="2"/>
        <v>129.16666666666666</v>
      </c>
      <c r="T13" s="67">
        <f t="shared" si="2"/>
        <v>129.16666666666666</v>
      </c>
      <c r="U13" s="67">
        <f t="shared" si="3"/>
        <v>156.25</v>
      </c>
      <c r="V13" s="67">
        <f t="shared" si="3"/>
        <v>156.25</v>
      </c>
      <c r="W13" s="67">
        <f t="shared" si="3"/>
        <v>156.25</v>
      </c>
      <c r="X13" s="67">
        <f t="shared" si="3"/>
        <v>156.25</v>
      </c>
      <c r="Y13" s="67">
        <f t="shared" si="3"/>
        <v>156.25</v>
      </c>
      <c r="Z13" s="67">
        <f t="shared" si="3"/>
        <v>156.25</v>
      </c>
      <c r="AA13" s="67">
        <f t="shared" si="3"/>
        <v>156.25</v>
      </c>
      <c r="AB13" s="67">
        <f t="shared" si="3"/>
        <v>156.25</v>
      </c>
      <c r="AC13" s="67">
        <f t="shared" si="3"/>
        <v>156.25</v>
      </c>
      <c r="AD13" s="67">
        <f t="shared" si="3"/>
        <v>156.25</v>
      </c>
      <c r="AE13" s="67">
        <f t="shared" si="3"/>
        <v>156.25</v>
      </c>
      <c r="AF13" s="67">
        <f t="shared" si="3"/>
        <v>156.25</v>
      </c>
      <c r="AG13" s="67">
        <f t="shared" si="4"/>
        <v>200</v>
      </c>
      <c r="AH13" s="67">
        <f t="shared" si="4"/>
        <v>200</v>
      </c>
      <c r="AI13" s="67">
        <f t="shared" si="4"/>
        <v>200</v>
      </c>
      <c r="AJ13" s="67">
        <f t="shared" si="4"/>
        <v>200</v>
      </c>
      <c r="AK13" s="67">
        <f t="shared" si="4"/>
        <v>200</v>
      </c>
      <c r="AL13" s="67">
        <f t="shared" si="4"/>
        <v>200</v>
      </c>
      <c r="AM13" s="67">
        <f t="shared" si="4"/>
        <v>200</v>
      </c>
      <c r="AN13" s="67">
        <f t="shared" si="4"/>
        <v>200</v>
      </c>
      <c r="AO13" s="67">
        <f t="shared" si="4"/>
        <v>200</v>
      </c>
      <c r="AP13" s="67">
        <f t="shared" si="4"/>
        <v>200</v>
      </c>
      <c r="AQ13" s="67">
        <f t="shared" si="4"/>
        <v>200</v>
      </c>
      <c r="AR13" s="67">
        <f t="shared" si="4"/>
        <v>200</v>
      </c>
      <c r="AS13" s="67">
        <f t="shared" si="5"/>
        <v>225</v>
      </c>
      <c r="AT13" s="67">
        <f t="shared" si="5"/>
        <v>225</v>
      </c>
      <c r="AU13" s="67">
        <f t="shared" si="5"/>
        <v>225</v>
      </c>
      <c r="AV13" s="67">
        <f t="shared" si="5"/>
        <v>225</v>
      </c>
      <c r="AW13" s="67">
        <f t="shared" si="5"/>
        <v>225</v>
      </c>
      <c r="AX13" s="67">
        <f t="shared" si="5"/>
        <v>225</v>
      </c>
      <c r="AY13" s="67">
        <f t="shared" si="5"/>
        <v>225</v>
      </c>
      <c r="AZ13" s="67">
        <f t="shared" si="5"/>
        <v>225</v>
      </c>
      <c r="BA13" s="67">
        <f t="shared" si="5"/>
        <v>225</v>
      </c>
      <c r="BB13" s="67">
        <f t="shared" si="5"/>
        <v>225</v>
      </c>
      <c r="BC13" s="67">
        <f t="shared" si="5"/>
        <v>225</v>
      </c>
      <c r="BD13" s="67">
        <f t="shared" si="5"/>
        <v>225</v>
      </c>
      <c r="BE13" s="67">
        <f t="shared" si="6"/>
        <v>250</v>
      </c>
      <c r="BF13" s="67">
        <f t="shared" si="6"/>
        <v>250</v>
      </c>
      <c r="BG13" s="67">
        <f t="shared" si="6"/>
        <v>250</v>
      </c>
      <c r="BH13" s="67">
        <f t="shared" si="6"/>
        <v>250</v>
      </c>
      <c r="BI13" s="67">
        <f t="shared" si="6"/>
        <v>250</v>
      </c>
      <c r="BJ13" s="67">
        <f t="shared" si="6"/>
        <v>250</v>
      </c>
      <c r="BK13" s="67">
        <f t="shared" si="6"/>
        <v>250</v>
      </c>
      <c r="BL13" s="67">
        <f t="shared" si="6"/>
        <v>250</v>
      </c>
      <c r="BM13" s="67">
        <f t="shared" si="6"/>
        <v>250</v>
      </c>
      <c r="BN13" s="67">
        <f t="shared" si="6"/>
        <v>250</v>
      </c>
      <c r="BO13" s="67">
        <f t="shared" si="6"/>
        <v>250</v>
      </c>
      <c r="BP13" s="67">
        <f t="shared" si="6"/>
        <v>250</v>
      </c>
      <c r="BQ13" s="65"/>
    </row>
    <row r="14" spans="2:69" x14ac:dyDescent="0.2">
      <c r="B14" s="134" t="s">
        <v>51</v>
      </c>
      <c r="C14" s="66">
        <f>Config!$C$60+Config!$D$60*'Commandes - Calculs auto'!N23</f>
        <v>2000</v>
      </c>
      <c r="D14" s="66">
        <f>Config!$C$60+Config!$D$60*'Commandes - Calculs auto'!Z23</f>
        <v>2000</v>
      </c>
      <c r="E14" s="66">
        <f>Config!$C$60+Config!$D$60*'Commandes - Calculs auto'!AL23</f>
        <v>2000</v>
      </c>
      <c r="F14" s="66">
        <f>Config!$C$60+Config!$D$60*'Commandes - Calculs auto'!AX23</f>
        <v>2000</v>
      </c>
      <c r="G14" s="66">
        <f>Config!$C$60+Config!$D$60*'Commandes - Calculs auto'!BJ23</f>
        <v>2000</v>
      </c>
      <c r="H14" s="70"/>
      <c r="I14" s="67">
        <f t="shared" si="2"/>
        <v>166.66666666666666</v>
      </c>
      <c r="J14" s="67">
        <f t="shared" si="2"/>
        <v>166.66666666666666</v>
      </c>
      <c r="K14" s="67">
        <f t="shared" si="2"/>
        <v>166.66666666666666</v>
      </c>
      <c r="L14" s="67">
        <f t="shared" si="2"/>
        <v>166.66666666666666</v>
      </c>
      <c r="M14" s="67">
        <f t="shared" si="2"/>
        <v>166.66666666666666</v>
      </c>
      <c r="N14" s="67">
        <f t="shared" si="2"/>
        <v>166.66666666666666</v>
      </c>
      <c r="O14" s="67">
        <f t="shared" si="2"/>
        <v>166.66666666666666</v>
      </c>
      <c r="P14" s="67">
        <f t="shared" si="2"/>
        <v>166.66666666666666</v>
      </c>
      <c r="Q14" s="67">
        <f t="shared" si="2"/>
        <v>166.66666666666666</v>
      </c>
      <c r="R14" s="67">
        <f t="shared" si="2"/>
        <v>166.66666666666666</v>
      </c>
      <c r="S14" s="67">
        <f t="shared" si="2"/>
        <v>166.66666666666666</v>
      </c>
      <c r="T14" s="67">
        <f t="shared" si="2"/>
        <v>166.66666666666666</v>
      </c>
      <c r="U14" s="67">
        <f t="shared" si="3"/>
        <v>166.66666666666666</v>
      </c>
      <c r="V14" s="67">
        <f t="shared" si="3"/>
        <v>166.66666666666666</v>
      </c>
      <c r="W14" s="67">
        <f t="shared" si="3"/>
        <v>166.66666666666666</v>
      </c>
      <c r="X14" s="67">
        <f t="shared" si="3"/>
        <v>166.66666666666666</v>
      </c>
      <c r="Y14" s="67">
        <f t="shared" si="3"/>
        <v>166.66666666666666</v>
      </c>
      <c r="Z14" s="67">
        <f t="shared" si="3"/>
        <v>166.66666666666666</v>
      </c>
      <c r="AA14" s="67">
        <f t="shared" si="3"/>
        <v>166.66666666666666</v>
      </c>
      <c r="AB14" s="67">
        <f t="shared" si="3"/>
        <v>166.66666666666666</v>
      </c>
      <c r="AC14" s="67">
        <f t="shared" si="3"/>
        <v>166.66666666666666</v>
      </c>
      <c r="AD14" s="67">
        <f t="shared" si="3"/>
        <v>166.66666666666666</v>
      </c>
      <c r="AE14" s="67">
        <f t="shared" si="3"/>
        <v>166.66666666666666</v>
      </c>
      <c r="AF14" s="67">
        <f t="shared" si="3"/>
        <v>166.66666666666666</v>
      </c>
      <c r="AG14" s="67">
        <f t="shared" si="4"/>
        <v>166.66666666666666</v>
      </c>
      <c r="AH14" s="67">
        <f t="shared" si="4"/>
        <v>166.66666666666666</v>
      </c>
      <c r="AI14" s="67">
        <f t="shared" si="4"/>
        <v>166.66666666666666</v>
      </c>
      <c r="AJ14" s="67">
        <f t="shared" si="4"/>
        <v>166.66666666666666</v>
      </c>
      <c r="AK14" s="67">
        <f t="shared" si="4"/>
        <v>166.66666666666666</v>
      </c>
      <c r="AL14" s="67">
        <f t="shared" si="4"/>
        <v>166.66666666666666</v>
      </c>
      <c r="AM14" s="67">
        <f t="shared" si="4"/>
        <v>166.66666666666666</v>
      </c>
      <c r="AN14" s="67">
        <f t="shared" si="4"/>
        <v>166.66666666666666</v>
      </c>
      <c r="AO14" s="67">
        <f t="shared" si="4"/>
        <v>166.66666666666666</v>
      </c>
      <c r="AP14" s="67">
        <f t="shared" si="4"/>
        <v>166.66666666666666</v>
      </c>
      <c r="AQ14" s="67">
        <f t="shared" si="4"/>
        <v>166.66666666666666</v>
      </c>
      <c r="AR14" s="67">
        <f t="shared" si="4"/>
        <v>166.66666666666666</v>
      </c>
      <c r="AS14" s="67">
        <f t="shared" si="5"/>
        <v>166.66666666666666</v>
      </c>
      <c r="AT14" s="67">
        <f t="shared" si="5"/>
        <v>166.66666666666666</v>
      </c>
      <c r="AU14" s="67">
        <f t="shared" si="5"/>
        <v>166.66666666666666</v>
      </c>
      <c r="AV14" s="67">
        <f t="shared" si="5"/>
        <v>166.66666666666666</v>
      </c>
      <c r="AW14" s="67">
        <f t="shared" si="5"/>
        <v>166.66666666666666</v>
      </c>
      <c r="AX14" s="67">
        <f t="shared" si="5"/>
        <v>166.66666666666666</v>
      </c>
      <c r="AY14" s="67">
        <f t="shared" si="5"/>
        <v>166.66666666666666</v>
      </c>
      <c r="AZ14" s="67">
        <f t="shared" si="5"/>
        <v>166.66666666666666</v>
      </c>
      <c r="BA14" s="67">
        <f t="shared" si="5"/>
        <v>166.66666666666666</v>
      </c>
      <c r="BB14" s="67">
        <f t="shared" si="5"/>
        <v>166.66666666666666</v>
      </c>
      <c r="BC14" s="67">
        <f t="shared" si="5"/>
        <v>166.66666666666666</v>
      </c>
      <c r="BD14" s="67">
        <f t="shared" si="5"/>
        <v>166.66666666666666</v>
      </c>
      <c r="BE14" s="67">
        <f t="shared" si="6"/>
        <v>166.66666666666666</v>
      </c>
      <c r="BF14" s="67">
        <f t="shared" si="6"/>
        <v>166.66666666666666</v>
      </c>
      <c r="BG14" s="67">
        <f t="shared" si="6"/>
        <v>166.66666666666666</v>
      </c>
      <c r="BH14" s="67">
        <f t="shared" si="6"/>
        <v>166.66666666666666</v>
      </c>
      <c r="BI14" s="67">
        <f t="shared" si="6"/>
        <v>166.66666666666666</v>
      </c>
      <c r="BJ14" s="67">
        <f t="shared" si="6"/>
        <v>166.66666666666666</v>
      </c>
      <c r="BK14" s="67">
        <f t="shared" si="6"/>
        <v>166.66666666666666</v>
      </c>
      <c r="BL14" s="67">
        <f t="shared" si="6"/>
        <v>166.66666666666666</v>
      </c>
      <c r="BM14" s="67">
        <f t="shared" si="6"/>
        <v>166.66666666666666</v>
      </c>
      <c r="BN14" s="67">
        <f t="shared" si="6"/>
        <v>166.66666666666666</v>
      </c>
      <c r="BO14" s="67">
        <f t="shared" si="6"/>
        <v>166.66666666666666</v>
      </c>
      <c r="BP14" s="67">
        <f t="shared" si="6"/>
        <v>166.66666666666666</v>
      </c>
      <c r="BQ14" s="65"/>
    </row>
    <row r="15" spans="2:69" x14ac:dyDescent="0.2">
      <c r="B15" s="134" t="s">
        <v>52</v>
      </c>
      <c r="C15" s="66">
        <f>Config!$C$61+Config!$D$61*'Personnel - Calculs auto'!C$6</f>
        <v>1633.3333333333335</v>
      </c>
      <c r="D15" s="66">
        <f>Config!$C$61+Config!$D$61*'Personnel - Calculs auto'!D$6</f>
        <v>1850</v>
      </c>
      <c r="E15" s="66">
        <f>Config!$C$61+Config!$D$61*'Personnel - Calculs auto'!E$6</f>
        <v>2200</v>
      </c>
      <c r="F15" s="66">
        <f>Config!$C$61+Config!$D$61*'Personnel - Calculs auto'!F$6</f>
        <v>2400</v>
      </c>
      <c r="G15" s="66">
        <f>Config!$C$61+Config!$D$61*'Personnel - Calculs auto'!G$6</f>
        <v>2600</v>
      </c>
      <c r="H15" s="70"/>
      <c r="I15" s="67">
        <f t="shared" si="2"/>
        <v>136.11111111111111</v>
      </c>
      <c r="J15" s="67">
        <f t="shared" si="2"/>
        <v>136.11111111111111</v>
      </c>
      <c r="K15" s="67">
        <f t="shared" si="2"/>
        <v>136.11111111111111</v>
      </c>
      <c r="L15" s="67">
        <f t="shared" si="2"/>
        <v>136.11111111111111</v>
      </c>
      <c r="M15" s="67">
        <f t="shared" si="2"/>
        <v>136.11111111111111</v>
      </c>
      <c r="N15" s="67">
        <f t="shared" si="2"/>
        <v>136.11111111111111</v>
      </c>
      <c r="O15" s="67">
        <f t="shared" si="2"/>
        <v>136.11111111111111</v>
      </c>
      <c r="P15" s="67">
        <f t="shared" si="2"/>
        <v>136.11111111111111</v>
      </c>
      <c r="Q15" s="67">
        <f t="shared" si="2"/>
        <v>136.11111111111111</v>
      </c>
      <c r="R15" s="67">
        <f t="shared" si="2"/>
        <v>136.11111111111111</v>
      </c>
      <c r="S15" s="67">
        <f t="shared" si="2"/>
        <v>136.11111111111111</v>
      </c>
      <c r="T15" s="67">
        <f t="shared" si="2"/>
        <v>136.11111111111111</v>
      </c>
      <c r="U15" s="67">
        <f t="shared" si="3"/>
        <v>154.16666666666666</v>
      </c>
      <c r="V15" s="67">
        <f t="shared" si="3"/>
        <v>154.16666666666666</v>
      </c>
      <c r="W15" s="67">
        <f t="shared" si="3"/>
        <v>154.16666666666666</v>
      </c>
      <c r="X15" s="67">
        <f t="shared" si="3"/>
        <v>154.16666666666666</v>
      </c>
      <c r="Y15" s="67">
        <f t="shared" si="3"/>
        <v>154.16666666666666</v>
      </c>
      <c r="Z15" s="67">
        <f t="shared" si="3"/>
        <v>154.16666666666666</v>
      </c>
      <c r="AA15" s="67">
        <f t="shared" si="3"/>
        <v>154.16666666666666</v>
      </c>
      <c r="AB15" s="67">
        <f t="shared" si="3"/>
        <v>154.16666666666666</v>
      </c>
      <c r="AC15" s="67">
        <f t="shared" si="3"/>
        <v>154.16666666666666</v>
      </c>
      <c r="AD15" s="67">
        <f t="shared" si="3"/>
        <v>154.16666666666666</v>
      </c>
      <c r="AE15" s="67">
        <f t="shared" si="3"/>
        <v>154.16666666666666</v>
      </c>
      <c r="AF15" s="67">
        <f t="shared" si="3"/>
        <v>154.16666666666666</v>
      </c>
      <c r="AG15" s="67">
        <f t="shared" si="4"/>
        <v>183.33333333333334</v>
      </c>
      <c r="AH15" s="67">
        <f t="shared" si="4"/>
        <v>183.33333333333334</v>
      </c>
      <c r="AI15" s="67">
        <f t="shared" si="4"/>
        <v>183.33333333333334</v>
      </c>
      <c r="AJ15" s="67">
        <f t="shared" si="4"/>
        <v>183.33333333333334</v>
      </c>
      <c r="AK15" s="67">
        <f t="shared" si="4"/>
        <v>183.33333333333334</v>
      </c>
      <c r="AL15" s="67">
        <f t="shared" si="4"/>
        <v>183.33333333333334</v>
      </c>
      <c r="AM15" s="67">
        <f t="shared" si="4"/>
        <v>183.33333333333334</v>
      </c>
      <c r="AN15" s="67">
        <f t="shared" si="4"/>
        <v>183.33333333333334</v>
      </c>
      <c r="AO15" s="67">
        <f t="shared" si="4"/>
        <v>183.33333333333334</v>
      </c>
      <c r="AP15" s="67">
        <f t="shared" si="4"/>
        <v>183.33333333333334</v>
      </c>
      <c r="AQ15" s="67">
        <f t="shared" si="4"/>
        <v>183.33333333333334</v>
      </c>
      <c r="AR15" s="67">
        <f t="shared" si="4"/>
        <v>183.33333333333334</v>
      </c>
      <c r="AS15" s="67">
        <f t="shared" si="5"/>
        <v>200</v>
      </c>
      <c r="AT15" s="67">
        <f t="shared" si="5"/>
        <v>200</v>
      </c>
      <c r="AU15" s="67">
        <f t="shared" si="5"/>
        <v>200</v>
      </c>
      <c r="AV15" s="67">
        <f t="shared" si="5"/>
        <v>200</v>
      </c>
      <c r="AW15" s="67">
        <f t="shared" si="5"/>
        <v>200</v>
      </c>
      <c r="AX15" s="67">
        <f t="shared" si="5"/>
        <v>200</v>
      </c>
      <c r="AY15" s="67">
        <f t="shared" si="5"/>
        <v>200</v>
      </c>
      <c r="AZ15" s="67">
        <f t="shared" si="5"/>
        <v>200</v>
      </c>
      <c r="BA15" s="67">
        <f t="shared" si="5"/>
        <v>200</v>
      </c>
      <c r="BB15" s="67">
        <f t="shared" si="5"/>
        <v>200</v>
      </c>
      <c r="BC15" s="67">
        <f t="shared" si="5"/>
        <v>200</v>
      </c>
      <c r="BD15" s="67">
        <f t="shared" si="5"/>
        <v>200</v>
      </c>
      <c r="BE15" s="67">
        <f t="shared" si="6"/>
        <v>216.66666666666666</v>
      </c>
      <c r="BF15" s="67">
        <f t="shared" si="6"/>
        <v>216.66666666666666</v>
      </c>
      <c r="BG15" s="67">
        <f t="shared" si="6"/>
        <v>216.66666666666666</v>
      </c>
      <c r="BH15" s="67">
        <f t="shared" si="6"/>
        <v>216.66666666666666</v>
      </c>
      <c r="BI15" s="67">
        <f t="shared" si="6"/>
        <v>216.66666666666666</v>
      </c>
      <c r="BJ15" s="67">
        <f t="shared" si="6"/>
        <v>216.66666666666666</v>
      </c>
      <c r="BK15" s="67">
        <f t="shared" si="6"/>
        <v>216.66666666666666</v>
      </c>
      <c r="BL15" s="67">
        <f t="shared" si="6"/>
        <v>216.66666666666666</v>
      </c>
      <c r="BM15" s="67">
        <f t="shared" si="6"/>
        <v>216.66666666666666</v>
      </c>
      <c r="BN15" s="67">
        <f t="shared" si="6"/>
        <v>216.66666666666666</v>
      </c>
      <c r="BO15" s="67">
        <f t="shared" si="6"/>
        <v>216.66666666666666</v>
      </c>
      <c r="BP15" s="67">
        <f t="shared" si="6"/>
        <v>216.66666666666666</v>
      </c>
      <c r="BQ15" s="65"/>
    </row>
    <row r="16" spans="2:69" x14ac:dyDescent="0.2">
      <c r="B16" s="134" t="s">
        <v>53</v>
      </c>
      <c r="C16" s="66">
        <f>Config!$C$62+Config!$D$62*'Personnel - Calculs auto'!C$6</f>
        <v>3950</v>
      </c>
      <c r="D16" s="66">
        <f>Config!$C$62+Config!$D$62*'Personnel - Calculs auto'!D$6</f>
        <v>4275</v>
      </c>
      <c r="E16" s="66">
        <f>Config!$C$62+Config!$D$62*'Personnel - Calculs auto'!E$6</f>
        <v>4800</v>
      </c>
      <c r="F16" s="66">
        <f>Config!$C$62+Config!$D$62*'Personnel - Calculs auto'!F$6</f>
        <v>5100</v>
      </c>
      <c r="G16" s="66">
        <f>Config!$C$62+Config!$D$62*'Personnel - Calculs auto'!G$6</f>
        <v>5400</v>
      </c>
      <c r="H16" s="70"/>
      <c r="I16" s="67">
        <f t="shared" si="2"/>
        <v>329.16666666666669</v>
      </c>
      <c r="J16" s="67">
        <f t="shared" si="2"/>
        <v>329.16666666666669</v>
      </c>
      <c r="K16" s="67">
        <f t="shared" si="2"/>
        <v>329.16666666666669</v>
      </c>
      <c r="L16" s="67">
        <f t="shared" si="2"/>
        <v>329.16666666666669</v>
      </c>
      <c r="M16" s="67">
        <f t="shared" si="2"/>
        <v>329.16666666666669</v>
      </c>
      <c r="N16" s="67">
        <f t="shared" si="2"/>
        <v>329.16666666666669</v>
      </c>
      <c r="O16" s="67">
        <f t="shared" si="2"/>
        <v>329.16666666666669</v>
      </c>
      <c r="P16" s="67">
        <f t="shared" si="2"/>
        <v>329.16666666666669</v>
      </c>
      <c r="Q16" s="67">
        <f t="shared" si="2"/>
        <v>329.16666666666669</v>
      </c>
      <c r="R16" s="67">
        <f t="shared" si="2"/>
        <v>329.16666666666669</v>
      </c>
      <c r="S16" s="67">
        <f t="shared" si="2"/>
        <v>329.16666666666669</v>
      </c>
      <c r="T16" s="67">
        <f t="shared" si="2"/>
        <v>329.16666666666669</v>
      </c>
      <c r="U16" s="67">
        <f t="shared" si="3"/>
        <v>356.25</v>
      </c>
      <c r="V16" s="67">
        <f t="shared" si="3"/>
        <v>356.25</v>
      </c>
      <c r="W16" s="67">
        <f t="shared" si="3"/>
        <v>356.25</v>
      </c>
      <c r="X16" s="67">
        <f t="shared" si="3"/>
        <v>356.25</v>
      </c>
      <c r="Y16" s="67">
        <f t="shared" si="3"/>
        <v>356.25</v>
      </c>
      <c r="Z16" s="67">
        <f t="shared" si="3"/>
        <v>356.25</v>
      </c>
      <c r="AA16" s="67">
        <f t="shared" si="3"/>
        <v>356.25</v>
      </c>
      <c r="AB16" s="67">
        <f t="shared" si="3"/>
        <v>356.25</v>
      </c>
      <c r="AC16" s="67">
        <f t="shared" si="3"/>
        <v>356.25</v>
      </c>
      <c r="AD16" s="67">
        <f t="shared" si="3"/>
        <v>356.25</v>
      </c>
      <c r="AE16" s="67">
        <f t="shared" si="3"/>
        <v>356.25</v>
      </c>
      <c r="AF16" s="67">
        <f t="shared" si="3"/>
        <v>356.25</v>
      </c>
      <c r="AG16" s="67">
        <f t="shared" si="4"/>
        <v>400</v>
      </c>
      <c r="AH16" s="67">
        <f t="shared" si="4"/>
        <v>400</v>
      </c>
      <c r="AI16" s="67">
        <f t="shared" si="4"/>
        <v>400</v>
      </c>
      <c r="AJ16" s="67">
        <f t="shared" si="4"/>
        <v>400</v>
      </c>
      <c r="AK16" s="67">
        <f t="shared" si="4"/>
        <v>400</v>
      </c>
      <c r="AL16" s="67">
        <f t="shared" si="4"/>
        <v>400</v>
      </c>
      <c r="AM16" s="67">
        <f t="shared" si="4"/>
        <v>400</v>
      </c>
      <c r="AN16" s="67">
        <f t="shared" si="4"/>
        <v>400</v>
      </c>
      <c r="AO16" s="67">
        <f t="shared" si="4"/>
        <v>400</v>
      </c>
      <c r="AP16" s="67">
        <f t="shared" si="4"/>
        <v>400</v>
      </c>
      <c r="AQ16" s="67">
        <f t="shared" si="4"/>
        <v>400</v>
      </c>
      <c r="AR16" s="67">
        <f t="shared" si="4"/>
        <v>400</v>
      </c>
      <c r="AS16" s="67">
        <f t="shared" si="5"/>
        <v>425</v>
      </c>
      <c r="AT16" s="67">
        <f t="shared" si="5"/>
        <v>425</v>
      </c>
      <c r="AU16" s="67">
        <f t="shared" si="5"/>
        <v>425</v>
      </c>
      <c r="AV16" s="67">
        <f t="shared" si="5"/>
        <v>425</v>
      </c>
      <c r="AW16" s="67">
        <f t="shared" si="5"/>
        <v>425</v>
      </c>
      <c r="AX16" s="67">
        <f t="shared" si="5"/>
        <v>425</v>
      </c>
      <c r="AY16" s="67">
        <f t="shared" si="5"/>
        <v>425</v>
      </c>
      <c r="AZ16" s="67">
        <f t="shared" si="5"/>
        <v>425</v>
      </c>
      <c r="BA16" s="67">
        <f t="shared" si="5"/>
        <v>425</v>
      </c>
      <c r="BB16" s="67">
        <f t="shared" si="5"/>
        <v>425</v>
      </c>
      <c r="BC16" s="67">
        <f t="shared" si="5"/>
        <v>425</v>
      </c>
      <c r="BD16" s="67">
        <f t="shared" si="5"/>
        <v>425</v>
      </c>
      <c r="BE16" s="67">
        <f t="shared" si="6"/>
        <v>450</v>
      </c>
      <c r="BF16" s="67">
        <f t="shared" si="6"/>
        <v>450</v>
      </c>
      <c r="BG16" s="67">
        <f t="shared" si="6"/>
        <v>450</v>
      </c>
      <c r="BH16" s="67">
        <f t="shared" si="6"/>
        <v>450</v>
      </c>
      <c r="BI16" s="67">
        <f t="shared" si="6"/>
        <v>450</v>
      </c>
      <c r="BJ16" s="67">
        <f t="shared" si="6"/>
        <v>450</v>
      </c>
      <c r="BK16" s="67">
        <f t="shared" si="6"/>
        <v>450</v>
      </c>
      <c r="BL16" s="67">
        <f t="shared" si="6"/>
        <v>450</v>
      </c>
      <c r="BM16" s="67">
        <f t="shared" si="6"/>
        <v>450</v>
      </c>
      <c r="BN16" s="67">
        <f t="shared" si="6"/>
        <v>450</v>
      </c>
      <c r="BO16" s="67">
        <f t="shared" si="6"/>
        <v>450</v>
      </c>
      <c r="BP16" s="67">
        <f t="shared" si="6"/>
        <v>450</v>
      </c>
      <c r="BQ16" s="65"/>
    </row>
    <row r="17" spans="2:69" x14ac:dyDescent="0.2">
      <c r="B17" s="134" t="s">
        <v>54</v>
      </c>
      <c r="C17" s="66">
        <f>Config!$C$63+Config!$D$63*'Commandes - Calculs auto'!N23</f>
        <v>3981.7109999999993</v>
      </c>
      <c r="D17" s="66">
        <f>Config!$C$63+Config!$D$63*'Commandes - Calculs auto'!Z23</f>
        <v>12721.208999999999</v>
      </c>
      <c r="E17" s="66">
        <f>Config!$C$63+Config!$D$63*'Commandes - Calculs auto'!AL23</f>
        <v>23772.182999999997</v>
      </c>
      <c r="F17" s="66">
        <f>Config!$C$63+Config!$D$63*'Commandes - Calculs auto'!AX23</f>
        <v>38476.747499999998</v>
      </c>
      <c r="G17" s="66">
        <f>Config!$C$63+Config!$D$63*'Commandes - Calculs auto'!BJ23</f>
        <v>61221.748499999994</v>
      </c>
      <c r="H17" s="70"/>
      <c r="I17" s="67">
        <f t="shared" si="2"/>
        <v>331.80924999999996</v>
      </c>
      <c r="J17" s="67">
        <f t="shared" si="2"/>
        <v>331.80924999999996</v>
      </c>
      <c r="K17" s="67">
        <f t="shared" si="2"/>
        <v>331.80924999999996</v>
      </c>
      <c r="L17" s="67">
        <f t="shared" si="2"/>
        <v>331.80924999999996</v>
      </c>
      <c r="M17" s="67">
        <f t="shared" si="2"/>
        <v>331.80924999999996</v>
      </c>
      <c r="N17" s="67">
        <f t="shared" si="2"/>
        <v>331.80924999999996</v>
      </c>
      <c r="O17" s="67">
        <f t="shared" si="2"/>
        <v>331.80924999999996</v>
      </c>
      <c r="P17" s="67">
        <f t="shared" si="2"/>
        <v>331.80924999999996</v>
      </c>
      <c r="Q17" s="67">
        <f t="shared" si="2"/>
        <v>331.80924999999996</v>
      </c>
      <c r="R17" s="67">
        <f t="shared" si="2"/>
        <v>331.80924999999996</v>
      </c>
      <c r="S17" s="67">
        <f t="shared" si="2"/>
        <v>331.80924999999996</v>
      </c>
      <c r="T17" s="67">
        <f t="shared" si="2"/>
        <v>331.80924999999996</v>
      </c>
      <c r="U17" s="67">
        <f t="shared" si="3"/>
        <v>1060.1007499999998</v>
      </c>
      <c r="V17" s="67">
        <f t="shared" si="3"/>
        <v>1060.1007499999998</v>
      </c>
      <c r="W17" s="67">
        <f t="shared" si="3"/>
        <v>1060.1007499999998</v>
      </c>
      <c r="X17" s="67">
        <f t="shared" si="3"/>
        <v>1060.1007499999998</v>
      </c>
      <c r="Y17" s="67">
        <f t="shared" si="3"/>
        <v>1060.1007499999998</v>
      </c>
      <c r="Z17" s="67">
        <f t="shared" si="3"/>
        <v>1060.1007499999998</v>
      </c>
      <c r="AA17" s="67">
        <f t="shared" si="3"/>
        <v>1060.1007499999998</v>
      </c>
      <c r="AB17" s="67">
        <f t="shared" si="3"/>
        <v>1060.1007499999998</v>
      </c>
      <c r="AC17" s="67">
        <f t="shared" si="3"/>
        <v>1060.1007499999998</v>
      </c>
      <c r="AD17" s="67">
        <f t="shared" si="3"/>
        <v>1060.1007499999998</v>
      </c>
      <c r="AE17" s="67">
        <f t="shared" si="3"/>
        <v>1060.1007499999998</v>
      </c>
      <c r="AF17" s="67">
        <f t="shared" si="3"/>
        <v>1060.1007499999998</v>
      </c>
      <c r="AG17" s="67">
        <f t="shared" si="4"/>
        <v>1981.0152499999997</v>
      </c>
      <c r="AH17" s="67">
        <f t="shared" si="4"/>
        <v>1981.0152499999997</v>
      </c>
      <c r="AI17" s="67">
        <f t="shared" si="4"/>
        <v>1981.0152499999997</v>
      </c>
      <c r="AJ17" s="67">
        <f t="shared" si="4"/>
        <v>1981.0152499999997</v>
      </c>
      <c r="AK17" s="67">
        <f t="shared" si="4"/>
        <v>1981.0152499999997</v>
      </c>
      <c r="AL17" s="67">
        <f t="shared" si="4"/>
        <v>1981.0152499999997</v>
      </c>
      <c r="AM17" s="67">
        <f t="shared" si="4"/>
        <v>1981.0152499999997</v>
      </c>
      <c r="AN17" s="67">
        <f t="shared" si="4"/>
        <v>1981.0152499999997</v>
      </c>
      <c r="AO17" s="67">
        <f t="shared" si="4"/>
        <v>1981.0152499999997</v>
      </c>
      <c r="AP17" s="67">
        <f t="shared" si="4"/>
        <v>1981.0152499999997</v>
      </c>
      <c r="AQ17" s="67">
        <f t="shared" si="4"/>
        <v>1981.0152499999997</v>
      </c>
      <c r="AR17" s="67">
        <f t="shared" si="4"/>
        <v>1981.0152499999997</v>
      </c>
      <c r="AS17" s="67">
        <f t="shared" si="5"/>
        <v>3206.3956249999997</v>
      </c>
      <c r="AT17" s="67">
        <f t="shared" si="5"/>
        <v>3206.3956249999997</v>
      </c>
      <c r="AU17" s="67">
        <f t="shared" si="5"/>
        <v>3206.3956249999997</v>
      </c>
      <c r="AV17" s="67">
        <f t="shared" si="5"/>
        <v>3206.3956249999997</v>
      </c>
      <c r="AW17" s="67">
        <f t="shared" si="5"/>
        <v>3206.3956249999997</v>
      </c>
      <c r="AX17" s="67">
        <f t="shared" si="5"/>
        <v>3206.3956249999997</v>
      </c>
      <c r="AY17" s="67">
        <f t="shared" si="5"/>
        <v>3206.3956249999997</v>
      </c>
      <c r="AZ17" s="67">
        <f t="shared" si="5"/>
        <v>3206.3956249999997</v>
      </c>
      <c r="BA17" s="67">
        <f t="shared" si="5"/>
        <v>3206.3956249999997</v>
      </c>
      <c r="BB17" s="67">
        <f t="shared" si="5"/>
        <v>3206.3956249999997</v>
      </c>
      <c r="BC17" s="67">
        <f t="shared" si="5"/>
        <v>3206.3956249999997</v>
      </c>
      <c r="BD17" s="67">
        <f t="shared" si="5"/>
        <v>3206.3956249999997</v>
      </c>
      <c r="BE17" s="67">
        <f t="shared" si="6"/>
        <v>5101.8123749999995</v>
      </c>
      <c r="BF17" s="67">
        <f t="shared" si="6"/>
        <v>5101.8123749999995</v>
      </c>
      <c r="BG17" s="67">
        <f t="shared" si="6"/>
        <v>5101.8123749999995</v>
      </c>
      <c r="BH17" s="67">
        <f t="shared" si="6"/>
        <v>5101.8123749999995</v>
      </c>
      <c r="BI17" s="67">
        <f t="shared" si="6"/>
        <v>5101.8123749999995</v>
      </c>
      <c r="BJ17" s="67">
        <f t="shared" si="6"/>
        <v>5101.8123749999995</v>
      </c>
      <c r="BK17" s="67">
        <f t="shared" si="6"/>
        <v>5101.8123749999995</v>
      </c>
      <c r="BL17" s="67">
        <f t="shared" si="6"/>
        <v>5101.8123749999995</v>
      </c>
      <c r="BM17" s="67">
        <f t="shared" si="6"/>
        <v>5101.8123749999995</v>
      </c>
      <c r="BN17" s="67">
        <f t="shared" si="6"/>
        <v>5101.8123749999995</v>
      </c>
      <c r="BO17" s="67">
        <f t="shared" si="6"/>
        <v>5101.8123749999995</v>
      </c>
      <c r="BP17" s="67">
        <f t="shared" si="6"/>
        <v>5101.8123749999995</v>
      </c>
      <c r="BQ17" s="65"/>
    </row>
    <row r="18" spans="2:69" x14ac:dyDescent="0.2">
      <c r="B18" s="134" t="s">
        <v>55</v>
      </c>
      <c r="C18" s="66">
        <f>Config!$C$64+Config!$D$64*'Commandes - Calculs auto'!N23</f>
        <v>2207.2370000000001</v>
      </c>
      <c r="D18" s="66">
        <f>Config!$C$64+Config!$D$64*'Commandes - Calculs auto'!Z23</f>
        <v>5120.4030000000002</v>
      </c>
      <c r="E18" s="66">
        <f>Config!$C$64+Config!$D$64*'Commandes - Calculs auto'!AL23</f>
        <v>8804.0609999999997</v>
      </c>
      <c r="F18" s="66">
        <f>Config!$C$64+Config!$D$64*'Commandes - Calculs auto'!AX23</f>
        <v>13705.5825</v>
      </c>
      <c r="G18" s="66">
        <f>Config!$C$64+Config!$D$64*'Commandes - Calculs auto'!BJ23</f>
        <v>21287.249500000002</v>
      </c>
      <c r="H18" s="70"/>
      <c r="I18" s="67">
        <f t="shared" si="2"/>
        <v>183.93641666666667</v>
      </c>
      <c r="J18" s="67">
        <f t="shared" si="2"/>
        <v>183.93641666666667</v>
      </c>
      <c r="K18" s="67">
        <f t="shared" si="2"/>
        <v>183.93641666666667</v>
      </c>
      <c r="L18" s="67">
        <f t="shared" si="2"/>
        <v>183.93641666666667</v>
      </c>
      <c r="M18" s="67">
        <f t="shared" si="2"/>
        <v>183.93641666666667</v>
      </c>
      <c r="N18" s="67">
        <f t="shared" si="2"/>
        <v>183.93641666666667</v>
      </c>
      <c r="O18" s="67">
        <f t="shared" si="2"/>
        <v>183.93641666666667</v>
      </c>
      <c r="P18" s="67">
        <f t="shared" si="2"/>
        <v>183.93641666666667</v>
      </c>
      <c r="Q18" s="67">
        <f t="shared" si="2"/>
        <v>183.93641666666667</v>
      </c>
      <c r="R18" s="67">
        <f t="shared" si="2"/>
        <v>183.93641666666667</v>
      </c>
      <c r="S18" s="67">
        <f t="shared" si="2"/>
        <v>183.93641666666667</v>
      </c>
      <c r="T18" s="67">
        <f t="shared" si="2"/>
        <v>183.93641666666667</v>
      </c>
      <c r="U18" s="67">
        <f t="shared" si="3"/>
        <v>426.70025000000004</v>
      </c>
      <c r="V18" s="67">
        <f t="shared" si="3"/>
        <v>426.70025000000004</v>
      </c>
      <c r="W18" s="67">
        <f t="shared" si="3"/>
        <v>426.70025000000004</v>
      </c>
      <c r="X18" s="67">
        <f t="shared" si="3"/>
        <v>426.70025000000004</v>
      </c>
      <c r="Y18" s="67">
        <f t="shared" si="3"/>
        <v>426.70025000000004</v>
      </c>
      <c r="Z18" s="67">
        <f t="shared" si="3"/>
        <v>426.70025000000004</v>
      </c>
      <c r="AA18" s="67">
        <f t="shared" si="3"/>
        <v>426.70025000000004</v>
      </c>
      <c r="AB18" s="67">
        <f t="shared" si="3"/>
        <v>426.70025000000004</v>
      </c>
      <c r="AC18" s="67">
        <f t="shared" si="3"/>
        <v>426.70025000000004</v>
      </c>
      <c r="AD18" s="67">
        <f t="shared" si="3"/>
        <v>426.70025000000004</v>
      </c>
      <c r="AE18" s="67">
        <f t="shared" si="3"/>
        <v>426.70025000000004</v>
      </c>
      <c r="AF18" s="67">
        <f t="shared" si="3"/>
        <v>426.70025000000004</v>
      </c>
      <c r="AG18" s="67">
        <f t="shared" si="4"/>
        <v>733.67174999999997</v>
      </c>
      <c r="AH18" s="67">
        <f t="shared" si="4"/>
        <v>733.67174999999997</v>
      </c>
      <c r="AI18" s="67">
        <f t="shared" si="4"/>
        <v>733.67174999999997</v>
      </c>
      <c r="AJ18" s="67">
        <f t="shared" si="4"/>
        <v>733.67174999999997</v>
      </c>
      <c r="AK18" s="67">
        <f t="shared" si="4"/>
        <v>733.67174999999997</v>
      </c>
      <c r="AL18" s="67">
        <f t="shared" si="4"/>
        <v>733.67174999999997</v>
      </c>
      <c r="AM18" s="67">
        <f t="shared" si="4"/>
        <v>733.67174999999997</v>
      </c>
      <c r="AN18" s="67">
        <f t="shared" si="4"/>
        <v>733.67174999999997</v>
      </c>
      <c r="AO18" s="67">
        <f t="shared" si="4"/>
        <v>733.67174999999997</v>
      </c>
      <c r="AP18" s="67">
        <f t="shared" si="4"/>
        <v>733.67174999999997</v>
      </c>
      <c r="AQ18" s="67">
        <f t="shared" si="4"/>
        <v>733.67174999999997</v>
      </c>
      <c r="AR18" s="67">
        <f t="shared" si="4"/>
        <v>733.67174999999997</v>
      </c>
      <c r="AS18" s="67">
        <f t="shared" si="5"/>
        <v>1142.131875</v>
      </c>
      <c r="AT18" s="67">
        <f t="shared" si="5"/>
        <v>1142.131875</v>
      </c>
      <c r="AU18" s="67">
        <f t="shared" si="5"/>
        <v>1142.131875</v>
      </c>
      <c r="AV18" s="67">
        <f t="shared" si="5"/>
        <v>1142.131875</v>
      </c>
      <c r="AW18" s="67">
        <f t="shared" si="5"/>
        <v>1142.131875</v>
      </c>
      <c r="AX18" s="67">
        <f t="shared" si="5"/>
        <v>1142.131875</v>
      </c>
      <c r="AY18" s="67">
        <f t="shared" si="5"/>
        <v>1142.131875</v>
      </c>
      <c r="AZ18" s="67">
        <f t="shared" si="5"/>
        <v>1142.131875</v>
      </c>
      <c r="BA18" s="67">
        <f t="shared" si="5"/>
        <v>1142.131875</v>
      </c>
      <c r="BB18" s="67">
        <f t="shared" si="5"/>
        <v>1142.131875</v>
      </c>
      <c r="BC18" s="67">
        <f t="shared" si="5"/>
        <v>1142.131875</v>
      </c>
      <c r="BD18" s="67">
        <f t="shared" si="5"/>
        <v>1142.131875</v>
      </c>
      <c r="BE18" s="67">
        <f t="shared" si="6"/>
        <v>1773.9374583333336</v>
      </c>
      <c r="BF18" s="67">
        <f t="shared" si="6"/>
        <v>1773.9374583333336</v>
      </c>
      <c r="BG18" s="67">
        <f t="shared" si="6"/>
        <v>1773.9374583333336</v>
      </c>
      <c r="BH18" s="67">
        <f t="shared" si="6"/>
        <v>1773.9374583333336</v>
      </c>
      <c r="BI18" s="67">
        <f t="shared" si="6"/>
        <v>1773.9374583333336</v>
      </c>
      <c r="BJ18" s="67">
        <f t="shared" si="6"/>
        <v>1773.9374583333336</v>
      </c>
      <c r="BK18" s="67">
        <f t="shared" si="6"/>
        <v>1773.9374583333336</v>
      </c>
      <c r="BL18" s="67">
        <f t="shared" si="6"/>
        <v>1773.9374583333336</v>
      </c>
      <c r="BM18" s="67">
        <f t="shared" si="6"/>
        <v>1773.9374583333336</v>
      </c>
      <c r="BN18" s="67">
        <f t="shared" si="6"/>
        <v>1773.9374583333336</v>
      </c>
      <c r="BO18" s="67">
        <f t="shared" si="6"/>
        <v>1773.9374583333336</v>
      </c>
      <c r="BP18" s="67">
        <f t="shared" si="6"/>
        <v>1773.9374583333336</v>
      </c>
      <c r="BQ18" s="65"/>
    </row>
    <row r="19" spans="2:69" x14ac:dyDescent="0.2">
      <c r="B19" s="53"/>
      <c r="C19" s="67">
        <f t="shared" ref="C19:C28" si="7">SUM(I19:T19)</f>
        <v>0</v>
      </c>
      <c r="D19" s="67">
        <f t="shared" ref="D19:D28" si="8">SUM(U19:AF19)</f>
        <v>0</v>
      </c>
      <c r="E19" s="67">
        <f t="shared" ref="E19:E28" si="9">SUM(AG19:AR19)</f>
        <v>0</v>
      </c>
      <c r="F19" s="67">
        <f t="shared" ref="F19:F28" si="10">SUM(AS19:BD19)</f>
        <v>0</v>
      </c>
      <c r="G19" s="67">
        <f t="shared" ref="G19:G28" si="11">SUM(BE19:BP19)</f>
        <v>0</v>
      </c>
      <c r="H19" s="70"/>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5"/>
    </row>
    <row r="20" spans="2:69" x14ac:dyDescent="0.2">
      <c r="B20" s="53"/>
      <c r="C20" s="67">
        <f t="shared" si="7"/>
        <v>0</v>
      </c>
      <c r="D20" s="67">
        <f t="shared" si="8"/>
        <v>0</v>
      </c>
      <c r="E20" s="67">
        <f t="shared" si="9"/>
        <v>0</v>
      </c>
      <c r="F20" s="67">
        <f t="shared" si="10"/>
        <v>0</v>
      </c>
      <c r="G20" s="67">
        <f t="shared" si="11"/>
        <v>0</v>
      </c>
      <c r="H20" s="70"/>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5"/>
    </row>
    <row r="21" spans="2:69" x14ac:dyDescent="0.2">
      <c r="B21" s="53"/>
      <c r="C21" s="67">
        <f t="shared" si="7"/>
        <v>0</v>
      </c>
      <c r="D21" s="67">
        <f t="shared" si="8"/>
        <v>0</v>
      </c>
      <c r="E21" s="67">
        <f t="shared" si="9"/>
        <v>0</v>
      </c>
      <c r="F21" s="67">
        <f t="shared" si="10"/>
        <v>0</v>
      </c>
      <c r="G21" s="67">
        <f t="shared" si="11"/>
        <v>0</v>
      </c>
      <c r="H21" s="70"/>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5"/>
    </row>
    <row r="22" spans="2:69" x14ac:dyDescent="0.2">
      <c r="B22" s="53"/>
      <c r="C22" s="67">
        <f t="shared" si="7"/>
        <v>0</v>
      </c>
      <c r="D22" s="67">
        <f t="shared" si="8"/>
        <v>0</v>
      </c>
      <c r="E22" s="67">
        <f t="shared" si="9"/>
        <v>0</v>
      </c>
      <c r="F22" s="67">
        <f t="shared" si="10"/>
        <v>0</v>
      </c>
      <c r="G22" s="67">
        <f t="shared" si="11"/>
        <v>0</v>
      </c>
      <c r="H22" s="70"/>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5"/>
    </row>
    <row r="23" spans="2:69" x14ac:dyDescent="0.2">
      <c r="B23" s="53"/>
      <c r="C23" s="67">
        <f t="shared" si="7"/>
        <v>0</v>
      </c>
      <c r="D23" s="67">
        <f t="shared" si="8"/>
        <v>0</v>
      </c>
      <c r="E23" s="67">
        <f t="shared" si="9"/>
        <v>0</v>
      </c>
      <c r="F23" s="67">
        <f t="shared" si="10"/>
        <v>0</v>
      </c>
      <c r="G23" s="67">
        <f t="shared" si="11"/>
        <v>0</v>
      </c>
      <c r="H23" s="70"/>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5"/>
    </row>
    <row r="24" spans="2:69" x14ac:dyDescent="0.2">
      <c r="B24" s="53"/>
      <c r="C24" s="67">
        <f t="shared" si="7"/>
        <v>0</v>
      </c>
      <c r="D24" s="67">
        <f t="shared" si="8"/>
        <v>0</v>
      </c>
      <c r="E24" s="67">
        <f t="shared" si="9"/>
        <v>0</v>
      </c>
      <c r="F24" s="67">
        <f t="shared" si="10"/>
        <v>0</v>
      </c>
      <c r="G24" s="67">
        <f t="shared" si="11"/>
        <v>0</v>
      </c>
      <c r="H24" s="70"/>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5"/>
    </row>
    <row r="25" spans="2:69" x14ac:dyDescent="0.2">
      <c r="B25" s="53"/>
      <c r="C25" s="67">
        <f t="shared" si="7"/>
        <v>0</v>
      </c>
      <c r="D25" s="67">
        <f t="shared" si="8"/>
        <v>0</v>
      </c>
      <c r="E25" s="67">
        <f t="shared" si="9"/>
        <v>0</v>
      </c>
      <c r="F25" s="67">
        <f t="shared" si="10"/>
        <v>0</v>
      </c>
      <c r="G25" s="67">
        <f t="shared" si="11"/>
        <v>0</v>
      </c>
      <c r="H25" s="70"/>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5"/>
    </row>
    <row r="26" spans="2:69" x14ac:dyDescent="0.2">
      <c r="B26" s="53"/>
      <c r="C26" s="67">
        <f t="shared" si="7"/>
        <v>0</v>
      </c>
      <c r="D26" s="67">
        <f t="shared" si="8"/>
        <v>0</v>
      </c>
      <c r="E26" s="67">
        <f t="shared" si="9"/>
        <v>0</v>
      </c>
      <c r="F26" s="67">
        <f t="shared" si="10"/>
        <v>0</v>
      </c>
      <c r="G26" s="67">
        <f t="shared" si="11"/>
        <v>0</v>
      </c>
      <c r="H26" s="70"/>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5"/>
    </row>
    <row r="27" spans="2:69" x14ac:dyDescent="0.2">
      <c r="B27" s="53"/>
      <c r="C27" s="67">
        <f t="shared" si="7"/>
        <v>0</v>
      </c>
      <c r="D27" s="67">
        <f t="shared" si="8"/>
        <v>0</v>
      </c>
      <c r="E27" s="67">
        <f t="shared" si="9"/>
        <v>0</v>
      </c>
      <c r="F27" s="67">
        <f t="shared" si="10"/>
        <v>0</v>
      </c>
      <c r="G27" s="67">
        <f t="shared" si="11"/>
        <v>0</v>
      </c>
      <c r="H27" s="70"/>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c r="BO27" s="68"/>
      <c r="BP27" s="68"/>
      <c r="BQ27" s="65"/>
    </row>
    <row r="28" spans="2:69" x14ac:dyDescent="0.2">
      <c r="B28" s="53"/>
      <c r="C28" s="67">
        <f t="shared" si="7"/>
        <v>0</v>
      </c>
      <c r="D28" s="67">
        <f t="shared" si="8"/>
        <v>0</v>
      </c>
      <c r="E28" s="67">
        <f t="shared" si="9"/>
        <v>0</v>
      </c>
      <c r="F28" s="67">
        <f t="shared" si="10"/>
        <v>0</v>
      </c>
      <c r="G28" s="67">
        <f t="shared" si="11"/>
        <v>0</v>
      </c>
      <c r="H28" s="70"/>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5"/>
    </row>
    <row r="29" spans="2:69" x14ac:dyDescent="0.2">
      <c r="B29" s="139" t="s">
        <v>97</v>
      </c>
      <c r="C29" s="69">
        <f>SUM(C9:C28)</f>
        <v>118642.90199999999</v>
      </c>
      <c r="D29" s="69">
        <f>SUM(D9:D28)</f>
        <v>254923.538</v>
      </c>
      <c r="E29" s="69">
        <f>SUM(E9:E28)</f>
        <v>428046.80599999998</v>
      </c>
      <c r="F29" s="69">
        <f>SUM(F9:F28)</f>
        <v>655616.79500000016</v>
      </c>
      <c r="G29" s="69">
        <f>SUM(G9:G28)</f>
        <v>1006473.477</v>
      </c>
      <c r="H29" s="70"/>
      <c r="I29" s="69">
        <f t="shared" ref="I29:AN29" si="12">SUM(I9:I28)</f>
        <v>9886.9084999999995</v>
      </c>
      <c r="J29" s="69">
        <f t="shared" si="12"/>
        <v>9886.9084999999995</v>
      </c>
      <c r="K29" s="69">
        <f t="shared" si="12"/>
        <v>9886.9084999999995</v>
      </c>
      <c r="L29" s="69">
        <f t="shared" si="12"/>
        <v>9886.9084999999995</v>
      </c>
      <c r="M29" s="69">
        <f t="shared" si="12"/>
        <v>9886.9084999999995</v>
      </c>
      <c r="N29" s="69">
        <f t="shared" si="12"/>
        <v>9886.9084999999995</v>
      </c>
      <c r="O29" s="69">
        <f t="shared" si="12"/>
        <v>9886.9084999999995</v>
      </c>
      <c r="P29" s="69">
        <f t="shared" si="12"/>
        <v>9886.9084999999995</v>
      </c>
      <c r="Q29" s="69">
        <f t="shared" si="12"/>
        <v>9886.9084999999995</v>
      </c>
      <c r="R29" s="69">
        <f t="shared" si="12"/>
        <v>9886.9084999999995</v>
      </c>
      <c r="S29" s="69">
        <f t="shared" si="12"/>
        <v>9886.9084999999995</v>
      </c>
      <c r="T29" s="69">
        <f t="shared" si="12"/>
        <v>9886.9084999999995</v>
      </c>
      <c r="U29" s="69">
        <f t="shared" si="12"/>
        <v>21243.628166666673</v>
      </c>
      <c r="V29" s="69">
        <f t="shared" si="12"/>
        <v>21243.628166666673</v>
      </c>
      <c r="W29" s="69">
        <f t="shared" si="12"/>
        <v>21243.628166666673</v>
      </c>
      <c r="X29" s="69">
        <f t="shared" si="12"/>
        <v>21243.628166666673</v>
      </c>
      <c r="Y29" s="69">
        <f t="shared" si="12"/>
        <v>21243.628166666673</v>
      </c>
      <c r="Z29" s="69">
        <f t="shared" si="12"/>
        <v>21243.628166666673</v>
      </c>
      <c r="AA29" s="69">
        <f t="shared" si="12"/>
        <v>21243.628166666673</v>
      </c>
      <c r="AB29" s="69">
        <f t="shared" si="12"/>
        <v>21243.628166666673</v>
      </c>
      <c r="AC29" s="69">
        <f t="shared" si="12"/>
        <v>21243.628166666673</v>
      </c>
      <c r="AD29" s="69">
        <f t="shared" si="12"/>
        <v>21243.628166666673</v>
      </c>
      <c r="AE29" s="69">
        <f t="shared" si="12"/>
        <v>21243.628166666673</v>
      </c>
      <c r="AF29" s="69">
        <f t="shared" si="12"/>
        <v>21243.628166666673</v>
      </c>
      <c r="AG29" s="69">
        <f t="shared" si="12"/>
        <v>35670.567166666668</v>
      </c>
      <c r="AH29" s="69">
        <f t="shared" si="12"/>
        <v>35670.567166666668</v>
      </c>
      <c r="AI29" s="69">
        <f t="shared" si="12"/>
        <v>35670.567166666668</v>
      </c>
      <c r="AJ29" s="69">
        <f t="shared" si="12"/>
        <v>35670.567166666668</v>
      </c>
      <c r="AK29" s="69">
        <f t="shared" si="12"/>
        <v>35670.567166666668</v>
      </c>
      <c r="AL29" s="69">
        <f t="shared" si="12"/>
        <v>35670.567166666668</v>
      </c>
      <c r="AM29" s="69">
        <f t="shared" si="12"/>
        <v>35670.567166666668</v>
      </c>
      <c r="AN29" s="69">
        <f t="shared" si="12"/>
        <v>35670.567166666668</v>
      </c>
      <c r="AO29" s="69">
        <f t="shared" ref="AO29:BT29" si="13">SUM(AO9:AO28)</f>
        <v>35670.567166666668</v>
      </c>
      <c r="AP29" s="69">
        <f t="shared" si="13"/>
        <v>35670.567166666668</v>
      </c>
      <c r="AQ29" s="69">
        <f t="shared" si="13"/>
        <v>35670.567166666668</v>
      </c>
      <c r="AR29" s="69">
        <f t="shared" si="13"/>
        <v>35670.567166666668</v>
      </c>
      <c r="AS29" s="69">
        <f t="shared" si="13"/>
        <v>54634.732916666668</v>
      </c>
      <c r="AT29" s="69">
        <f t="shared" si="13"/>
        <v>54634.732916666668</v>
      </c>
      <c r="AU29" s="69">
        <f t="shared" si="13"/>
        <v>54634.732916666668</v>
      </c>
      <c r="AV29" s="69">
        <f t="shared" si="13"/>
        <v>54634.732916666668</v>
      </c>
      <c r="AW29" s="69">
        <f t="shared" si="13"/>
        <v>54634.732916666668</v>
      </c>
      <c r="AX29" s="69">
        <f t="shared" si="13"/>
        <v>54634.732916666668</v>
      </c>
      <c r="AY29" s="69">
        <f t="shared" si="13"/>
        <v>54634.732916666668</v>
      </c>
      <c r="AZ29" s="69">
        <f t="shared" si="13"/>
        <v>54634.732916666668</v>
      </c>
      <c r="BA29" s="69">
        <f t="shared" si="13"/>
        <v>54634.732916666668</v>
      </c>
      <c r="BB29" s="69">
        <f t="shared" si="13"/>
        <v>54634.732916666668</v>
      </c>
      <c r="BC29" s="69">
        <f t="shared" si="13"/>
        <v>54634.732916666668</v>
      </c>
      <c r="BD29" s="69">
        <f t="shared" si="13"/>
        <v>54634.732916666668</v>
      </c>
      <c r="BE29" s="69">
        <f t="shared" si="13"/>
        <v>83872.789749999996</v>
      </c>
      <c r="BF29" s="69">
        <f t="shared" si="13"/>
        <v>83872.789749999996</v>
      </c>
      <c r="BG29" s="69">
        <f t="shared" si="13"/>
        <v>83872.789749999996</v>
      </c>
      <c r="BH29" s="69">
        <f t="shared" si="13"/>
        <v>83872.789749999996</v>
      </c>
      <c r="BI29" s="69">
        <f t="shared" si="13"/>
        <v>83872.789749999996</v>
      </c>
      <c r="BJ29" s="69">
        <f t="shared" si="13"/>
        <v>83872.789749999996</v>
      </c>
      <c r="BK29" s="69">
        <f t="shared" si="13"/>
        <v>83872.789749999996</v>
      </c>
      <c r="BL29" s="69">
        <f t="shared" si="13"/>
        <v>83872.789749999996</v>
      </c>
      <c r="BM29" s="69">
        <f t="shared" si="13"/>
        <v>83872.789749999996</v>
      </c>
      <c r="BN29" s="69">
        <f t="shared" si="13"/>
        <v>83872.789749999996</v>
      </c>
      <c r="BO29" s="69">
        <f t="shared" si="13"/>
        <v>83872.789749999996</v>
      </c>
      <c r="BP29" s="69">
        <f t="shared" si="13"/>
        <v>83872.789749999996</v>
      </c>
      <c r="BQ29" s="65"/>
    </row>
    <row r="30" spans="2:69" x14ac:dyDescent="0.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row>
  </sheetData>
  <mergeCells count="8">
    <mergeCell ref="B2:B3"/>
    <mergeCell ref="U7:AF7"/>
    <mergeCell ref="B5:Q5"/>
    <mergeCell ref="I7:T7"/>
    <mergeCell ref="C7:G7"/>
    <mergeCell ref="AG7:AR7"/>
    <mergeCell ref="BE7:BP7"/>
    <mergeCell ref="AS7:BD7"/>
  </mergeCells>
  <pageMargins left="0.7" right="0.7" top="0.75" bottom="0.75" header="0.3" footer="0.3"/>
  <pageSetup paperSize="9" orientation="portrait"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
    <tabColor theme="3" tint="0.79998168889431442"/>
  </sheetPr>
  <dimension ref="B2:AT29"/>
  <sheetViews>
    <sheetView showGridLines="0" showRowColHeaders="0" zoomScale="85" zoomScaleNormal="85" workbookViewId="0">
      <pane xSplit="2" ySplit="8" topLeftCell="C9" activePane="bottomRight" state="frozen"/>
      <selection pane="topRight" activeCell="D1" sqref="D1"/>
      <selection pane="bottomLeft" activeCell="A9" sqref="A9"/>
      <selection pane="bottomRight" activeCell="AS14" sqref="AS14:AS15"/>
    </sheetView>
  </sheetViews>
  <sheetFormatPr baseColWidth="10" defaultColWidth="11.5" defaultRowHeight="15" x14ac:dyDescent="0.2"/>
  <cols>
    <col min="1" max="1" width="3.1640625" customWidth="1"/>
    <col min="2" max="2" width="35.6640625" style="9" customWidth="1"/>
    <col min="3" max="37" width="10" customWidth="1"/>
    <col min="38" max="38" width="3.6640625" customWidth="1"/>
    <col min="39" max="39" width="25.5" customWidth="1"/>
    <col min="40" max="44" width="19.33203125" hidden="1" customWidth="1"/>
    <col min="45" max="45" width="25.5" customWidth="1"/>
    <col min="46" max="46" width="4" customWidth="1"/>
  </cols>
  <sheetData>
    <row r="2" spans="2:46" x14ac:dyDescent="0.2">
      <c r="B2" s="182" t="s">
        <v>112</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row>
    <row r="3" spans="2:46" s="5" customFormat="1" x14ac:dyDescent="0.2">
      <c r="B3" s="169"/>
      <c r="C3" s="73"/>
      <c r="D3" s="73"/>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4"/>
      <c r="AN3" s="72"/>
      <c r="AO3" s="72"/>
      <c r="AP3" s="72"/>
      <c r="AQ3" s="72"/>
      <c r="AR3" s="72"/>
      <c r="AS3" s="72"/>
      <c r="AT3" s="72"/>
    </row>
    <row r="4" spans="2:46" s="5" customFormat="1" x14ac:dyDescent="0.2">
      <c r="B4" s="75"/>
      <c r="C4" s="73"/>
      <c r="D4" s="73"/>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4"/>
      <c r="AN4" s="72"/>
      <c r="AO4" s="72"/>
      <c r="AP4" s="72"/>
      <c r="AQ4" s="72"/>
      <c r="AR4" s="72"/>
      <c r="AS4" s="72"/>
      <c r="AT4" s="72"/>
    </row>
    <row r="5" spans="2:46" s="5" customFormat="1" ht="24.75" customHeight="1" x14ac:dyDescent="0.2">
      <c r="B5" s="181" t="s">
        <v>113</v>
      </c>
      <c r="C5" s="157"/>
      <c r="D5" s="157"/>
      <c r="E5" s="157"/>
      <c r="F5" s="157"/>
      <c r="G5" s="157"/>
      <c r="H5" s="157"/>
      <c r="I5" s="157"/>
      <c r="J5" s="157"/>
      <c r="K5" s="157"/>
      <c r="L5" s="157"/>
      <c r="M5" s="157"/>
      <c r="N5" s="157"/>
      <c r="O5" s="158"/>
      <c r="P5" s="72"/>
      <c r="Q5" s="72"/>
      <c r="R5" s="72"/>
      <c r="S5" s="72"/>
      <c r="T5" s="72"/>
      <c r="U5" s="72" t="s">
        <v>114</v>
      </c>
      <c r="V5" s="72"/>
      <c r="W5" s="72"/>
      <c r="X5" s="72"/>
      <c r="Y5" s="72"/>
      <c r="Z5" s="72"/>
      <c r="AA5" s="72"/>
      <c r="AB5" s="72"/>
      <c r="AC5" s="72" t="s">
        <v>115</v>
      </c>
      <c r="AD5" s="72"/>
      <c r="AE5" s="72"/>
      <c r="AF5" s="72"/>
      <c r="AG5" s="72"/>
      <c r="AH5" s="72"/>
      <c r="AI5" s="72"/>
      <c r="AJ5" s="72"/>
      <c r="AK5" s="72"/>
      <c r="AL5" s="72"/>
      <c r="AM5" s="72"/>
      <c r="AN5" s="72"/>
      <c r="AO5" s="72"/>
      <c r="AP5" s="72"/>
      <c r="AQ5" s="72"/>
      <c r="AR5" s="72"/>
      <c r="AS5" s="72"/>
      <c r="AT5" s="72"/>
    </row>
    <row r="6" spans="2:46" x14ac:dyDescent="0.2">
      <c r="B6" s="76"/>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row>
    <row r="7" spans="2:46" ht="15" customHeight="1" x14ac:dyDescent="0.2">
      <c r="B7" s="71"/>
      <c r="C7" s="174" t="s">
        <v>77</v>
      </c>
      <c r="D7" s="157"/>
      <c r="E7" s="157"/>
      <c r="F7" s="157"/>
      <c r="G7" s="157"/>
      <c r="H7" s="157"/>
      <c r="I7" s="157"/>
      <c r="J7" s="157"/>
      <c r="K7" s="157"/>
      <c r="L7" s="157"/>
      <c r="M7" s="157"/>
      <c r="N7" s="157"/>
      <c r="O7" s="158"/>
      <c r="P7" s="174" t="s">
        <v>78</v>
      </c>
      <c r="Q7" s="157"/>
      <c r="R7" s="157"/>
      <c r="S7" s="157"/>
      <c r="T7" s="157"/>
      <c r="U7" s="157"/>
      <c r="V7" s="157"/>
      <c r="W7" s="157"/>
      <c r="X7" s="157"/>
      <c r="Y7" s="157"/>
      <c r="Z7" s="157"/>
      <c r="AA7" s="157"/>
      <c r="AB7" s="158"/>
      <c r="AC7" s="174" t="s">
        <v>79</v>
      </c>
      <c r="AD7" s="157"/>
      <c r="AE7" s="158"/>
      <c r="AF7" s="174" t="s">
        <v>80</v>
      </c>
      <c r="AG7" s="157"/>
      <c r="AH7" s="158"/>
      <c r="AI7" s="174" t="s">
        <v>81</v>
      </c>
      <c r="AJ7" s="157"/>
      <c r="AK7" s="158"/>
      <c r="AL7" s="70"/>
      <c r="AM7" s="168" t="s">
        <v>116</v>
      </c>
      <c r="AN7" s="77" t="s">
        <v>77</v>
      </c>
      <c r="AO7" s="77" t="s">
        <v>78</v>
      </c>
      <c r="AP7" s="77" t="s">
        <v>79</v>
      </c>
      <c r="AQ7" s="77" t="s">
        <v>80</v>
      </c>
      <c r="AR7" s="77" t="s">
        <v>81</v>
      </c>
      <c r="AS7" s="168" t="s">
        <v>117</v>
      </c>
      <c r="AT7" s="70"/>
    </row>
    <row r="8" spans="2:46" ht="15" customHeight="1" x14ac:dyDescent="0.2">
      <c r="B8" s="144" t="s">
        <v>63</v>
      </c>
      <c r="C8" s="55">
        <f>Config!$C$7</f>
        <v>46388</v>
      </c>
      <c r="D8" s="55">
        <f t="shared" ref="D8:N8" si="0">DATE(YEAR(C8),MONTH(C8)+1,DAY(C8))</f>
        <v>46419</v>
      </c>
      <c r="E8" s="55">
        <f t="shared" si="0"/>
        <v>46447</v>
      </c>
      <c r="F8" s="55">
        <f t="shared" si="0"/>
        <v>46478</v>
      </c>
      <c r="G8" s="55">
        <f t="shared" si="0"/>
        <v>46508</v>
      </c>
      <c r="H8" s="55">
        <f t="shared" si="0"/>
        <v>46539</v>
      </c>
      <c r="I8" s="55">
        <f t="shared" si="0"/>
        <v>46569</v>
      </c>
      <c r="J8" s="55">
        <f t="shared" si="0"/>
        <v>46600</v>
      </c>
      <c r="K8" s="55">
        <f t="shared" si="0"/>
        <v>46631</v>
      </c>
      <c r="L8" s="55">
        <f t="shared" si="0"/>
        <v>46661</v>
      </c>
      <c r="M8" s="55">
        <f t="shared" si="0"/>
        <v>46692</v>
      </c>
      <c r="N8" s="55">
        <f t="shared" si="0"/>
        <v>46722</v>
      </c>
      <c r="O8" s="78" t="s">
        <v>97</v>
      </c>
      <c r="P8" s="55">
        <f>DATE(YEAR(N8),MONTH(N8)+1,DAY(N8))</f>
        <v>46753</v>
      </c>
      <c r="Q8" s="55">
        <f t="shared" ref="Q8:AA8" si="1">DATE(YEAR(P8),MONTH(P8)+1,DAY(P8))</f>
        <v>46784</v>
      </c>
      <c r="R8" s="55">
        <f t="shared" si="1"/>
        <v>46813</v>
      </c>
      <c r="S8" s="55">
        <f t="shared" si="1"/>
        <v>46844</v>
      </c>
      <c r="T8" s="55">
        <f t="shared" si="1"/>
        <v>46874</v>
      </c>
      <c r="U8" s="55">
        <f t="shared" si="1"/>
        <v>46905</v>
      </c>
      <c r="V8" s="55">
        <f t="shared" si="1"/>
        <v>46935</v>
      </c>
      <c r="W8" s="55">
        <f t="shared" si="1"/>
        <v>46966</v>
      </c>
      <c r="X8" s="55">
        <f t="shared" si="1"/>
        <v>46997</v>
      </c>
      <c r="Y8" s="55">
        <f t="shared" si="1"/>
        <v>47027</v>
      </c>
      <c r="Z8" s="55">
        <f t="shared" si="1"/>
        <v>47058</v>
      </c>
      <c r="AA8" s="55">
        <f t="shared" si="1"/>
        <v>47088</v>
      </c>
      <c r="AB8" s="78" t="s">
        <v>97</v>
      </c>
      <c r="AC8" s="55" t="s">
        <v>85</v>
      </c>
      <c r="AD8" s="55" t="s">
        <v>86</v>
      </c>
      <c r="AE8" s="78" t="s">
        <v>97</v>
      </c>
      <c r="AF8" s="55" t="s">
        <v>85</v>
      </c>
      <c r="AG8" s="55" t="s">
        <v>86</v>
      </c>
      <c r="AH8" s="78" t="s">
        <v>97</v>
      </c>
      <c r="AI8" s="55" t="s">
        <v>85</v>
      </c>
      <c r="AJ8" s="55" t="s">
        <v>86</v>
      </c>
      <c r="AK8" s="78" t="s">
        <v>97</v>
      </c>
      <c r="AL8" s="70"/>
      <c r="AM8" s="169"/>
      <c r="AN8" s="70"/>
      <c r="AO8" s="70"/>
      <c r="AP8" s="70"/>
      <c r="AQ8" s="70"/>
      <c r="AR8" s="70"/>
      <c r="AS8" s="169"/>
      <c r="AT8" s="70"/>
    </row>
    <row r="9" spans="2:46" ht="15" customHeight="1" x14ac:dyDescent="0.2">
      <c r="B9" s="134" t="s">
        <v>118</v>
      </c>
      <c r="C9" s="79">
        <v>22000</v>
      </c>
      <c r="D9" s="79"/>
      <c r="E9" s="79"/>
      <c r="F9" s="79"/>
      <c r="G9" s="79"/>
      <c r="H9" s="79"/>
      <c r="I9" s="79"/>
      <c r="J9" s="79"/>
      <c r="K9" s="79"/>
      <c r="L9" s="79"/>
      <c r="M9" s="79"/>
      <c r="N9" s="79"/>
      <c r="O9" s="67">
        <f t="shared" ref="O9:O27" si="2">SUM(C9:N9)</f>
        <v>22000</v>
      </c>
      <c r="P9" s="79"/>
      <c r="Q9" s="79"/>
      <c r="R9" s="79"/>
      <c r="S9" s="79"/>
      <c r="T9" s="79"/>
      <c r="U9" s="79"/>
      <c r="V9" s="79"/>
      <c r="W9" s="79"/>
      <c r="X9" s="79"/>
      <c r="Y9" s="79"/>
      <c r="Z9" s="79"/>
      <c r="AA9" s="79"/>
      <c r="AB9" s="67">
        <f t="shared" ref="AB9:AB27" si="3">SUM(P9:AA9)</f>
        <v>0</v>
      </c>
      <c r="AC9" s="79"/>
      <c r="AD9" s="79"/>
      <c r="AE9" s="67">
        <f t="shared" ref="AE9:AE27" si="4">SUM(AC9:AD9)</f>
        <v>0</v>
      </c>
      <c r="AF9" s="79"/>
      <c r="AG9" s="79"/>
      <c r="AH9" s="67">
        <f t="shared" ref="AH9:AH27" si="5">SUM(AF9:AG9)</f>
        <v>0</v>
      </c>
      <c r="AI9" s="79"/>
      <c r="AJ9" s="79"/>
      <c r="AK9" s="67">
        <f t="shared" ref="AK9:AK27" si="6">SUM(AI9:AJ9)</f>
        <v>0</v>
      </c>
      <c r="AL9" s="70"/>
      <c r="AM9" s="80">
        <v>5</v>
      </c>
      <c r="AN9" s="81">
        <f t="shared" ref="AN9:AN27" si="7">IF(OR($AM9=0,AS9),0,O9/$AM9)</f>
        <v>4400</v>
      </c>
      <c r="AO9" s="81">
        <f t="shared" ref="AO9:AO27" si="8">IF(OR($AM9=0,AS9),0,AB9/$AM9+IF($AM9&gt;=2,O9/$AM9,0))</f>
        <v>4400</v>
      </c>
      <c r="AP9" s="81">
        <f t="shared" ref="AP9:AP27" si="9">IF(OR($AM9=0,AS9),0,AE9/$AM9+IF($AM9&gt;=2,AB9/$AM9,0)+IF($AM9&gt;=3,O9/$AM9,0))</f>
        <v>4400</v>
      </c>
      <c r="AQ9" s="81">
        <f t="shared" ref="AQ9:AQ27" si="10">IF(OR($AM9=0,AS9),0,AH9/$AM9+IF($AM9&gt;=2,AE9/$AM9,0)+IF($AM9&gt;=3,AB9/$AM9,0)+IF($AM9&gt;=4,O9/$AM9,0))</f>
        <v>4400</v>
      </c>
      <c r="AR9" s="81">
        <f t="shared" ref="AR9:AR27" si="11">IF(OR($AM9=0,AS9),0,AK9/$AM9+IF($AM9&gt;=2,AH9/$AM9,0)+IF($AM9&gt;=3,AE9/$AM9,0)+IF($AM9&gt;=4,AB9/$AM9,0)+IF($AM9&gt;=5,O9/$AM9,0))</f>
        <v>4400</v>
      </c>
      <c r="AS9" s="67" t="b">
        <v>0</v>
      </c>
      <c r="AT9" s="70"/>
    </row>
    <row r="10" spans="2:46" ht="15" customHeight="1" x14ac:dyDescent="0.2">
      <c r="B10" s="82" t="s">
        <v>119</v>
      </c>
      <c r="C10" s="79">
        <v>12000</v>
      </c>
      <c r="D10" s="79">
        <v>0</v>
      </c>
      <c r="E10" s="79"/>
      <c r="F10" s="79"/>
      <c r="G10" s="79"/>
      <c r="H10" s="79"/>
      <c r="I10" s="79"/>
      <c r="J10" s="79"/>
      <c r="K10" s="79"/>
      <c r="L10" s="79"/>
      <c r="M10" s="79"/>
      <c r="N10" s="79"/>
      <c r="O10" s="67">
        <f t="shared" si="2"/>
        <v>12000</v>
      </c>
      <c r="P10" s="79"/>
      <c r="Q10" s="79"/>
      <c r="R10" s="79"/>
      <c r="S10" s="79"/>
      <c r="T10" s="79"/>
      <c r="U10" s="79">
        <v>3000</v>
      </c>
      <c r="V10" s="79"/>
      <c r="W10" s="79"/>
      <c r="X10" s="79"/>
      <c r="Y10" s="79"/>
      <c r="Z10" s="79"/>
      <c r="AA10" s="79"/>
      <c r="AB10" s="67">
        <f t="shared" si="3"/>
        <v>3000</v>
      </c>
      <c r="AC10" s="79">
        <v>15000</v>
      </c>
      <c r="AD10" s="79">
        <v>0</v>
      </c>
      <c r="AE10" s="67">
        <f t="shared" si="4"/>
        <v>15000</v>
      </c>
      <c r="AF10" s="79">
        <v>0</v>
      </c>
      <c r="AG10" s="79">
        <v>0</v>
      </c>
      <c r="AH10" s="67">
        <f t="shared" si="5"/>
        <v>0</v>
      </c>
      <c r="AI10" s="79">
        <v>0</v>
      </c>
      <c r="AJ10" s="79">
        <v>0</v>
      </c>
      <c r="AK10" s="67">
        <f t="shared" si="6"/>
        <v>0</v>
      </c>
      <c r="AL10" s="70"/>
      <c r="AM10" s="80">
        <v>10</v>
      </c>
      <c r="AN10" s="81">
        <f t="shared" si="7"/>
        <v>1200</v>
      </c>
      <c r="AO10" s="81">
        <f t="shared" si="8"/>
        <v>1500</v>
      </c>
      <c r="AP10" s="81">
        <f t="shared" si="9"/>
        <v>3000</v>
      </c>
      <c r="AQ10" s="81">
        <f t="shared" si="10"/>
        <v>3000</v>
      </c>
      <c r="AR10" s="81">
        <f t="shared" si="11"/>
        <v>3000</v>
      </c>
      <c r="AS10" s="67" t="b">
        <v>0</v>
      </c>
      <c r="AT10" s="70"/>
    </row>
    <row r="11" spans="2:46" ht="15" customHeight="1" x14ac:dyDescent="0.2">
      <c r="B11" s="82" t="s">
        <v>120</v>
      </c>
      <c r="C11" s="79">
        <v>10000</v>
      </c>
      <c r="D11" s="79">
        <v>0</v>
      </c>
      <c r="E11" s="79"/>
      <c r="F11" s="79"/>
      <c r="G11" s="79"/>
      <c r="H11" s="79"/>
      <c r="I11" s="79"/>
      <c r="J11" s="79"/>
      <c r="K11" s="79"/>
      <c r="L11" s="79"/>
      <c r="M11" s="79"/>
      <c r="N11" s="79"/>
      <c r="O11" s="67">
        <f t="shared" si="2"/>
        <v>10000</v>
      </c>
      <c r="P11" s="79"/>
      <c r="Q11" s="79"/>
      <c r="R11" s="79"/>
      <c r="S11" s="79"/>
      <c r="T11" s="79"/>
      <c r="U11" s="79"/>
      <c r="V11" s="79"/>
      <c r="W11" s="79"/>
      <c r="X11" s="79"/>
      <c r="Y11" s="79"/>
      <c r="Z11" s="79"/>
      <c r="AA11" s="79"/>
      <c r="AB11" s="67">
        <f t="shared" si="3"/>
        <v>0</v>
      </c>
      <c r="AC11" s="79"/>
      <c r="AD11" s="79"/>
      <c r="AE11" s="67">
        <f t="shared" si="4"/>
        <v>0</v>
      </c>
      <c r="AF11" s="79"/>
      <c r="AG11" s="79"/>
      <c r="AH11" s="67">
        <f t="shared" si="5"/>
        <v>0</v>
      </c>
      <c r="AI11" s="79"/>
      <c r="AJ11" s="79"/>
      <c r="AK11" s="67">
        <f t="shared" si="6"/>
        <v>0</v>
      </c>
      <c r="AL11" s="70"/>
      <c r="AM11" s="80">
        <v>3</v>
      </c>
      <c r="AN11" s="81">
        <f t="shared" si="7"/>
        <v>3333.3333333333335</v>
      </c>
      <c r="AO11" s="81">
        <f t="shared" si="8"/>
        <v>3333.3333333333335</v>
      </c>
      <c r="AP11" s="81">
        <f t="shared" si="9"/>
        <v>3333.3333333333335</v>
      </c>
      <c r="AQ11" s="81">
        <f t="shared" si="10"/>
        <v>0</v>
      </c>
      <c r="AR11" s="81">
        <f t="shared" si="11"/>
        <v>0</v>
      </c>
      <c r="AS11" s="67" t="b">
        <v>0</v>
      </c>
      <c r="AT11" s="70"/>
    </row>
    <row r="12" spans="2:46" ht="15" customHeight="1" x14ac:dyDescent="0.2">
      <c r="B12" s="82" t="s">
        <v>121</v>
      </c>
      <c r="C12" s="79">
        <v>3000</v>
      </c>
      <c r="D12" s="79"/>
      <c r="E12" s="79"/>
      <c r="F12" s="79"/>
      <c r="G12" s="79"/>
      <c r="H12" s="79"/>
      <c r="I12" s="79"/>
      <c r="J12" s="79"/>
      <c r="K12" s="79"/>
      <c r="L12" s="79"/>
      <c r="M12" s="79"/>
      <c r="N12" s="79"/>
      <c r="O12" s="67">
        <f t="shared" si="2"/>
        <v>3000</v>
      </c>
      <c r="P12" s="79"/>
      <c r="Q12" s="79"/>
      <c r="R12" s="79"/>
      <c r="S12" s="79"/>
      <c r="T12" s="79"/>
      <c r="U12" s="79"/>
      <c r="V12" s="79"/>
      <c r="W12" s="79"/>
      <c r="X12" s="79"/>
      <c r="Y12" s="79"/>
      <c r="Z12" s="79"/>
      <c r="AA12" s="79"/>
      <c r="AB12" s="67">
        <f t="shared" si="3"/>
        <v>0</v>
      </c>
      <c r="AC12" s="79"/>
      <c r="AD12" s="79"/>
      <c r="AE12" s="67">
        <f t="shared" si="4"/>
        <v>0</v>
      </c>
      <c r="AF12" s="79"/>
      <c r="AG12" s="79"/>
      <c r="AH12" s="67">
        <f t="shared" si="5"/>
        <v>0</v>
      </c>
      <c r="AI12" s="79"/>
      <c r="AJ12" s="79"/>
      <c r="AK12" s="67">
        <f t="shared" si="6"/>
        <v>0</v>
      </c>
      <c r="AL12" s="70"/>
      <c r="AM12" s="80">
        <v>3</v>
      </c>
      <c r="AN12" s="81">
        <f t="shared" si="7"/>
        <v>1000</v>
      </c>
      <c r="AO12" s="81">
        <f t="shared" si="8"/>
        <v>1000</v>
      </c>
      <c r="AP12" s="81">
        <f t="shared" si="9"/>
        <v>1000</v>
      </c>
      <c r="AQ12" s="81">
        <f t="shared" si="10"/>
        <v>0</v>
      </c>
      <c r="AR12" s="81">
        <f t="shared" si="11"/>
        <v>0</v>
      </c>
      <c r="AS12" s="67" t="b">
        <v>0</v>
      </c>
      <c r="AT12" s="70"/>
    </row>
    <row r="13" spans="2:46" ht="15" customHeight="1" x14ac:dyDescent="0.2">
      <c r="B13" s="82" t="s">
        <v>122</v>
      </c>
      <c r="C13" s="79">
        <v>3000</v>
      </c>
      <c r="D13" s="79"/>
      <c r="E13" s="79"/>
      <c r="F13" s="79"/>
      <c r="G13" s="79"/>
      <c r="H13" s="79"/>
      <c r="I13" s="79"/>
      <c r="J13" s="79"/>
      <c r="K13" s="79"/>
      <c r="L13" s="79"/>
      <c r="M13" s="79"/>
      <c r="N13" s="79"/>
      <c r="O13" s="67">
        <f t="shared" si="2"/>
        <v>3000</v>
      </c>
      <c r="P13" s="79"/>
      <c r="Q13" s="79"/>
      <c r="R13" s="79"/>
      <c r="S13" s="79"/>
      <c r="T13" s="79"/>
      <c r="U13" s="79">
        <v>1500</v>
      </c>
      <c r="V13" s="79"/>
      <c r="W13" s="79"/>
      <c r="X13" s="79"/>
      <c r="Y13" s="79"/>
      <c r="Z13" s="79"/>
      <c r="AA13" s="79"/>
      <c r="AB13" s="67">
        <f t="shared" si="3"/>
        <v>1500</v>
      </c>
      <c r="AC13" s="79"/>
      <c r="AD13" s="79"/>
      <c r="AE13" s="67">
        <f t="shared" si="4"/>
        <v>0</v>
      </c>
      <c r="AF13" s="79"/>
      <c r="AG13" s="79"/>
      <c r="AH13" s="67">
        <f t="shared" si="5"/>
        <v>0</v>
      </c>
      <c r="AI13" s="79"/>
      <c r="AJ13" s="79"/>
      <c r="AK13" s="67">
        <f t="shared" si="6"/>
        <v>0</v>
      </c>
      <c r="AL13" s="70"/>
      <c r="AM13" s="80">
        <v>0</v>
      </c>
      <c r="AN13" s="81">
        <f t="shared" si="7"/>
        <v>0</v>
      </c>
      <c r="AO13" s="81">
        <f t="shared" si="8"/>
        <v>0</v>
      </c>
      <c r="AP13" s="81">
        <f t="shared" si="9"/>
        <v>0</v>
      </c>
      <c r="AQ13" s="81">
        <f t="shared" si="10"/>
        <v>0</v>
      </c>
      <c r="AR13" s="81">
        <f t="shared" si="11"/>
        <v>0</v>
      </c>
      <c r="AS13" s="67" t="b">
        <v>0</v>
      </c>
      <c r="AT13" s="70"/>
    </row>
    <row r="14" spans="2:46" ht="15" customHeight="1" x14ac:dyDescent="0.2">
      <c r="B14" s="82" t="s">
        <v>123</v>
      </c>
      <c r="C14" s="79">
        <v>2500</v>
      </c>
      <c r="D14" s="79"/>
      <c r="E14" s="79"/>
      <c r="F14" s="79"/>
      <c r="G14" s="79"/>
      <c r="H14" s="79"/>
      <c r="I14" s="79"/>
      <c r="J14" s="79"/>
      <c r="K14" s="79"/>
      <c r="L14" s="79"/>
      <c r="M14" s="79"/>
      <c r="N14" s="79"/>
      <c r="O14" s="67">
        <f t="shared" si="2"/>
        <v>2500</v>
      </c>
      <c r="P14" s="79"/>
      <c r="Q14" s="79"/>
      <c r="R14" s="79"/>
      <c r="S14" s="79"/>
      <c r="T14" s="79"/>
      <c r="U14" s="79"/>
      <c r="V14" s="79"/>
      <c r="W14" s="79"/>
      <c r="X14" s="79"/>
      <c r="Y14" s="79"/>
      <c r="Z14" s="79"/>
      <c r="AA14" s="79"/>
      <c r="AB14" s="67">
        <f t="shared" si="3"/>
        <v>0</v>
      </c>
      <c r="AC14" s="79"/>
      <c r="AD14" s="79"/>
      <c r="AE14" s="67">
        <f t="shared" si="4"/>
        <v>0</v>
      </c>
      <c r="AF14" s="79"/>
      <c r="AG14" s="79"/>
      <c r="AH14" s="67">
        <f t="shared" si="5"/>
        <v>0</v>
      </c>
      <c r="AI14" s="79"/>
      <c r="AJ14" s="79"/>
      <c r="AK14" s="67">
        <f t="shared" si="6"/>
        <v>0</v>
      </c>
      <c r="AL14" s="70"/>
      <c r="AM14" s="80">
        <v>5</v>
      </c>
      <c r="AN14" s="81">
        <f t="shared" si="7"/>
        <v>500</v>
      </c>
      <c r="AO14" s="81">
        <f t="shared" si="8"/>
        <v>500</v>
      </c>
      <c r="AP14" s="81">
        <f t="shared" si="9"/>
        <v>500</v>
      </c>
      <c r="AQ14" s="81">
        <f t="shared" si="10"/>
        <v>500</v>
      </c>
      <c r="AR14" s="81">
        <f t="shared" si="11"/>
        <v>500</v>
      </c>
      <c r="AS14" s="67" t="b">
        <v>0</v>
      </c>
      <c r="AT14" s="70"/>
    </row>
    <row r="15" spans="2:46" ht="15" customHeight="1" x14ac:dyDescent="0.2">
      <c r="B15" s="82" t="s">
        <v>124</v>
      </c>
      <c r="C15" s="79">
        <v>2500</v>
      </c>
      <c r="D15" s="79"/>
      <c r="E15" s="79"/>
      <c r="F15" s="79"/>
      <c r="G15" s="79"/>
      <c r="H15" s="79"/>
      <c r="I15" s="79"/>
      <c r="J15" s="79"/>
      <c r="K15" s="79"/>
      <c r="L15" s="79"/>
      <c r="M15" s="79"/>
      <c r="N15" s="79"/>
      <c r="O15" s="67">
        <f t="shared" si="2"/>
        <v>2500</v>
      </c>
      <c r="P15" s="79"/>
      <c r="Q15" s="79"/>
      <c r="R15" s="79">
        <v>15000</v>
      </c>
      <c r="S15" s="79"/>
      <c r="T15" s="79"/>
      <c r="U15" s="79"/>
      <c r="V15" s="79"/>
      <c r="W15" s="79"/>
      <c r="X15" s="79"/>
      <c r="Y15" s="79"/>
      <c r="Z15" s="79"/>
      <c r="AA15" s="79"/>
      <c r="AB15" s="67">
        <f t="shared" si="3"/>
        <v>15000</v>
      </c>
      <c r="AC15" s="79"/>
      <c r="AD15" s="79"/>
      <c r="AE15" s="67">
        <f t="shared" si="4"/>
        <v>0</v>
      </c>
      <c r="AF15" s="79"/>
      <c r="AG15" s="79"/>
      <c r="AH15" s="67">
        <f t="shared" si="5"/>
        <v>0</v>
      </c>
      <c r="AI15" s="79"/>
      <c r="AJ15" s="79"/>
      <c r="AK15" s="67">
        <f t="shared" si="6"/>
        <v>0</v>
      </c>
      <c r="AL15" s="70"/>
      <c r="AM15" s="80">
        <v>5</v>
      </c>
      <c r="AN15" s="81">
        <f t="shared" si="7"/>
        <v>500</v>
      </c>
      <c r="AO15" s="81">
        <f t="shared" si="8"/>
        <v>3500</v>
      </c>
      <c r="AP15" s="81">
        <f t="shared" si="9"/>
        <v>3500</v>
      </c>
      <c r="AQ15" s="81">
        <f t="shared" si="10"/>
        <v>3500</v>
      </c>
      <c r="AR15" s="81">
        <f t="shared" si="11"/>
        <v>3500</v>
      </c>
      <c r="AS15" s="67" t="b">
        <v>0</v>
      </c>
      <c r="AT15" s="70"/>
    </row>
    <row r="16" spans="2:46" ht="15" customHeight="1" x14ac:dyDescent="0.2">
      <c r="B16" s="82"/>
      <c r="C16" s="79"/>
      <c r="D16" s="79"/>
      <c r="E16" s="79"/>
      <c r="F16" s="79"/>
      <c r="G16" s="79"/>
      <c r="H16" s="79"/>
      <c r="I16" s="79"/>
      <c r="J16" s="79"/>
      <c r="K16" s="79"/>
      <c r="L16" s="79"/>
      <c r="M16" s="79"/>
      <c r="N16" s="79"/>
      <c r="O16" s="67">
        <f t="shared" si="2"/>
        <v>0</v>
      </c>
      <c r="P16" s="79"/>
      <c r="Q16" s="79"/>
      <c r="R16" s="79"/>
      <c r="S16" s="79"/>
      <c r="T16" s="79"/>
      <c r="U16" s="79"/>
      <c r="V16" s="79"/>
      <c r="W16" s="79"/>
      <c r="X16" s="79"/>
      <c r="Y16" s="79"/>
      <c r="Z16" s="79"/>
      <c r="AA16" s="79"/>
      <c r="AB16" s="67">
        <f t="shared" si="3"/>
        <v>0</v>
      </c>
      <c r="AC16" s="79"/>
      <c r="AD16" s="79"/>
      <c r="AE16" s="67">
        <f t="shared" si="4"/>
        <v>0</v>
      </c>
      <c r="AF16" s="79"/>
      <c r="AG16" s="79"/>
      <c r="AH16" s="67">
        <f t="shared" si="5"/>
        <v>0</v>
      </c>
      <c r="AI16" s="79"/>
      <c r="AJ16" s="79"/>
      <c r="AK16" s="67">
        <f t="shared" si="6"/>
        <v>0</v>
      </c>
      <c r="AL16" s="70"/>
      <c r="AM16" s="80"/>
      <c r="AN16" s="81">
        <f t="shared" si="7"/>
        <v>0</v>
      </c>
      <c r="AO16" s="81">
        <f t="shared" si="8"/>
        <v>0</v>
      </c>
      <c r="AP16" s="81">
        <f t="shared" si="9"/>
        <v>0</v>
      </c>
      <c r="AQ16" s="81">
        <f t="shared" si="10"/>
        <v>0</v>
      </c>
      <c r="AR16" s="81">
        <f t="shared" si="11"/>
        <v>0</v>
      </c>
      <c r="AS16" s="80"/>
      <c r="AT16" s="70"/>
    </row>
    <row r="17" spans="2:46" ht="15" customHeight="1" x14ac:dyDescent="0.2">
      <c r="B17" s="82"/>
      <c r="C17" s="79"/>
      <c r="D17" s="79"/>
      <c r="E17" s="79"/>
      <c r="F17" s="79"/>
      <c r="G17" s="79"/>
      <c r="H17" s="79"/>
      <c r="I17" s="79"/>
      <c r="J17" s="79"/>
      <c r="K17" s="79"/>
      <c r="L17" s="79"/>
      <c r="M17" s="79"/>
      <c r="N17" s="79"/>
      <c r="O17" s="67">
        <f t="shared" si="2"/>
        <v>0</v>
      </c>
      <c r="P17" s="79"/>
      <c r="Q17" s="79"/>
      <c r="R17" s="79"/>
      <c r="S17" s="79"/>
      <c r="T17" s="79"/>
      <c r="U17" s="79"/>
      <c r="V17" s="79"/>
      <c r="W17" s="79"/>
      <c r="X17" s="79"/>
      <c r="Y17" s="79"/>
      <c r="Z17" s="79"/>
      <c r="AA17" s="79"/>
      <c r="AB17" s="67">
        <f t="shared" si="3"/>
        <v>0</v>
      </c>
      <c r="AC17" s="79"/>
      <c r="AD17" s="79"/>
      <c r="AE17" s="67">
        <f t="shared" si="4"/>
        <v>0</v>
      </c>
      <c r="AF17" s="79"/>
      <c r="AG17" s="79"/>
      <c r="AH17" s="67">
        <f t="shared" si="5"/>
        <v>0</v>
      </c>
      <c r="AI17" s="79"/>
      <c r="AJ17" s="79"/>
      <c r="AK17" s="67">
        <f t="shared" si="6"/>
        <v>0</v>
      </c>
      <c r="AL17" s="70"/>
      <c r="AM17" s="80"/>
      <c r="AN17" s="81">
        <f t="shared" si="7"/>
        <v>0</v>
      </c>
      <c r="AO17" s="81">
        <f t="shared" si="8"/>
        <v>0</v>
      </c>
      <c r="AP17" s="81">
        <f t="shared" si="9"/>
        <v>0</v>
      </c>
      <c r="AQ17" s="81">
        <f t="shared" si="10"/>
        <v>0</v>
      </c>
      <c r="AR17" s="81">
        <f t="shared" si="11"/>
        <v>0</v>
      </c>
      <c r="AS17" s="80"/>
      <c r="AT17" s="70"/>
    </row>
    <row r="18" spans="2:46" ht="15" customHeight="1" x14ac:dyDescent="0.2">
      <c r="B18" s="82"/>
      <c r="C18" s="79"/>
      <c r="D18" s="79"/>
      <c r="E18" s="79"/>
      <c r="F18" s="79"/>
      <c r="G18" s="79"/>
      <c r="H18" s="79"/>
      <c r="I18" s="79"/>
      <c r="J18" s="79"/>
      <c r="K18" s="79"/>
      <c r="L18" s="79"/>
      <c r="M18" s="79"/>
      <c r="N18" s="79"/>
      <c r="O18" s="67">
        <f t="shared" si="2"/>
        <v>0</v>
      </c>
      <c r="P18" s="79"/>
      <c r="Q18" s="79"/>
      <c r="R18" s="79"/>
      <c r="S18" s="79"/>
      <c r="T18" s="79"/>
      <c r="U18" s="79"/>
      <c r="V18" s="79"/>
      <c r="W18" s="79"/>
      <c r="X18" s="79"/>
      <c r="Y18" s="79"/>
      <c r="Z18" s="79"/>
      <c r="AA18" s="79"/>
      <c r="AB18" s="67">
        <f t="shared" si="3"/>
        <v>0</v>
      </c>
      <c r="AC18" s="79"/>
      <c r="AD18" s="79"/>
      <c r="AE18" s="67">
        <f t="shared" si="4"/>
        <v>0</v>
      </c>
      <c r="AF18" s="79"/>
      <c r="AG18" s="79"/>
      <c r="AH18" s="67">
        <f t="shared" si="5"/>
        <v>0</v>
      </c>
      <c r="AI18" s="79"/>
      <c r="AJ18" s="79"/>
      <c r="AK18" s="67">
        <f t="shared" si="6"/>
        <v>0</v>
      </c>
      <c r="AL18" s="70"/>
      <c r="AM18" s="80"/>
      <c r="AN18" s="81">
        <f t="shared" si="7"/>
        <v>0</v>
      </c>
      <c r="AO18" s="81">
        <f t="shared" si="8"/>
        <v>0</v>
      </c>
      <c r="AP18" s="81">
        <f t="shared" si="9"/>
        <v>0</v>
      </c>
      <c r="AQ18" s="81">
        <f t="shared" si="10"/>
        <v>0</v>
      </c>
      <c r="AR18" s="81">
        <f t="shared" si="11"/>
        <v>0</v>
      </c>
      <c r="AS18" s="80"/>
      <c r="AT18" s="70"/>
    </row>
    <row r="19" spans="2:46" ht="15" customHeight="1" x14ac:dyDescent="0.2">
      <c r="B19" s="82"/>
      <c r="C19" s="79"/>
      <c r="D19" s="79"/>
      <c r="E19" s="79"/>
      <c r="F19" s="79"/>
      <c r="G19" s="79"/>
      <c r="H19" s="79"/>
      <c r="I19" s="79"/>
      <c r="J19" s="79"/>
      <c r="K19" s="79"/>
      <c r="L19" s="79"/>
      <c r="M19" s="79"/>
      <c r="N19" s="79"/>
      <c r="O19" s="67">
        <f t="shared" si="2"/>
        <v>0</v>
      </c>
      <c r="P19" s="79"/>
      <c r="Q19" s="79"/>
      <c r="R19" s="79"/>
      <c r="S19" s="79"/>
      <c r="T19" s="79"/>
      <c r="U19" s="79"/>
      <c r="V19" s="79"/>
      <c r="W19" s="79"/>
      <c r="X19" s="79"/>
      <c r="Y19" s="79"/>
      <c r="Z19" s="79"/>
      <c r="AA19" s="79"/>
      <c r="AB19" s="67">
        <f t="shared" si="3"/>
        <v>0</v>
      </c>
      <c r="AC19" s="79"/>
      <c r="AD19" s="79"/>
      <c r="AE19" s="67">
        <f t="shared" si="4"/>
        <v>0</v>
      </c>
      <c r="AF19" s="79"/>
      <c r="AG19" s="79"/>
      <c r="AH19" s="67">
        <f t="shared" si="5"/>
        <v>0</v>
      </c>
      <c r="AI19" s="79"/>
      <c r="AJ19" s="79"/>
      <c r="AK19" s="67">
        <f t="shared" si="6"/>
        <v>0</v>
      </c>
      <c r="AL19" s="70"/>
      <c r="AM19" s="80"/>
      <c r="AN19" s="81">
        <f t="shared" si="7"/>
        <v>0</v>
      </c>
      <c r="AO19" s="81">
        <f t="shared" si="8"/>
        <v>0</v>
      </c>
      <c r="AP19" s="81">
        <f t="shared" si="9"/>
        <v>0</v>
      </c>
      <c r="AQ19" s="81">
        <f t="shared" si="10"/>
        <v>0</v>
      </c>
      <c r="AR19" s="81">
        <f t="shared" si="11"/>
        <v>0</v>
      </c>
      <c r="AS19" s="80"/>
      <c r="AT19" s="70"/>
    </row>
    <row r="20" spans="2:46" ht="15" customHeight="1" x14ac:dyDescent="0.2">
      <c r="B20" s="82"/>
      <c r="C20" s="79"/>
      <c r="D20" s="79"/>
      <c r="E20" s="79"/>
      <c r="F20" s="79"/>
      <c r="G20" s="79"/>
      <c r="H20" s="79"/>
      <c r="I20" s="79"/>
      <c r="J20" s="79"/>
      <c r="K20" s="79"/>
      <c r="L20" s="79"/>
      <c r="M20" s="79"/>
      <c r="N20" s="79"/>
      <c r="O20" s="67">
        <f t="shared" si="2"/>
        <v>0</v>
      </c>
      <c r="P20" s="79"/>
      <c r="Q20" s="79"/>
      <c r="R20" s="79"/>
      <c r="S20" s="79"/>
      <c r="T20" s="79"/>
      <c r="U20" s="79"/>
      <c r="V20" s="79"/>
      <c r="W20" s="79"/>
      <c r="X20" s="79"/>
      <c r="Y20" s="79"/>
      <c r="Z20" s="79"/>
      <c r="AA20" s="79"/>
      <c r="AB20" s="67">
        <f t="shared" si="3"/>
        <v>0</v>
      </c>
      <c r="AC20" s="79"/>
      <c r="AD20" s="79"/>
      <c r="AE20" s="67">
        <f t="shared" si="4"/>
        <v>0</v>
      </c>
      <c r="AF20" s="79"/>
      <c r="AG20" s="79"/>
      <c r="AH20" s="67">
        <f t="shared" si="5"/>
        <v>0</v>
      </c>
      <c r="AI20" s="79"/>
      <c r="AJ20" s="79"/>
      <c r="AK20" s="67">
        <f t="shared" si="6"/>
        <v>0</v>
      </c>
      <c r="AL20" s="70"/>
      <c r="AM20" s="80"/>
      <c r="AN20" s="81">
        <f t="shared" si="7"/>
        <v>0</v>
      </c>
      <c r="AO20" s="81">
        <f t="shared" si="8"/>
        <v>0</v>
      </c>
      <c r="AP20" s="81">
        <f t="shared" si="9"/>
        <v>0</v>
      </c>
      <c r="AQ20" s="81">
        <f t="shared" si="10"/>
        <v>0</v>
      </c>
      <c r="AR20" s="81">
        <f t="shared" si="11"/>
        <v>0</v>
      </c>
      <c r="AS20" s="80"/>
      <c r="AT20" s="70"/>
    </row>
    <row r="21" spans="2:46" ht="15" customHeight="1" x14ac:dyDescent="0.2">
      <c r="B21" s="82"/>
      <c r="C21" s="79"/>
      <c r="D21" s="79"/>
      <c r="E21" s="79"/>
      <c r="F21" s="79"/>
      <c r="G21" s="79"/>
      <c r="H21" s="79"/>
      <c r="I21" s="79"/>
      <c r="J21" s="79"/>
      <c r="K21" s="79"/>
      <c r="L21" s="79"/>
      <c r="M21" s="79"/>
      <c r="N21" s="79"/>
      <c r="O21" s="67">
        <f t="shared" si="2"/>
        <v>0</v>
      </c>
      <c r="P21" s="79"/>
      <c r="Q21" s="79"/>
      <c r="R21" s="79"/>
      <c r="S21" s="79"/>
      <c r="T21" s="79"/>
      <c r="U21" s="79"/>
      <c r="V21" s="79"/>
      <c r="W21" s="79"/>
      <c r="X21" s="79"/>
      <c r="Y21" s="79"/>
      <c r="Z21" s="79"/>
      <c r="AA21" s="79"/>
      <c r="AB21" s="67">
        <f t="shared" si="3"/>
        <v>0</v>
      </c>
      <c r="AC21" s="79"/>
      <c r="AD21" s="79"/>
      <c r="AE21" s="67">
        <f t="shared" si="4"/>
        <v>0</v>
      </c>
      <c r="AF21" s="79"/>
      <c r="AG21" s="79"/>
      <c r="AH21" s="67">
        <f t="shared" si="5"/>
        <v>0</v>
      </c>
      <c r="AI21" s="79"/>
      <c r="AJ21" s="79"/>
      <c r="AK21" s="67">
        <f t="shared" si="6"/>
        <v>0</v>
      </c>
      <c r="AL21" s="70"/>
      <c r="AM21" s="80"/>
      <c r="AN21" s="81">
        <f t="shared" si="7"/>
        <v>0</v>
      </c>
      <c r="AO21" s="81">
        <f t="shared" si="8"/>
        <v>0</v>
      </c>
      <c r="AP21" s="81">
        <f t="shared" si="9"/>
        <v>0</v>
      </c>
      <c r="AQ21" s="81">
        <f t="shared" si="10"/>
        <v>0</v>
      </c>
      <c r="AR21" s="81">
        <f t="shared" si="11"/>
        <v>0</v>
      </c>
      <c r="AS21" s="80"/>
      <c r="AT21" s="70"/>
    </row>
    <row r="22" spans="2:46" ht="15" customHeight="1" x14ac:dyDescent="0.2">
      <c r="B22" s="82"/>
      <c r="C22" s="79"/>
      <c r="D22" s="79"/>
      <c r="E22" s="79"/>
      <c r="F22" s="79"/>
      <c r="G22" s="79"/>
      <c r="H22" s="79"/>
      <c r="I22" s="79"/>
      <c r="J22" s="79"/>
      <c r="K22" s="79"/>
      <c r="L22" s="79"/>
      <c r="M22" s="79"/>
      <c r="N22" s="79"/>
      <c r="O22" s="67">
        <f t="shared" si="2"/>
        <v>0</v>
      </c>
      <c r="P22" s="79"/>
      <c r="Q22" s="79"/>
      <c r="R22" s="79"/>
      <c r="S22" s="79"/>
      <c r="T22" s="79"/>
      <c r="U22" s="79"/>
      <c r="V22" s="79"/>
      <c r="W22" s="79"/>
      <c r="X22" s="79"/>
      <c r="Y22" s="79"/>
      <c r="Z22" s="79"/>
      <c r="AA22" s="79"/>
      <c r="AB22" s="67">
        <f t="shared" si="3"/>
        <v>0</v>
      </c>
      <c r="AC22" s="79"/>
      <c r="AD22" s="79"/>
      <c r="AE22" s="67">
        <f t="shared" si="4"/>
        <v>0</v>
      </c>
      <c r="AF22" s="79"/>
      <c r="AG22" s="79"/>
      <c r="AH22" s="67">
        <f t="shared" si="5"/>
        <v>0</v>
      </c>
      <c r="AI22" s="79"/>
      <c r="AJ22" s="79"/>
      <c r="AK22" s="67">
        <f t="shared" si="6"/>
        <v>0</v>
      </c>
      <c r="AL22" s="70"/>
      <c r="AM22" s="80"/>
      <c r="AN22" s="81">
        <f t="shared" si="7"/>
        <v>0</v>
      </c>
      <c r="AO22" s="81">
        <f t="shared" si="8"/>
        <v>0</v>
      </c>
      <c r="AP22" s="81">
        <f t="shared" si="9"/>
        <v>0</v>
      </c>
      <c r="AQ22" s="81">
        <f t="shared" si="10"/>
        <v>0</v>
      </c>
      <c r="AR22" s="81">
        <f t="shared" si="11"/>
        <v>0</v>
      </c>
      <c r="AS22" s="80"/>
      <c r="AT22" s="70"/>
    </row>
    <row r="23" spans="2:46" ht="15" customHeight="1" x14ac:dyDescent="0.2">
      <c r="B23" s="82"/>
      <c r="C23" s="79"/>
      <c r="D23" s="79"/>
      <c r="E23" s="79"/>
      <c r="F23" s="79"/>
      <c r="G23" s="79"/>
      <c r="H23" s="79"/>
      <c r="I23" s="79"/>
      <c r="J23" s="79"/>
      <c r="K23" s="79"/>
      <c r="L23" s="79"/>
      <c r="M23" s="79"/>
      <c r="N23" s="79"/>
      <c r="O23" s="67">
        <f t="shared" si="2"/>
        <v>0</v>
      </c>
      <c r="P23" s="79"/>
      <c r="Q23" s="79"/>
      <c r="R23" s="79"/>
      <c r="S23" s="79"/>
      <c r="T23" s="79"/>
      <c r="U23" s="79"/>
      <c r="V23" s="79"/>
      <c r="W23" s="79"/>
      <c r="X23" s="79"/>
      <c r="Y23" s="79"/>
      <c r="Z23" s="79"/>
      <c r="AA23" s="79"/>
      <c r="AB23" s="67">
        <f t="shared" si="3"/>
        <v>0</v>
      </c>
      <c r="AC23" s="79"/>
      <c r="AD23" s="79"/>
      <c r="AE23" s="67">
        <f t="shared" si="4"/>
        <v>0</v>
      </c>
      <c r="AF23" s="79"/>
      <c r="AG23" s="79"/>
      <c r="AH23" s="67">
        <f t="shared" si="5"/>
        <v>0</v>
      </c>
      <c r="AI23" s="79"/>
      <c r="AJ23" s="79"/>
      <c r="AK23" s="67">
        <f t="shared" si="6"/>
        <v>0</v>
      </c>
      <c r="AL23" s="70"/>
      <c r="AM23" s="80"/>
      <c r="AN23" s="81">
        <f t="shared" si="7"/>
        <v>0</v>
      </c>
      <c r="AO23" s="81">
        <f t="shared" si="8"/>
        <v>0</v>
      </c>
      <c r="AP23" s="81">
        <f t="shared" si="9"/>
        <v>0</v>
      </c>
      <c r="AQ23" s="81">
        <f t="shared" si="10"/>
        <v>0</v>
      </c>
      <c r="AR23" s="81">
        <f t="shared" si="11"/>
        <v>0</v>
      </c>
      <c r="AS23" s="80"/>
      <c r="AT23" s="70"/>
    </row>
    <row r="24" spans="2:46" ht="15" customHeight="1" x14ac:dyDescent="0.2">
      <c r="B24" s="82"/>
      <c r="C24" s="79"/>
      <c r="D24" s="79"/>
      <c r="E24" s="79"/>
      <c r="F24" s="79"/>
      <c r="G24" s="79"/>
      <c r="H24" s="79"/>
      <c r="I24" s="79"/>
      <c r="J24" s="79"/>
      <c r="K24" s="79"/>
      <c r="L24" s="79"/>
      <c r="M24" s="79"/>
      <c r="N24" s="79"/>
      <c r="O24" s="67">
        <f t="shared" si="2"/>
        <v>0</v>
      </c>
      <c r="P24" s="79"/>
      <c r="Q24" s="79"/>
      <c r="R24" s="79"/>
      <c r="S24" s="79"/>
      <c r="T24" s="79"/>
      <c r="U24" s="79"/>
      <c r="V24" s="79"/>
      <c r="W24" s="79"/>
      <c r="X24" s="79"/>
      <c r="Y24" s="79"/>
      <c r="Z24" s="79"/>
      <c r="AA24" s="79"/>
      <c r="AB24" s="67">
        <f t="shared" si="3"/>
        <v>0</v>
      </c>
      <c r="AC24" s="79"/>
      <c r="AD24" s="79"/>
      <c r="AE24" s="67">
        <f t="shared" si="4"/>
        <v>0</v>
      </c>
      <c r="AF24" s="79"/>
      <c r="AG24" s="79"/>
      <c r="AH24" s="67">
        <f t="shared" si="5"/>
        <v>0</v>
      </c>
      <c r="AI24" s="79"/>
      <c r="AJ24" s="79"/>
      <c r="AK24" s="67">
        <f t="shared" si="6"/>
        <v>0</v>
      </c>
      <c r="AL24" s="70"/>
      <c r="AM24" s="80"/>
      <c r="AN24" s="81">
        <f t="shared" si="7"/>
        <v>0</v>
      </c>
      <c r="AO24" s="81">
        <f t="shared" si="8"/>
        <v>0</v>
      </c>
      <c r="AP24" s="81">
        <f t="shared" si="9"/>
        <v>0</v>
      </c>
      <c r="AQ24" s="81">
        <f t="shared" si="10"/>
        <v>0</v>
      </c>
      <c r="AR24" s="81">
        <f t="shared" si="11"/>
        <v>0</v>
      </c>
      <c r="AS24" s="80"/>
      <c r="AT24" s="70"/>
    </row>
    <row r="25" spans="2:46" ht="15" customHeight="1" x14ac:dyDescent="0.2">
      <c r="B25" s="82"/>
      <c r="C25" s="79"/>
      <c r="D25" s="79"/>
      <c r="E25" s="79"/>
      <c r="F25" s="79"/>
      <c r="G25" s="79"/>
      <c r="H25" s="79"/>
      <c r="I25" s="79"/>
      <c r="J25" s="79"/>
      <c r="K25" s="79"/>
      <c r="L25" s="79"/>
      <c r="M25" s="79"/>
      <c r="N25" s="79"/>
      <c r="O25" s="67">
        <f t="shared" si="2"/>
        <v>0</v>
      </c>
      <c r="P25" s="79"/>
      <c r="Q25" s="79"/>
      <c r="R25" s="79"/>
      <c r="S25" s="79"/>
      <c r="T25" s="79"/>
      <c r="U25" s="79"/>
      <c r="V25" s="79"/>
      <c r="W25" s="79"/>
      <c r="X25" s="79"/>
      <c r="Y25" s="79"/>
      <c r="Z25" s="79"/>
      <c r="AA25" s="79"/>
      <c r="AB25" s="67">
        <f t="shared" si="3"/>
        <v>0</v>
      </c>
      <c r="AC25" s="79"/>
      <c r="AD25" s="79"/>
      <c r="AE25" s="67">
        <f t="shared" si="4"/>
        <v>0</v>
      </c>
      <c r="AF25" s="79"/>
      <c r="AG25" s="79"/>
      <c r="AH25" s="67">
        <f t="shared" si="5"/>
        <v>0</v>
      </c>
      <c r="AI25" s="79"/>
      <c r="AJ25" s="79"/>
      <c r="AK25" s="67">
        <f t="shared" si="6"/>
        <v>0</v>
      </c>
      <c r="AL25" s="70"/>
      <c r="AM25" s="80"/>
      <c r="AN25" s="81">
        <f t="shared" si="7"/>
        <v>0</v>
      </c>
      <c r="AO25" s="81">
        <f t="shared" si="8"/>
        <v>0</v>
      </c>
      <c r="AP25" s="81">
        <f t="shared" si="9"/>
        <v>0</v>
      </c>
      <c r="AQ25" s="81">
        <f t="shared" si="10"/>
        <v>0</v>
      </c>
      <c r="AR25" s="81">
        <f t="shared" si="11"/>
        <v>0</v>
      </c>
      <c r="AS25" s="80"/>
      <c r="AT25" s="70"/>
    </row>
    <row r="26" spans="2:46" ht="15" customHeight="1" x14ac:dyDescent="0.2">
      <c r="B26" s="82"/>
      <c r="C26" s="79"/>
      <c r="D26" s="79"/>
      <c r="E26" s="79"/>
      <c r="F26" s="79"/>
      <c r="G26" s="79"/>
      <c r="H26" s="79"/>
      <c r="I26" s="79"/>
      <c r="J26" s="79"/>
      <c r="K26" s="79"/>
      <c r="L26" s="79"/>
      <c r="M26" s="79"/>
      <c r="N26" s="79"/>
      <c r="O26" s="67">
        <f t="shared" si="2"/>
        <v>0</v>
      </c>
      <c r="P26" s="79"/>
      <c r="Q26" s="79"/>
      <c r="R26" s="79"/>
      <c r="S26" s="79"/>
      <c r="T26" s="79"/>
      <c r="U26" s="79"/>
      <c r="V26" s="79"/>
      <c r="W26" s="79"/>
      <c r="X26" s="79"/>
      <c r="Y26" s="79"/>
      <c r="Z26" s="79"/>
      <c r="AA26" s="79"/>
      <c r="AB26" s="67">
        <f t="shared" si="3"/>
        <v>0</v>
      </c>
      <c r="AC26" s="79"/>
      <c r="AD26" s="79"/>
      <c r="AE26" s="67">
        <f t="shared" si="4"/>
        <v>0</v>
      </c>
      <c r="AF26" s="79"/>
      <c r="AG26" s="79"/>
      <c r="AH26" s="67">
        <f t="shared" si="5"/>
        <v>0</v>
      </c>
      <c r="AI26" s="79"/>
      <c r="AJ26" s="79"/>
      <c r="AK26" s="67">
        <f t="shared" si="6"/>
        <v>0</v>
      </c>
      <c r="AL26" s="70"/>
      <c r="AM26" s="80"/>
      <c r="AN26" s="81">
        <f t="shared" si="7"/>
        <v>0</v>
      </c>
      <c r="AO26" s="81">
        <f t="shared" si="8"/>
        <v>0</v>
      </c>
      <c r="AP26" s="81">
        <f t="shared" si="9"/>
        <v>0</v>
      </c>
      <c r="AQ26" s="81">
        <f t="shared" si="10"/>
        <v>0</v>
      </c>
      <c r="AR26" s="81">
        <f t="shared" si="11"/>
        <v>0</v>
      </c>
      <c r="AS26" s="80"/>
      <c r="AT26" s="70"/>
    </row>
    <row r="27" spans="2:46" ht="15" customHeight="1" x14ac:dyDescent="0.2">
      <c r="B27" s="82"/>
      <c r="C27" s="79"/>
      <c r="D27" s="79"/>
      <c r="E27" s="79"/>
      <c r="F27" s="79"/>
      <c r="G27" s="79"/>
      <c r="H27" s="79"/>
      <c r="I27" s="79"/>
      <c r="J27" s="79"/>
      <c r="K27" s="79"/>
      <c r="L27" s="79"/>
      <c r="M27" s="79"/>
      <c r="N27" s="79"/>
      <c r="O27" s="67">
        <f t="shared" si="2"/>
        <v>0</v>
      </c>
      <c r="P27" s="79"/>
      <c r="Q27" s="79"/>
      <c r="R27" s="79"/>
      <c r="S27" s="79"/>
      <c r="T27" s="79"/>
      <c r="U27" s="79"/>
      <c r="V27" s="79"/>
      <c r="W27" s="79"/>
      <c r="X27" s="79"/>
      <c r="Y27" s="79"/>
      <c r="Z27" s="79"/>
      <c r="AA27" s="79"/>
      <c r="AB27" s="67">
        <f t="shared" si="3"/>
        <v>0</v>
      </c>
      <c r="AC27" s="79"/>
      <c r="AD27" s="79"/>
      <c r="AE27" s="67">
        <f t="shared" si="4"/>
        <v>0</v>
      </c>
      <c r="AF27" s="79"/>
      <c r="AG27" s="79"/>
      <c r="AH27" s="67">
        <f t="shared" si="5"/>
        <v>0</v>
      </c>
      <c r="AI27" s="79"/>
      <c r="AJ27" s="79"/>
      <c r="AK27" s="67">
        <f t="shared" si="6"/>
        <v>0</v>
      </c>
      <c r="AL27" s="70"/>
      <c r="AM27" s="80"/>
      <c r="AN27" s="81">
        <f t="shared" si="7"/>
        <v>0</v>
      </c>
      <c r="AO27" s="81">
        <f t="shared" si="8"/>
        <v>0</v>
      </c>
      <c r="AP27" s="81">
        <f t="shared" si="9"/>
        <v>0</v>
      </c>
      <c r="AQ27" s="81">
        <f t="shared" si="10"/>
        <v>0</v>
      </c>
      <c r="AR27" s="81">
        <f t="shared" si="11"/>
        <v>0</v>
      </c>
      <c r="AS27" s="80"/>
      <c r="AT27" s="70"/>
    </row>
    <row r="28" spans="2:46" x14ac:dyDescent="0.2">
      <c r="B28" s="144" t="s">
        <v>97</v>
      </c>
      <c r="C28" s="67">
        <f t="shared" ref="C28:AK28" si="12">SUM(C9:C27)</f>
        <v>55000</v>
      </c>
      <c r="D28" s="67">
        <f t="shared" si="12"/>
        <v>0</v>
      </c>
      <c r="E28" s="67">
        <f t="shared" si="12"/>
        <v>0</v>
      </c>
      <c r="F28" s="67">
        <f t="shared" si="12"/>
        <v>0</v>
      </c>
      <c r="G28" s="67">
        <f t="shared" si="12"/>
        <v>0</v>
      </c>
      <c r="H28" s="67">
        <f t="shared" si="12"/>
        <v>0</v>
      </c>
      <c r="I28" s="67">
        <f t="shared" si="12"/>
        <v>0</v>
      </c>
      <c r="J28" s="67">
        <f t="shared" si="12"/>
        <v>0</v>
      </c>
      <c r="K28" s="67">
        <f t="shared" si="12"/>
        <v>0</v>
      </c>
      <c r="L28" s="67">
        <f t="shared" si="12"/>
        <v>0</v>
      </c>
      <c r="M28" s="67">
        <f t="shared" si="12"/>
        <v>0</v>
      </c>
      <c r="N28" s="67">
        <f t="shared" si="12"/>
        <v>0</v>
      </c>
      <c r="O28" s="83">
        <f t="shared" si="12"/>
        <v>55000</v>
      </c>
      <c r="P28" s="67">
        <f t="shared" si="12"/>
        <v>0</v>
      </c>
      <c r="Q28" s="67">
        <f t="shared" si="12"/>
        <v>0</v>
      </c>
      <c r="R28" s="67">
        <f t="shared" si="12"/>
        <v>15000</v>
      </c>
      <c r="S28" s="67">
        <f t="shared" si="12"/>
        <v>0</v>
      </c>
      <c r="T28" s="67">
        <f t="shared" si="12"/>
        <v>0</v>
      </c>
      <c r="U28" s="67">
        <f t="shared" si="12"/>
        <v>4500</v>
      </c>
      <c r="V28" s="67">
        <f t="shared" si="12"/>
        <v>0</v>
      </c>
      <c r="W28" s="67">
        <f t="shared" si="12"/>
        <v>0</v>
      </c>
      <c r="X28" s="67">
        <f t="shared" si="12"/>
        <v>0</v>
      </c>
      <c r="Y28" s="67">
        <f t="shared" si="12"/>
        <v>0</v>
      </c>
      <c r="Z28" s="67">
        <f t="shared" si="12"/>
        <v>0</v>
      </c>
      <c r="AA28" s="67">
        <f t="shared" si="12"/>
        <v>0</v>
      </c>
      <c r="AB28" s="83">
        <f t="shared" si="12"/>
        <v>19500</v>
      </c>
      <c r="AC28" s="67">
        <f t="shared" si="12"/>
        <v>15000</v>
      </c>
      <c r="AD28" s="67">
        <f t="shared" si="12"/>
        <v>0</v>
      </c>
      <c r="AE28" s="83">
        <f t="shared" si="12"/>
        <v>15000</v>
      </c>
      <c r="AF28" s="67">
        <f t="shared" si="12"/>
        <v>0</v>
      </c>
      <c r="AG28" s="67">
        <f t="shared" si="12"/>
        <v>0</v>
      </c>
      <c r="AH28" s="83">
        <f t="shared" si="12"/>
        <v>0</v>
      </c>
      <c r="AI28" s="67">
        <f t="shared" si="12"/>
        <v>0</v>
      </c>
      <c r="AJ28" s="67">
        <f t="shared" si="12"/>
        <v>0</v>
      </c>
      <c r="AK28" s="83">
        <f t="shared" si="12"/>
        <v>0</v>
      </c>
      <c r="AL28" s="70"/>
      <c r="AM28" s="70"/>
      <c r="AN28" s="84">
        <f>SUM(AN9:AN27)</f>
        <v>10933.333333333334</v>
      </c>
      <c r="AO28" s="84">
        <f>SUM(AO9:AO27)</f>
        <v>14233.333333333334</v>
      </c>
      <c r="AP28" s="84">
        <f>SUM(AP9:AP27)</f>
        <v>15733.333333333334</v>
      </c>
      <c r="AQ28" s="84">
        <f>SUM(AQ9:AQ27)</f>
        <v>11400</v>
      </c>
      <c r="AR28" s="84">
        <f>SUM(AR9:AR27)</f>
        <v>11400</v>
      </c>
      <c r="AS28" s="70"/>
      <c r="AT28" s="70"/>
    </row>
    <row r="29" spans="2:46" x14ac:dyDescent="0.2">
      <c r="B29" s="71"/>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row>
  </sheetData>
  <mergeCells count="9">
    <mergeCell ref="AM7:AM8"/>
    <mergeCell ref="AS7:AS8"/>
    <mergeCell ref="P7:AB7"/>
    <mergeCell ref="AF7:AH7"/>
    <mergeCell ref="AC7:AE7"/>
    <mergeCell ref="AI7:AK7"/>
    <mergeCell ref="B5:O5"/>
    <mergeCell ref="B2:B3"/>
    <mergeCell ref="C7:O7"/>
  </mergeCells>
  <dataValidations count="2">
    <dataValidation type="whole" operator="greaterThanOrEqual" allowBlank="1" showInputMessage="1" showErrorMessage="1" errorTitle="Amortissement incorrect" error="L'amortissement doit être compris entre 1 et 20 ans." sqref="AM9:AM27" xr:uid="{00000000-0002-0000-0700-000000000000}">
      <formula1>0</formula1>
    </dataValidation>
    <dataValidation operator="greaterThanOrEqual" allowBlank="1" showInputMessage="1" showErrorMessage="1" errorTitle="Amortissement incorrect" error="L'amortissement doit être compris entre 1 et 20 ans." sqref="AS9:AS27" xr:uid="{00000000-0002-0000-0700-000001000000}"/>
  </dataValidations>
  <pageMargins left="0.7" right="0.7" top="0.75" bottom="0.75" header="0.3" footer="0.3"/>
  <pageSetup paperSize="9" orientation="portrait"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6">
    <tabColor theme="3" tint="0.79998168889431442"/>
  </sheetPr>
  <dimension ref="B2:BK21"/>
  <sheetViews>
    <sheetView showGridLines="0" showRowColHeaders="0" zoomScale="85" zoomScaleNormal="85" workbookViewId="0">
      <pane xSplit="2" ySplit="8" topLeftCell="C9" activePane="bottomRight" state="frozen"/>
      <selection pane="topRight" activeCell="D1" sqref="D1"/>
      <selection pane="bottomLeft" activeCell="A9" sqref="A9"/>
      <selection pane="bottomRight" activeCell="B5" sqref="B5:O5"/>
    </sheetView>
  </sheetViews>
  <sheetFormatPr baseColWidth="10" defaultColWidth="11.5" defaultRowHeight="15" x14ac:dyDescent="0.2"/>
  <cols>
    <col min="1" max="1" width="3.5" customWidth="1"/>
    <col min="2" max="2" width="35.6640625" customWidth="1"/>
    <col min="63" max="63" width="3" customWidth="1"/>
  </cols>
  <sheetData>
    <row r="2" spans="2:63" x14ac:dyDescent="0.2">
      <c r="B2" s="168" t="s">
        <v>125</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row>
    <row r="3" spans="2:63" x14ac:dyDescent="0.2">
      <c r="B3" s="169"/>
      <c r="C3" s="85"/>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row>
    <row r="4" spans="2:63" x14ac:dyDescent="0.2">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row>
    <row r="5" spans="2:63" ht="25.5" customHeight="1" x14ac:dyDescent="0.2">
      <c r="B5" s="181" t="s">
        <v>126</v>
      </c>
      <c r="C5" s="157"/>
      <c r="D5" s="157"/>
      <c r="E5" s="157"/>
      <c r="F5" s="157"/>
      <c r="G5" s="157"/>
      <c r="H5" s="157"/>
      <c r="I5" s="157"/>
      <c r="J5" s="157"/>
      <c r="K5" s="157"/>
      <c r="L5" s="157"/>
      <c r="M5" s="157"/>
      <c r="N5" s="157"/>
      <c r="O5" s="158"/>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row>
    <row r="6" spans="2:63" x14ac:dyDescent="0.2">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row>
    <row r="7" spans="2:63" x14ac:dyDescent="0.2">
      <c r="B7" s="86"/>
      <c r="C7" s="174" t="s">
        <v>77</v>
      </c>
      <c r="D7" s="157"/>
      <c r="E7" s="157"/>
      <c r="F7" s="157"/>
      <c r="G7" s="157"/>
      <c r="H7" s="157"/>
      <c r="I7" s="157"/>
      <c r="J7" s="157"/>
      <c r="K7" s="157"/>
      <c r="L7" s="157"/>
      <c r="M7" s="157"/>
      <c r="N7" s="158"/>
      <c r="O7" s="174" t="s">
        <v>78</v>
      </c>
      <c r="P7" s="157"/>
      <c r="Q7" s="157"/>
      <c r="R7" s="157"/>
      <c r="S7" s="157"/>
      <c r="T7" s="157"/>
      <c r="U7" s="157"/>
      <c r="V7" s="157"/>
      <c r="W7" s="157"/>
      <c r="X7" s="157"/>
      <c r="Y7" s="157"/>
      <c r="Z7" s="158"/>
      <c r="AA7" s="174" t="s">
        <v>79</v>
      </c>
      <c r="AB7" s="157"/>
      <c r="AC7" s="157"/>
      <c r="AD7" s="157"/>
      <c r="AE7" s="157"/>
      <c r="AF7" s="157"/>
      <c r="AG7" s="157"/>
      <c r="AH7" s="157"/>
      <c r="AI7" s="157"/>
      <c r="AJ7" s="157"/>
      <c r="AK7" s="157"/>
      <c r="AL7" s="158"/>
      <c r="AM7" s="174" t="s">
        <v>80</v>
      </c>
      <c r="AN7" s="157"/>
      <c r="AO7" s="157"/>
      <c r="AP7" s="157"/>
      <c r="AQ7" s="157"/>
      <c r="AR7" s="157"/>
      <c r="AS7" s="157"/>
      <c r="AT7" s="157"/>
      <c r="AU7" s="157"/>
      <c r="AV7" s="157"/>
      <c r="AW7" s="157"/>
      <c r="AX7" s="158"/>
      <c r="AY7" s="174" t="s">
        <v>81</v>
      </c>
      <c r="AZ7" s="157"/>
      <c r="BA7" s="157"/>
      <c r="BB7" s="157"/>
      <c r="BC7" s="157"/>
      <c r="BD7" s="157"/>
      <c r="BE7" s="157"/>
      <c r="BF7" s="157"/>
      <c r="BG7" s="157"/>
      <c r="BH7" s="157"/>
      <c r="BI7" s="157"/>
      <c r="BJ7" s="158"/>
      <c r="BK7" s="70"/>
    </row>
    <row r="8" spans="2:63" x14ac:dyDescent="0.2">
      <c r="B8" s="139" t="s">
        <v>127</v>
      </c>
      <c r="C8" s="55">
        <f>Config!$C$7</f>
        <v>46388</v>
      </c>
      <c r="D8" s="55">
        <f t="shared" ref="D8:AI8" si="0">DATE(YEAR(C8),MONTH(C8)+1,DAY(C8))</f>
        <v>46419</v>
      </c>
      <c r="E8" s="55">
        <f t="shared" si="0"/>
        <v>46447</v>
      </c>
      <c r="F8" s="55">
        <f t="shared" si="0"/>
        <v>46478</v>
      </c>
      <c r="G8" s="55">
        <f t="shared" si="0"/>
        <v>46508</v>
      </c>
      <c r="H8" s="55">
        <f t="shared" si="0"/>
        <v>46539</v>
      </c>
      <c r="I8" s="55">
        <f t="shared" si="0"/>
        <v>46569</v>
      </c>
      <c r="J8" s="55">
        <f t="shared" si="0"/>
        <v>46600</v>
      </c>
      <c r="K8" s="55">
        <f t="shared" si="0"/>
        <v>46631</v>
      </c>
      <c r="L8" s="55">
        <f t="shared" si="0"/>
        <v>46661</v>
      </c>
      <c r="M8" s="55">
        <f t="shared" si="0"/>
        <v>46692</v>
      </c>
      <c r="N8" s="55">
        <f t="shared" si="0"/>
        <v>46722</v>
      </c>
      <c r="O8" s="55">
        <f t="shared" si="0"/>
        <v>46753</v>
      </c>
      <c r="P8" s="55">
        <f t="shared" si="0"/>
        <v>46784</v>
      </c>
      <c r="Q8" s="55">
        <f t="shared" si="0"/>
        <v>46813</v>
      </c>
      <c r="R8" s="55">
        <f t="shared" si="0"/>
        <v>46844</v>
      </c>
      <c r="S8" s="55">
        <f t="shared" si="0"/>
        <v>46874</v>
      </c>
      <c r="T8" s="55">
        <f t="shared" si="0"/>
        <v>46905</v>
      </c>
      <c r="U8" s="55">
        <f t="shared" si="0"/>
        <v>46935</v>
      </c>
      <c r="V8" s="55">
        <f t="shared" si="0"/>
        <v>46966</v>
      </c>
      <c r="W8" s="55">
        <f t="shared" si="0"/>
        <v>46997</v>
      </c>
      <c r="X8" s="55">
        <f t="shared" si="0"/>
        <v>47027</v>
      </c>
      <c r="Y8" s="55">
        <f t="shared" si="0"/>
        <v>47058</v>
      </c>
      <c r="Z8" s="55">
        <f t="shared" si="0"/>
        <v>47088</v>
      </c>
      <c r="AA8" s="55">
        <f t="shared" si="0"/>
        <v>47119</v>
      </c>
      <c r="AB8" s="55">
        <f t="shared" si="0"/>
        <v>47150</v>
      </c>
      <c r="AC8" s="55">
        <f t="shared" si="0"/>
        <v>47178</v>
      </c>
      <c r="AD8" s="55">
        <f t="shared" si="0"/>
        <v>47209</v>
      </c>
      <c r="AE8" s="55">
        <f t="shared" si="0"/>
        <v>47239</v>
      </c>
      <c r="AF8" s="55">
        <f t="shared" si="0"/>
        <v>47270</v>
      </c>
      <c r="AG8" s="55">
        <f t="shared" si="0"/>
        <v>47300</v>
      </c>
      <c r="AH8" s="55">
        <f t="shared" si="0"/>
        <v>47331</v>
      </c>
      <c r="AI8" s="55">
        <f t="shared" si="0"/>
        <v>47362</v>
      </c>
      <c r="AJ8" s="55">
        <f t="shared" ref="AJ8:BJ8" si="1">DATE(YEAR(AI8),MONTH(AI8)+1,DAY(AI8))</f>
        <v>47392</v>
      </c>
      <c r="AK8" s="55">
        <f t="shared" si="1"/>
        <v>47423</v>
      </c>
      <c r="AL8" s="55">
        <f t="shared" si="1"/>
        <v>47453</v>
      </c>
      <c r="AM8" s="55">
        <f t="shared" si="1"/>
        <v>47484</v>
      </c>
      <c r="AN8" s="55">
        <f t="shared" si="1"/>
        <v>47515</v>
      </c>
      <c r="AO8" s="55">
        <f t="shared" si="1"/>
        <v>47543</v>
      </c>
      <c r="AP8" s="55">
        <f t="shared" si="1"/>
        <v>47574</v>
      </c>
      <c r="AQ8" s="55">
        <f t="shared" si="1"/>
        <v>47604</v>
      </c>
      <c r="AR8" s="55">
        <f t="shared" si="1"/>
        <v>47635</v>
      </c>
      <c r="AS8" s="55">
        <f t="shared" si="1"/>
        <v>47665</v>
      </c>
      <c r="AT8" s="55">
        <f t="shared" si="1"/>
        <v>47696</v>
      </c>
      <c r="AU8" s="55">
        <f t="shared" si="1"/>
        <v>47727</v>
      </c>
      <c r="AV8" s="55">
        <f t="shared" si="1"/>
        <v>47757</v>
      </c>
      <c r="AW8" s="55">
        <f t="shared" si="1"/>
        <v>47788</v>
      </c>
      <c r="AX8" s="55">
        <f t="shared" si="1"/>
        <v>47818</v>
      </c>
      <c r="AY8" s="55">
        <f t="shared" si="1"/>
        <v>47849</v>
      </c>
      <c r="AZ8" s="55">
        <f t="shared" si="1"/>
        <v>47880</v>
      </c>
      <c r="BA8" s="55">
        <f t="shared" si="1"/>
        <v>47908</v>
      </c>
      <c r="BB8" s="55">
        <f t="shared" si="1"/>
        <v>47939</v>
      </c>
      <c r="BC8" s="55">
        <f t="shared" si="1"/>
        <v>47969</v>
      </c>
      <c r="BD8" s="55">
        <f t="shared" si="1"/>
        <v>48000</v>
      </c>
      <c r="BE8" s="55">
        <f t="shared" si="1"/>
        <v>48030</v>
      </c>
      <c r="BF8" s="55">
        <f t="shared" si="1"/>
        <v>48061</v>
      </c>
      <c r="BG8" s="55">
        <f t="shared" si="1"/>
        <v>48092</v>
      </c>
      <c r="BH8" s="55">
        <f t="shared" si="1"/>
        <v>48122</v>
      </c>
      <c r="BI8" s="55">
        <f t="shared" si="1"/>
        <v>48153</v>
      </c>
      <c r="BJ8" s="55">
        <f t="shared" si="1"/>
        <v>48183</v>
      </c>
      <c r="BK8" s="70"/>
    </row>
    <row r="9" spans="2:63" x14ac:dyDescent="0.2">
      <c r="B9" s="46" t="str">
        <f>Config!$B$14</f>
        <v>Vente d'abonnement mensuel (30 Shots)</v>
      </c>
      <c r="C9" s="87">
        <v>0</v>
      </c>
      <c r="D9" s="87">
        <v>10</v>
      </c>
      <c r="E9" s="87">
        <v>25</v>
      </c>
      <c r="F9" s="87">
        <v>45</v>
      </c>
      <c r="G9" s="87">
        <v>70</v>
      </c>
      <c r="H9" s="87">
        <v>100</v>
      </c>
      <c r="I9" s="87">
        <v>120</v>
      </c>
      <c r="J9" s="87">
        <v>140</v>
      </c>
      <c r="K9" s="87">
        <v>180</v>
      </c>
      <c r="L9" s="87">
        <v>210</v>
      </c>
      <c r="M9" s="87">
        <v>240</v>
      </c>
      <c r="N9" s="87">
        <v>280</v>
      </c>
      <c r="O9" s="87">
        <v>300</v>
      </c>
      <c r="P9" s="87">
        <v>330</v>
      </c>
      <c r="Q9" s="87">
        <v>360</v>
      </c>
      <c r="R9" s="87">
        <v>400</v>
      </c>
      <c r="S9" s="87">
        <v>450</v>
      </c>
      <c r="T9" s="87">
        <v>500</v>
      </c>
      <c r="U9" s="87">
        <v>540</v>
      </c>
      <c r="V9" s="87">
        <v>570</v>
      </c>
      <c r="W9" s="87">
        <v>650</v>
      </c>
      <c r="X9" s="87">
        <v>700</v>
      </c>
      <c r="Y9" s="87">
        <v>750</v>
      </c>
      <c r="Z9" s="87">
        <v>800</v>
      </c>
      <c r="AA9" s="87">
        <v>850</v>
      </c>
      <c r="AB9" s="87">
        <v>880</v>
      </c>
      <c r="AC9" s="87">
        <v>910</v>
      </c>
      <c r="AD9" s="87">
        <v>950</v>
      </c>
      <c r="AE9" s="87">
        <v>1000</v>
      </c>
      <c r="AF9" s="87">
        <v>1050</v>
      </c>
      <c r="AG9" s="87">
        <v>1080</v>
      </c>
      <c r="AH9" s="87">
        <v>1100</v>
      </c>
      <c r="AI9" s="87">
        <v>1150</v>
      </c>
      <c r="AJ9" s="87">
        <v>1200</v>
      </c>
      <c r="AK9" s="87">
        <v>1250</v>
      </c>
      <c r="AL9" s="87">
        <v>1300</v>
      </c>
      <c r="AM9" s="87">
        <v>1350</v>
      </c>
      <c r="AN9" s="87">
        <v>1380</v>
      </c>
      <c r="AO9" s="87">
        <v>1420</v>
      </c>
      <c r="AP9" s="87">
        <v>1480</v>
      </c>
      <c r="AQ9" s="87">
        <v>1550</v>
      </c>
      <c r="AR9" s="87">
        <v>1650</v>
      </c>
      <c r="AS9" s="87">
        <v>1700</v>
      </c>
      <c r="AT9" s="87">
        <v>1750</v>
      </c>
      <c r="AU9" s="87">
        <v>1850</v>
      </c>
      <c r="AV9" s="87">
        <v>1950</v>
      </c>
      <c r="AW9" s="87">
        <v>2050</v>
      </c>
      <c r="AX9" s="87">
        <v>2150</v>
      </c>
      <c r="AY9" s="87">
        <v>2200</v>
      </c>
      <c r="AZ9" s="87">
        <v>2250</v>
      </c>
      <c r="BA9" s="87">
        <v>2300</v>
      </c>
      <c r="BB9" s="87">
        <v>2400</v>
      </c>
      <c r="BC9" s="87">
        <v>2500</v>
      </c>
      <c r="BD9" s="87">
        <v>2650</v>
      </c>
      <c r="BE9" s="87">
        <v>2750</v>
      </c>
      <c r="BF9" s="87">
        <v>2850</v>
      </c>
      <c r="BG9" s="87">
        <v>3000</v>
      </c>
      <c r="BH9" s="87">
        <v>3150</v>
      </c>
      <c r="BI9" s="87">
        <v>3300</v>
      </c>
      <c r="BJ9" s="87">
        <v>3500</v>
      </c>
      <c r="BK9" s="70">
        <v>3517</v>
      </c>
    </row>
    <row r="10" spans="2:63" x14ac:dyDescent="0.2">
      <c r="B10" s="46" t="str">
        <f>Config!$B$15</f>
        <v>Vente de pack découverte (9 Shots)</v>
      </c>
      <c r="C10" s="87">
        <v>50</v>
      </c>
      <c r="D10" s="87">
        <v>80</v>
      </c>
      <c r="E10" s="87">
        <v>120</v>
      </c>
      <c r="F10" s="87">
        <v>200</v>
      </c>
      <c r="G10" s="87">
        <v>300</v>
      </c>
      <c r="H10" s="87">
        <v>350</v>
      </c>
      <c r="I10" s="87">
        <v>300</v>
      </c>
      <c r="J10" s="87">
        <v>200</v>
      </c>
      <c r="K10" s="87">
        <v>400</v>
      </c>
      <c r="L10" s="87">
        <v>350</v>
      </c>
      <c r="M10" s="87">
        <v>350</v>
      </c>
      <c r="N10" s="87">
        <v>500</v>
      </c>
      <c r="O10" s="87">
        <v>450</v>
      </c>
      <c r="P10" s="87">
        <v>400</v>
      </c>
      <c r="Q10" s="87">
        <v>450</v>
      </c>
      <c r="R10" s="87">
        <v>550</v>
      </c>
      <c r="S10" s="87">
        <v>650</v>
      </c>
      <c r="T10" s="87">
        <v>700</v>
      </c>
      <c r="U10" s="87">
        <v>600</v>
      </c>
      <c r="V10" s="87">
        <v>500</v>
      </c>
      <c r="W10" s="87">
        <v>800</v>
      </c>
      <c r="X10" s="87">
        <v>700</v>
      </c>
      <c r="Y10" s="87">
        <v>700</v>
      </c>
      <c r="Z10" s="87">
        <v>900</v>
      </c>
      <c r="AA10" s="87">
        <v>900</v>
      </c>
      <c r="AB10" s="87">
        <v>800</v>
      </c>
      <c r="AC10" s="87">
        <v>850</v>
      </c>
      <c r="AD10" s="87">
        <v>950</v>
      </c>
      <c r="AE10" s="87">
        <v>1100</v>
      </c>
      <c r="AF10" s="87">
        <v>1200</v>
      </c>
      <c r="AG10" s="87">
        <v>1000</v>
      </c>
      <c r="AH10" s="87">
        <v>900</v>
      </c>
      <c r="AI10" s="87">
        <v>1300</v>
      </c>
      <c r="AJ10" s="87">
        <v>1100</v>
      </c>
      <c r="AK10" s="87">
        <v>1100</v>
      </c>
      <c r="AL10" s="87">
        <v>1500</v>
      </c>
      <c r="AM10" s="87">
        <v>1600</v>
      </c>
      <c r="AN10" s="87">
        <v>1400</v>
      </c>
      <c r="AO10" s="87">
        <v>1500</v>
      </c>
      <c r="AP10" s="87">
        <v>1700</v>
      </c>
      <c r="AQ10" s="87">
        <v>1900</v>
      </c>
      <c r="AR10" s="87">
        <v>2000</v>
      </c>
      <c r="AS10" s="87">
        <v>1800</v>
      </c>
      <c r="AT10" s="87">
        <v>1600</v>
      </c>
      <c r="AU10" s="87">
        <v>2200</v>
      </c>
      <c r="AV10" s="87">
        <v>1900</v>
      </c>
      <c r="AW10" s="87">
        <v>1900</v>
      </c>
      <c r="AX10" s="87">
        <v>2500</v>
      </c>
      <c r="AY10" s="87">
        <v>2600</v>
      </c>
      <c r="AZ10" s="87">
        <v>2300</v>
      </c>
      <c r="BA10" s="87">
        <v>2400</v>
      </c>
      <c r="BB10" s="87">
        <v>1700</v>
      </c>
      <c r="BC10" s="87">
        <v>3000</v>
      </c>
      <c r="BD10" s="87">
        <v>3200</v>
      </c>
      <c r="BE10" s="87">
        <v>2900</v>
      </c>
      <c r="BF10" s="87">
        <v>2500</v>
      </c>
      <c r="BG10" s="87">
        <v>3500</v>
      </c>
      <c r="BH10" s="87">
        <v>3000</v>
      </c>
      <c r="BI10" s="87">
        <v>3000</v>
      </c>
      <c r="BJ10" s="87">
        <v>4000</v>
      </c>
      <c r="BK10" s="70">
        <v>4019</v>
      </c>
    </row>
    <row r="11" spans="2:63" x14ac:dyDescent="0.2">
      <c r="B11" s="46" t="str">
        <f>Config!$B$16</f>
        <v xml:space="preserve">Vente de shots à l'unité </v>
      </c>
      <c r="C11" s="87">
        <v>20</v>
      </c>
      <c r="D11" s="87">
        <v>30</v>
      </c>
      <c r="E11" s="87">
        <v>40</v>
      </c>
      <c r="F11" s="87">
        <v>50</v>
      </c>
      <c r="G11" s="87">
        <v>80</v>
      </c>
      <c r="H11" s="87">
        <v>100</v>
      </c>
      <c r="I11" s="87">
        <v>80</v>
      </c>
      <c r="J11" s="87">
        <v>60</v>
      </c>
      <c r="K11" s="87">
        <v>100</v>
      </c>
      <c r="L11" s="87">
        <v>80</v>
      </c>
      <c r="M11" s="87">
        <v>80</v>
      </c>
      <c r="N11" s="87">
        <v>150</v>
      </c>
      <c r="O11" s="87">
        <v>100</v>
      </c>
      <c r="P11" s="87">
        <v>100</v>
      </c>
      <c r="Q11" s="87">
        <v>120</v>
      </c>
      <c r="R11" s="87">
        <v>150</v>
      </c>
      <c r="S11" s="87">
        <v>200</v>
      </c>
      <c r="T11" s="87">
        <v>250</v>
      </c>
      <c r="U11" s="87">
        <v>200</v>
      </c>
      <c r="V11" s="87">
        <v>150</v>
      </c>
      <c r="W11" s="87">
        <v>250</v>
      </c>
      <c r="X11" s="87">
        <v>200</v>
      </c>
      <c r="Y11" s="87">
        <v>200</v>
      </c>
      <c r="Z11" s="87">
        <v>300</v>
      </c>
      <c r="AA11" s="87">
        <v>250</v>
      </c>
      <c r="AB11" s="87">
        <v>200</v>
      </c>
      <c r="AC11" s="87">
        <v>220</v>
      </c>
      <c r="AD11" s="87">
        <v>250</v>
      </c>
      <c r="AE11" s="87">
        <v>300</v>
      </c>
      <c r="AF11" s="87">
        <v>350</v>
      </c>
      <c r="AG11" s="87">
        <v>300</v>
      </c>
      <c r="AH11" s="87">
        <v>250</v>
      </c>
      <c r="AI11" s="87">
        <v>350</v>
      </c>
      <c r="AJ11" s="87">
        <v>300</v>
      </c>
      <c r="AK11" s="87">
        <v>300</v>
      </c>
      <c r="AL11" s="87">
        <v>450</v>
      </c>
      <c r="AM11" s="87">
        <v>350</v>
      </c>
      <c r="AN11" s="87">
        <v>300</v>
      </c>
      <c r="AO11" s="87">
        <v>320</v>
      </c>
      <c r="AP11" s="87">
        <v>380</v>
      </c>
      <c r="AQ11" s="87">
        <v>450</v>
      </c>
      <c r="AR11" s="87">
        <v>500</v>
      </c>
      <c r="AS11" s="87">
        <v>450</v>
      </c>
      <c r="AT11" s="87">
        <v>400</v>
      </c>
      <c r="AU11" s="87">
        <v>500</v>
      </c>
      <c r="AV11" s="87">
        <v>450</v>
      </c>
      <c r="AW11" s="87">
        <v>450</v>
      </c>
      <c r="AX11" s="87">
        <v>650</v>
      </c>
      <c r="AY11" s="87">
        <v>500</v>
      </c>
      <c r="AZ11" s="87">
        <v>450</v>
      </c>
      <c r="BA11" s="87">
        <v>480</v>
      </c>
      <c r="BB11" s="87">
        <v>550</v>
      </c>
      <c r="BC11" s="87">
        <v>650</v>
      </c>
      <c r="BD11" s="87">
        <v>750</v>
      </c>
      <c r="BE11" s="87">
        <v>650</v>
      </c>
      <c r="BF11" s="87">
        <v>550</v>
      </c>
      <c r="BG11" s="87">
        <v>750</v>
      </c>
      <c r="BH11" s="87">
        <v>650</v>
      </c>
      <c r="BI11" s="87">
        <v>650</v>
      </c>
      <c r="BJ11" s="87">
        <v>950</v>
      </c>
      <c r="BK11" s="70">
        <v>954</v>
      </c>
    </row>
    <row r="12" spans="2:63" x14ac:dyDescent="0.2">
      <c r="B12" s="46" t="str">
        <f>Config!$B$17</f>
        <v>Vente d'abonnement annuel (360 Shots)</v>
      </c>
      <c r="C12" s="87">
        <v>0</v>
      </c>
      <c r="D12" s="87">
        <v>0</v>
      </c>
      <c r="E12" s="87">
        <v>0</v>
      </c>
      <c r="F12" s="87">
        <v>1</v>
      </c>
      <c r="G12" s="87">
        <v>1</v>
      </c>
      <c r="H12" s="87">
        <v>2</v>
      </c>
      <c r="I12" s="87">
        <v>1</v>
      </c>
      <c r="J12" s="87">
        <v>0</v>
      </c>
      <c r="K12" s="87">
        <v>3</v>
      </c>
      <c r="L12" s="87">
        <v>2</v>
      </c>
      <c r="M12" s="87">
        <v>2</v>
      </c>
      <c r="N12" s="87">
        <v>5</v>
      </c>
      <c r="O12" s="87">
        <v>3</v>
      </c>
      <c r="P12" s="87">
        <v>2</v>
      </c>
      <c r="Q12" s="87">
        <v>2</v>
      </c>
      <c r="R12" s="87">
        <v>3</v>
      </c>
      <c r="S12" s="87">
        <v>4</v>
      </c>
      <c r="T12" s="87">
        <v>5</v>
      </c>
      <c r="U12" s="87">
        <v>3</v>
      </c>
      <c r="V12" s="87">
        <v>2</v>
      </c>
      <c r="W12" s="87">
        <v>6</v>
      </c>
      <c r="X12" s="87">
        <v>4</v>
      </c>
      <c r="Y12" s="87">
        <v>4</v>
      </c>
      <c r="Z12" s="87">
        <v>10</v>
      </c>
      <c r="AA12" s="87">
        <v>5</v>
      </c>
      <c r="AB12" s="87">
        <v>3</v>
      </c>
      <c r="AC12" s="87">
        <v>4</v>
      </c>
      <c r="AD12" s="87">
        <v>5</v>
      </c>
      <c r="AE12" s="87">
        <v>6</v>
      </c>
      <c r="AF12" s="87">
        <v>7</v>
      </c>
      <c r="AG12" s="87">
        <v>5</v>
      </c>
      <c r="AH12" s="87">
        <v>4</v>
      </c>
      <c r="AI12" s="87">
        <v>8</v>
      </c>
      <c r="AJ12" s="87">
        <v>6</v>
      </c>
      <c r="AK12" s="87">
        <v>6</v>
      </c>
      <c r="AL12" s="87">
        <v>15</v>
      </c>
      <c r="AM12" s="87">
        <v>8</v>
      </c>
      <c r="AN12" s="87">
        <v>5</v>
      </c>
      <c r="AO12" s="87">
        <v>6</v>
      </c>
      <c r="AP12" s="87">
        <v>8</v>
      </c>
      <c r="AQ12" s="87">
        <v>10</v>
      </c>
      <c r="AR12" s="87">
        <v>12</v>
      </c>
      <c r="AS12" s="87">
        <v>8</v>
      </c>
      <c r="AT12" s="87">
        <v>6</v>
      </c>
      <c r="AU12" s="87">
        <v>12</v>
      </c>
      <c r="AV12" s="87">
        <v>9</v>
      </c>
      <c r="AW12" s="87">
        <v>9</v>
      </c>
      <c r="AX12" s="87">
        <v>20</v>
      </c>
      <c r="AY12" s="87">
        <v>12</v>
      </c>
      <c r="AZ12" s="87">
        <v>8</v>
      </c>
      <c r="BA12" s="87">
        <v>10</v>
      </c>
      <c r="BB12" s="87">
        <v>12</v>
      </c>
      <c r="BC12" s="87">
        <v>15</v>
      </c>
      <c r="BD12" s="87">
        <v>18</v>
      </c>
      <c r="BE12" s="87">
        <v>12</v>
      </c>
      <c r="BF12" s="87">
        <v>10</v>
      </c>
      <c r="BG12" s="87">
        <v>20</v>
      </c>
      <c r="BH12" s="87">
        <v>15</v>
      </c>
      <c r="BI12" s="87">
        <v>15</v>
      </c>
      <c r="BJ12" s="87">
        <v>30</v>
      </c>
      <c r="BK12" s="70">
        <v>30</v>
      </c>
    </row>
    <row r="13" spans="2:63" x14ac:dyDescent="0.2">
      <c r="B13" s="46">
        <f>Config!$B$18</f>
        <v>0</v>
      </c>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70"/>
    </row>
    <row r="14" spans="2:63" x14ac:dyDescent="0.2">
      <c r="B14" s="46">
        <f>Config!$B$19</f>
        <v>0</v>
      </c>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70"/>
    </row>
    <row r="15" spans="2:63" x14ac:dyDescent="0.2">
      <c r="B15" s="46">
        <f>Config!$B$20</f>
        <v>0</v>
      </c>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70"/>
    </row>
    <row r="16" spans="2:63" x14ac:dyDescent="0.2">
      <c r="B16" s="46">
        <f>Config!$B$21</f>
        <v>0</v>
      </c>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70"/>
    </row>
    <row r="17" spans="2:63" x14ac:dyDescent="0.2">
      <c r="B17" s="46">
        <f>Config!$B$22</f>
        <v>0</v>
      </c>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70"/>
    </row>
    <row r="18" spans="2:63" x14ac:dyDescent="0.2">
      <c r="B18" s="46">
        <f>Config!$B$23</f>
        <v>0</v>
      </c>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70"/>
    </row>
    <row r="19" spans="2:63" x14ac:dyDescent="0.2">
      <c r="B19" s="46">
        <f>Config!$B$24</f>
        <v>0</v>
      </c>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70"/>
    </row>
    <row r="20" spans="2:63" x14ac:dyDescent="0.2">
      <c r="B20" s="46">
        <f>Config!$B$25</f>
        <v>0</v>
      </c>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70"/>
    </row>
    <row r="21" spans="2:63" x14ac:dyDescent="0.2">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row>
  </sheetData>
  <mergeCells count="7">
    <mergeCell ref="AM7:AX7"/>
    <mergeCell ref="AA7:AL7"/>
    <mergeCell ref="AY7:BJ7"/>
    <mergeCell ref="B5:O5"/>
    <mergeCell ref="B2:B3"/>
    <mergeCell ref="O7:Z7"/>
    <mergeCell ref="C7:N7"/>
  </mergeCells>
  <pageMargins left="0.7" right="0.7" top="0.75" bottom="0.75" header="0.3" footer="0.3"/>
  <pageSetup paperSize="9" orientation="portrait"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4">
    <tabColor theme="3" tint="0.79998168889431442"/>
  </sheetPr>
  <dimension ref="B2:BK75"/>
  <sheetViews>
    <sheetView showGridLines="0" showRowColHeaders="0" zoomScale="85" zoomScaleNormal="85" workbookViewId="0">
      <pane xSplit="2" ySplit="10" topLeftCell="C41" activePane="bottomRight" state="frozen"/>
      <selection pane="topRight" activeCell="D1" sqref="D1"/>
      <selection pane="bottomLeft" activeCell="A11" sqref="A11"/>
      <selection pane="bottomRight" activeCell="C50" sqref="C50"/>
    </sheetView>
  </sheetViews>
  <sheetFormatPr baseColWidth="10" defaultColWidth="11.5" defaultRowHeight="15" x14ac:dyDescent="0.2"/>
  <cols>
    <col min="1" max="1" width="3" customWidth="1"/>
    <col min="2" max="2" width="42.1640625" customWidth="1"/>
    <col min="63" max="63" width="3.1640625" customWidth="1"/>
  </cols>
  <sheetData>
    <row r="2" spans="2:63" x14ac:dyDescent="0.2">
      <c r="B2" s="172" t="s">
        <v>128</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row>
    <row r="3" spans="2:63" x14ac:dyDescent="0.2">
      <c r="B3" s="169"/>
      <c r="C3" s="85"/>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row>
    <row r="4" spans="2:63" x14ac:dyDescent="0.2">
      <c r="B4" s="96"/>
      <c r="C4" s="85"/>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row>
    <row r="5" spans="2:63" x14ac:dyDescent="0.2">
      <c r="B5" s="184" t="s">
        <v>129</v>
      </c>
      <c r="C5" s="157"/>
      <c r="D5" s="157"/>
      <c r="E5" s="157"/>
      <c r="F5" s="157"/>
      <c r="G5" s="157"/>
      <c r="H5" s="157"/>
      <c r="I5" s="157"/>
      <c r="J5" s="157"/>
      <c r="K5" s="157"/>
      <c r="L5" s="157"/>
      <c r="M5" s="157"/>
      <c r="N5" s="157"/>
      <c r="O5" s="158"/>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row>
    <row r="6" spans="2:63" x14ac:dyDescent="0.2">
      <c r="B6" s="96"/>
      <c r="C6" s="85"/>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row>
    <row r="7" spans="2:63" x14ac:dyDescent="0.2">
      <c r="B7" s="86"/>
      <c r="C7" s="174" t="s">
        <v>77</v>
      </c>
      <c r="D7" s="157"/>
      <c r="E7" s="157"/>
      <c r="F7" s="157"/>
      <c r="G7" s="157"/>
      <c r="H7" s="157"/>
      <c r="I7" s="157"/>
      <c r="J7" s="157"/>
      <c r="K7" s="157"/>
      <c r="L7" s="157"/>
      <c r="M7" s="157"/>
      <c r="N7" s="158"/>
      <c r="O7" s="174" t="s">
        <v>78</v>
      </c>
      <c r="P7" s="157"/>
      <c r="Q7" s="157"/>
      <c r="R7" s="157"/>
      <c r="S7" s="157"/>
      <c r="T7" s="157"/>
      <c r="U7" s="157"/>
      <c r="V7" s="157"/>
      <c r="W7" s="157"/>
      <c r="X7" s="157"/>
      <c r="Y7" s="157"/>
      <c r="Z7" s="158"/>
      <c r="AA7" s="174" t="s">
        <v>79</v>
      </c>
      <c r="AB7" s="157"/>
      <c r="AC7" s="157"/>
      <c r="AD7" s="157"/>
      <c r="AE7" s="157"/>
      <c r="AF7" s="157"/>
      <c r="AG7" s="157"/>
      <c r="AH7" s="157"/>
      <c r="AI7" s="157"/>
      <c r="AJ7" s="157"/>
      <c r="AK7" s="157"/>
      <c r="AL7" s="158"/>
      <c r="AM7" s="174" t="s">
        <v>80</v>
      </c>
      <c r="AN7" s="157"/>
      <c r="AO7" s="157"/>
      <c r="AP7" s="157"/>
      <c r="AQ7" s="157"/>
      <c r="AR7" s="157"/>
      <c r="AS7" s="157"/>
      <c r="AT7" s="157"/>
      <c r="AU7" s="157"/>
      <c r="AV7" s="157"/>
      <c r="AW7" s="157"/>
      <c r="AX7" s="158"/>
      <c r="AY7" s="174" t="s">
        <v>81</v>
      </c>
      <c r="AZ7" s="157"/>
      <c r="BA7" s="157"/>
      <c r="BB7" s="157"/>
      <c r="BC7" s="157"/>
      <c r="BD7" s="157"/>
      <c r="BE7" s="157"/>
      <c r="BF7" s="157"/>
      <c r="BG7" s="157"/>
      <c r="BH7" s="157"/>
      <c r="BI7" s="157"/>
      <c r="BJ7" s="158"/>
      <c r="BK7" s="70"/>
    </row>
    <row r="8" spans="2:63" x14ac:dyDescent="0.2">
      <c r="B8" s="70"/>
      <c r="C8" s="55">
        <f>Config!$C$7</f>
        <v>46388</v>
      </c>
      <c r="D8" s="55">
        <f t="shared" ref="D8:AI8" si="0">DATE(YEAR(C8),MONTH(C8)+1,DAY(C8))</f>
        <v>46419</v>
      </c>
      <c r="E8" s="55">
        <f t="shared" si="0"/>
        <v>46447</v>
      </c>
      <c r="F8" s="55">
        <f t="shared" si="0"/>
        <v>46478</v>
      </c>
      <c r="G8" s="55">
        <f t="shared" si="0"/>
        <v>46508</v>
      </c>
      <c r="H8" s="55">
        <f t="shared" si="0"/>
        <v>46539</v>
      </c>
      <c r="I8" s="55">
        <f t="shared" si="0"/>
        <v>46569</v>
      </c>
      <c r="J8" s="55">
        <f t="shared" si="0"/>
        <v>46600</v>
      </c>
      <c r="K8" s="55">
        <f t="shared" si="0"/>
        <v>46631</v>
      </c>
      <c r="L8" s="55">
        <f t="shared" si="0"/>
        <v>46661</v>
      </c>
      <c r="M8" s="55">
        <f t="shared" si="0"/>
        <v>46692</v>
      </c>
      <c r="N8" s="55">
        <f t="shared" si="0"/>
        <v>46722</v>
      </c>
      <c r="O8" s="55">
        <f t="shared" si="0"/>
        <v>46753</v>
      </c>
      <c r="P8" s="55">
        <f t="shared" si="0"/>
        <v>46784</v>
      </c>
      <c r="Q8" s="55">
        <f t="shared" si="0"/>
        <v>46813</v>
      </c>
      <c r="R8" s="55">
        <f t="shared" si="0"/>
        <v>46844</v>
      </c>
      <c r="S8" s="55">
        <f t="shared" si="0"/>
        <v>46874</v>
      </c>
      <c r="T8" s="55">
        <f t="shared" si="0"/>
        <v>46905</v>
      </c>
      <c r="U8" s="55">
        <f t="shared" si="0"/>
        <v>46935</v>
      </c>
      <c r="V8" s="55">
        <f t="shared" si="0"/>
        <v>46966</v>
      </c>
      <c r="W8" s="55">
        <f t="shared" si="0"/>
        <v>46997</v>
      </c>
      <c r="X8" s="55">
        <f t="shared" si="0"/>
        <v>47027</v>
      </c>
      <c r="Y8" s="55">
        <f t="shared" si="0"/>
        <v>47058</v>
      </c>
      <c r="Z8" s="55">
        <f t="shared" si="0"/>
        <v>47088</v>
      </c>
      <c r="AA8" s="55">
        <f t="shared" si="0"/>
        <v>47119</v>
      </c>
      <c r="AB8" s="55">
        <f t="shared" si="0"/>
        <v>47150</v>
      </c>
      <c r="AC8" s="55">
        <f t="shared" si="0"/>
        <v>47178</v>
      </c>
      <c r="AD8" s="55">
        <f t="shared" si="0"/>
        <v>47209</v>
      </c>
      <c r="AE8" s="55">
        <f t="shared" si="0"/>
        <v>47239</v>
      </c>
      <c r="AF8" s="55">
        <f t="shared" si="0"/>
        <v>47270</v>
      </c>
      <c r="AG8" s="55">
        <f t="shared" si="0"/>
        <v>47300</v>
      </c>
      <c r="AH8" s="55">
        <f t="shared" si="0"/>
        <v>47331</v>
      </c>
      <c r="AI8" s="55">
        <f t="shared" si="0"/>
        <v>47362</v>
      </c>
      <c r="AJ8" s="55">
        <f t="shared" ref="AJ8:BJ8" si="1">DATE(YEAR(AI8),MONTH(AI8)+1,DAY(AI8))</f>
        <v>47392</v>
      </c>
      <c r="AK8" s="55">
        <f t="shared" si="1"/>
        <v>47423</v>
      </c>
      <c r="AL8" s="55">
        <f t="shared" si="1"/>
        <v>47453</v>
      </c>
      <c r="AM8" s="55">
        <f t="shared" si="1"/>
        <v>47484</v>
      </c>
      <c r="AN8" s="55">
        <f t="shared" si="1"/>
        <v>47515</v>
      </c>
      <c r="AO8" s="55">
        <f t="shared" si="1"/>
        <v>47543</v>
      </c>
      <c r="AP8" s="55">
        <f t="shared" si="1"/>
        <v>47574</v>
      </c>
      <c r="AQ8" s="55">
        <f t="shared" si="1"/>
        <v>47604</v>
      </c>
      <c r="AR8" s="55">
        <f t="shared" si="1"/>
        <v>47635</v>
      </c>
      <c r="AS8" s="55">
        <f t="shared" si="1"/>
        <v>47665</v>
      </c>
      <c r="AT8" s="55">
        <f t="shared" si="1"/>
        <v>47696</v>
      </c>
      <c r="AU8" s="55">
        <f t="shared" si="1"/>
        <v>47727</v>
      </c>
      <c r="AV8" s="55">
        <f t="shared" si="1"/>
        <v>47757</v>
      </c>
      <c r="AW8" s="55">
        <f t="shared" si="1"/>
        <v>47788</v>
      </c>
      <c r="AX8" s="55">
        <f t="shared" si="1"/>
        <v>47818</v>
      </c>
      <c r="AY8" s="55">
        <f t="shared" si="1"/>
        <v>47849</v>
      </c>
      <c r="AZ8" s="55">
        <f t="shared" si="1"/>
        <v>47880</v>
      </c>
      <c r="BA8" s="55">
        <f t="shared" si="1"/>
        <v>47908</v>
      </c>
      <c r="BB8" s="55">
        <f t="shared" si="1"/>
        <v>47939</v>
      </c>
      <c r="BC8" s="55">
        <f t="shared" si="1"/>
        <v>47969</v>
      </c>
      <c r="BD8" s="55">
        <f t="shared" si="1"/>
        <v>48000</v>
      </c>
      <c r="BE8" s="55">
        <f t="shared" si="1"/>
        <v>48030</v>
      </c>
      <c r="BF8" s="55">
        <f t="shared" si="1"/>
        <v>48061</v>
      </c>
      <c r="BG8" s="55">
        <f t="shared" si="1"/>
        <v>48092</v>
      </c>
      <c r="BH8" s="55">
        <f t="shared" si="1"/>
        <v>48122</v>
      </c>
      <c r="BI8" s="55">
        <f t="shared" si="1"/>
        <v>48153</v>
      </c>
      <c r="BJ8" s="55">
        <f t="shared" si="1"/>
        <v>48183</v>
      </c>
      <c r="BK8" s="70"/>
    </row>
    <row r="9" spans="2:63" x14ac:dyDescent="0.2">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row>
    <row r="10" spans="2:63" x14ac:dyDescent="0.2">
      <c r="B10" s="143" t="s">
        <v>130</v>
      </c>
      <c r="C10" s="79">
        <v>0</v>
      </c>
      <c r="D10" s="83">
        <f t="shared" ref="D10:AI10" si="2">C71</f>
        <v>-3646.4897777777805</v>
      </c>
      <c r="E10" s="83">
        <f t="shared" si="2"/>
        <v>85953.563644444439</v>
      </c>
      <c r="F10" s="83">
        <f t="shared" si="2"/>
        <v>67449.785066666664</v>
      </c>
      <c r="G10" s="83">
        <f t="shared" si="2"/>
        <v>53307.905988888888</v>
      </c>
      <c r="H10" s="83">
        <f t="shared" si="2"/>
        <v>42905.486411111109</v>
      </c>
      <c r="I10" s="83">
        <f t="shared" si="2"/>
        <v>35092.271833333332</v>
      </c>
      <c r="J10" s="83">
        <f t="shared" si="2"/>
        <v>24164.176255555554</v>
      </c>
      <c r="K10" s="83">
        <f t="shared" si="2"/>
        <v>11219.060677777787</v>
      </c>
      <c r="L10" s="83">
        <f t="shared" si="2"/>
        <v>12754.700100000016</v>
      </c>
      <c r="M10" s="83">
        <f t="shared" si="2"/>
        <v>8844.9525222222292</v>
      </c>
      <c r="N10" s="83">
        <f t="shared" si="2"/>
        <v>8084.9214444444515</v>
      </c>
      <c r="O10" s="83">
        <f t="shared" si="2"/>
        <v>16784.036366666682</v>
      </c>
      <c r="P10" s="83">
        <f t="shared" si="2"/>
        <v>7757.1902858333415</v>
      </c>
      <c r="Q10" s="83">
        <f t="shared" si="2"/>
        <v>2527.0281383333349</v>
      </c>
      <c r="R10" s="83">
        <f t="shared" si="2"/>
        <v>-16461.772509166687</v>
      </c>
      <c r="S10" s="83">
        <f t="shared" si="2"/>
        <v>-8331.0071566666957</v>
      </c>
      <c r="T10" s="83">
        <f t="shared" si="2"/>
        <v>2609.3281958332955</v>
      </c>
      <c r="U10" s="83">
        <f t="shared" si="2"/>
        <v>9381.8102149999468</v>
      </c>
      <c r="V10" s="83">
        <f t="shared" si="2"/>
        <v>18053.550734166609</v>
      </c>
      <c r="W10" s="83">
        <f t="shared" si="2"/>
        <v>24945.742753333267</v>
      </c>
      <c r="X10" s="83">
        <f t="shared" si="2"/>
        <v>48893.69310583327</v>
      </c>
      <c r="Y10" s="83">
        <f t="shared" si="2"/>
        <v>63226.939958333256</v>
      </c>
      <c r="Z10" s="83">
        <f t="shared" si="2"/>
        <v>83156.393310833242</v>
      </c>
      <c r="AA10" s="83">
        <f t="shared" si="2"/>
        <v>117409.68366333323</v>
      </c>
      <c r="AB10" s="83">
        <f t="shared" si="2"/>
        <v>107908.80232249988</v>
      </c>
      <c r="AC10" s="83">
        <f t="shared" si="2"/>
        <v>121000.44628166653</v>
      </c>
      <c r="AD10" s="83">
        <f t="shared" si="2"/>
        <v>137250.23824083322</v>
      </c>
      <c r="AE10" s="83">
        <f t="shared" si="2"/>
        <v>159016.72169999988</v>
      </c>
      <c r="AF10" s="83">
        <f t="shared" si="2"/>
        <v>188394.44515916656</v>
      </c>
      <c r="AG10" s="83">
        <f t="shared" si="2"/>
        <v>222731.64861833322</v>
      </c>
      <c r="AH10" s="83">
        <f t="shared" si="2"/>
        <v>247772.20257749985</v>
      </c>
      <c r="AI10" s="83">
        <f t="shared" si="2"/>
        <v>272675.04803666653</v>
      </c>
      <c r="AJ10" s="83">
        <f t="shared" ref="AJ10:BJ10" si="3">AI71</f>
        <v>320096.66249583318</v>
      </c>
      <c r="AK10" s="83">
        <f t="shared" si="3"/>
        <v>354432.88745499984</v>
      </c>
      <c r="AL10" s="83">
        <f t="shared" si="3"/>
        <v>395510.50891416648</v>
      </c>
      <c r="AM10" s="83">
        <f t="shared" si="3"/>
        <v>460239.5883733331</v>
      </c>
      <c r="AN10" s="83">
        <f t="shared" si="3"/>
        <v>486685.32789624983</v>
      </c>
      <c r="AO10" s="83">
        <f t="shared" si="3"/>
        <v>511690.85006916645</v>
      </c>
      <c r="AP10" s="83">
        <f t="shared" si="3"/>
        <v>419576.45248828968</v>
      </c>
      <c r="AQ10" s="83">
        <f t="shared" si="3"/>
        <v>465513.00966120639</v>
      </c>
      <c r="AR10" s="83">
        <f t="shared" si="3"/>
        <v>521039.6133341231</v>
      </c>
      <c r="AS10" s="83">
        <f t="shared" si="3"/>
        <v>559597.24895628111</v>
      </c>
      <c r="AT10" s="83">
        <f t="shared" si="3"/>
        <v>612349.94262919773</v>
      </c>
      <c r="AU10" s="83">
        <f t="shared" si="3"/>
        <v>663818.23530211439</v>
      </c>
      <c r="AV10" s="83">
        <f t="shared" si="3"/>
        <v>725613.21142427239</v>
      </c>
      <c r="AW10" s="83">
        <f t="shared" si="3"/>
        <v>794691.02959718904</v>
      </c>
      <c r="AX10" s="83">
        <f t="shared" si="3"/>
        <v>875154.88377010578</v>
      </c>
      <c r="AY10" s="83">
        <f t="shared" si="3"/>
        <v>964923.76739226375</v>
      </c>
      <c r="AZ10" s="83">
        <f t="shared" si="3"/>
        <v>1021436.5246287639</v>
      </c>
      <c r="BA10" s="83">
        <f t="shared" si="3"/>
        <v>1077268.8412319305</v>
      </c>
      <c r="BB10" s="83">
        <f t="shared" si="3"/>
        <v>973311.31591605744</v>
      </c>
      <c r="BC10" s="83">
        <f t="shared" si="3"/>
        <v>1023718.1915192242</v>
      </c>
      <c r="BD10" s="83">
        <f t="shared" si="3"/>
        <v>1134550.0621223908</v>
      </c>
      <c r="BE10" s="83">
        <f t="shared" si="3"/>
        <v>1192441.6603011428</v>
      </c>
      <c r="BF10" s="83">
        <f t="shared" si="3"/>
        <v>1291044.3004043095</v>
      </c>
      <c r="BG10" s="83">
        <f t="shared" si="3"/>
        <v>1386178.1485074761</v>
      </c>
      <c r="BH10" s="83">
        <f t="shared" si="3"/>
        <v>1484409.7481862279</v>
      </c>
      <c r="BI10" s="83">
        <f t="shared" si="3"/>
        <v>1606339.1477893947</v>
      </c>
      <c r="BJ10" s="83">
        <f t="shared" si="3"/>
        <v>1746395.9798925614</v>
      </c>
      <c r="BK10" s="70"/>
    </row>
    <row r="11" spans="2:63" x14ac:dyDescent="0.2">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row>
    <row r="12" spans="2:63" x14ac:dyDescent="0.2">
      <c r="B12" s="183" t="s">
        <v>131</v>
      </c>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8"/>
      <c r="BK12" s="70"/>
    </row>
    <row r="13" spans="2:63" x14ac:dyDescent="0.2">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row>
    <row r="14" spans="2:63" x14ac:dyDescent="0.2">
      <c r="B14" s="183" t="s">
        <v>132</v>
      </c>
      <c r="C14" s="157"/>
      <c r="D14" s="157"/>
      <c r="E14" s="157"/>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8"/>
      <c r="BK14" s="70"/>
    </row>
    <row r="15" spans="2:63" x14ac:dyDescent="0.2">
      <c r="B15" s="93" t="s">
        <v>133</v>
      </c>
      <c r="C15" s="67">
        <f>'Commandes - Calculs auto'!C22</f>
        <v>1739.4</v>
      </c>
      <c r="D15" s="67">
        <f>'Commandes - Calculs auto'!D22</f>
        <v>3618.0999999999995</v>
      </c>
      <c r="E15" s="67">
        <f>'Commandes - Calculs auto'!E22</f>
        <v>6249.4000000000005</v>
      </c>
      <c r="F15" s="67">
        <f>'Commandes - Calculs auto'!F22</f>
        <v>11336.6</v>
      </c>
      <c r="G15" s="67">
        <f>'Commandes - Calculs auto'!G22</f>
        <v>16881.7</v>
      </c>
      <c r="H15" s="67">
        <f>'Commandes - Calculs auto'!H22</f>
        <v>21862.799999999999</v>
      </c>
      <c r="I15" s="67">
        <f>'Commandes - Calculs auto'!I22</f>
        <v>21099.7</v>
      </c>
      <c r="J15" s="67">
        <f>'Commandes - Calculs auto'!J22</f>
        <v>18682.600000000002</v>
      </c>
      <c r="K15" s="67">
        <f>'Commandes - Calculs auto'!K22</f>
        <v>30976.5</v>
      </c>
      <c r="L15" s="67">
        <f>'Commandes - Calculs auto'!L22</f>
        <v>31056.999999999996</v>
      </c>
      <c r="M15" s="67">
        <f>'Commandes - Calculs auto'!M22</f>
        <v>33587.800000000003</v>
      </c>
      <c r="N15" s="67">
        <f>'Commandes - Calculs auto'!N22</f>
        <v>44355.8</v>
      </c>
      <c r="O15" s="67">
        <f>'Commandes - Calculs auto'!O22</f>
        <v>42753.7</v>
      </c>
      <c r="P15" s="67">
        <f>'Commandes - Calculs auto'!P22</f>
        <v>42919.600000000006</v>
      </c>
      <c r="Q15" s="67">
        <f>'Commandes - Calculs auto'!Q22</f>
        <v>47189.8</v>
      </c>
      <c r="R15" s="67">
        <f>'Commandes - Calculs auto'!R22</f>
        <v>54711.199999999997</v>
      </c>
      <c r="S15" s="67">
        <f>'Commandes - Calculs auto'!S22</f>
        <v>63161.599999999999</v>
      </c>
      <c r="T15" s="67">
        <f>'Commandes - Calculs auto'!T22</f>
        <v>69958</v>
      </c>
      <c r="U15" s="67">
        <f>'Commandes - Calculs auto'!U22</f>
        <v>68389.099999999991</v>
      </c>
      <c r="V15" s="67">
        <f>'Commandes - Calculs auto'!V22</f>
        <v>66687.5</v>
      </c>
      <c r="W15" s="67">
        <f>'Commandes - Calculs auto'!W22</f>
        <v>86630.9</v>
      </c>
      <c r="X15" s="67">
        <f>'Commandes - Calculs auto'!X22</f>
        <v>85905.600000000006</v>
      </c>
      <c r="Y15" s="67">
        <f>'Commandes - Calculs auto'!Y22</f>
        <v>90123.6</v>
      </c>
      <c r="Z15" s="67">
        <f>'Commandes - Calculs auto'!Z22</f>
        <v>105650</v>
      </c>
      <c r="AA15" s="67">
        <f>'Commandes - Calculs auto'!AA22</f>
        <v>106100</v>
      </c>
      <c r="AB15" s="67">
        <f>'Commandes - Calculs auto'!AB22</f>
        <v>103687.5</v>
      </c>
      <c r="AC15" s="67">
        <f>'Commandes - Calculs auto'!AC22</f>
        <v>108668.6</v>
      </c>
      <c r="AD15" s="67">
        <f>'Commandes - Calculs auto'!AD22</f>
        <v>116190</v>
      </c>
      <c r="AE15" s="67">
        <f>'Commandes - Calculs auto'!AE22</f>
        <v>126294.39999999999</v>
      </c>
      <c r="AF15" s="67">
        <f>'Commandes - Calculs auto'!AF22</f>
        <v>134744.79999999999</v>
      </c>
      <c r="AG15" s="67">
        <f>'Commandes - Calculs auto'!AG22</f>
        <v>129024.3</v>
      </c>
      <c r="AH15" s="67">
        <f>'Commandes - Calculs auto'!AH22</f>
        <v>126479.1</v>
      </c>
      <c r="AI15" s="67">
        <f>'Commandes - Calculs auto'!AI22</f>
        <v>147199.70000000001</v>
      </c>
      <c r="AJ15" s="67">
        <f>'Commandes - Calculs auto'!AJ22</f>
        <v>143166.39999999999</v>
      </c>
      <c r="AK15" s="67">
        <f>'Commandes - Calculs auto'!AK22</f>
        <v>147384.4</v>
      </c>
      <c r="AL15" s="67">
        <f>'Commandes - Calculs auto'!AL22</f>
        <v>171873</v>
      </c>
      <c r="AM15" s="67">
        <f>'Commandes - Calculs auto'!AM22</f>
        <v>173995.7</v>
      </c>
      <c r="AN15" s="67">
        <f>'Commandes - Calculs auto'!AN22</f>
        <v>167564.29999999999</v>
      </c>
      <c r="AO15" s="67">
        <f>'Commandes - Calculs auto'!AO22</f>
        <v>175043</v>
      </c>
      <c r="AP15" s="67">
        <f>'Commandes - Calculs auto'!AP22</f>
        <v>188398.6</v>
      </c>
      <c r="AQ15" s="67">
        <f>'Commandes - Calculs auto'!AQ22</f>
        <v>202640.5</v>
      </c>
      <c r="AR15" s="67">
        <f>'Commandes - Calculs auto'!AR22</f>
        <v>216019.8</v>
      </c>
      <c r="AS15" s="67">
        <f>'Commandes - Calculs auto'!AS22</f>
        <v>210564.7</v>
      </c>
      <c r="AT15" s="67">
        <f>'Commandes - Calculs auto'!AT22</f>
        <v>206531.4</v>
      </c>
      <c r="AU15" s="67">
        <f>'Commandes - Calculs auto'!AU22</f>
        <v>239507.8</v>
      </c>
      <c r="AV15" s="67">
        <f>'Commandes - Calculs auto'!AV22</f>
        <v>235673.60000000001</v>
      </c>
      <c r="AW15" s="67">
        <f>'Commandes - Calculs auto'!AW22</f>
        <v>244109.6</v>
      </c>
      <c r="AX15" s="67">
        <f>'Commandes - Calculs auto'!AX22</f>
        <v>281067.5</v>
      </c>
      <c r="AY15" s="67">
        <f>'Commandes - Calculs auto'!AY22</f>
        <v>282265.8</v>
      </c>
      <c r="AZ15" s="67">
        <f>'Commandes - Calculs auto'!AZ22</f>
        <v>273502.7</v>
      </c>
      <c r="BA15" s="67">
        <f>'Commandes - Calculs auto'!BA22</f>
        <v>282578.59999999998</v>
      </c>
      <c r="BB15" s="67">
        <f>'Commandes - Calculs auto'!BB22</f>
        <v>269579.3</v>
      </c>
      <c r="BC15" s="67">
        <f>'Commandes - Calculs auto'!BC22</f>
        <v>323579</v>
      </c>
      <c r="BD15" s="67">
        <f>'Commandes - Calculs auto'!BD22</f>
        <v>345408.7</v>
      </c>
      <c r="BE15" s="67">
        <f>'Commandes - Calculs auto'!BE22</f>
        <v>339228.3</v>
      </c>
      <c r="BF15" s="67">
        <f>'Commandes - Calculs auto'!BF22</f>
        <v>332583.5</v>
      </c>
      <c r="BG15" s="67">
        <f>'Commandes - Calculs auto'!BG22</f>
        <v>386280.5</v>
      </c>
      <c r="BH15" s="67">
        <f>'Commandes - Calculs auto'!BH22</f>
        <v>378413</v>
      </c>
      <c r="BI15" s="67">
        <f>'Commandes - Calculs auto'!BI22</f>
        <v>391067</v>
      </c>
      <c r="BJ15" s="67">
        <f>'Commandes - Calculs auto'!BJ22</f>
        <v>452963.5</v>
      </c>
      <c r="BK15" s="70"/>
    </row>
    <row r="16" spans="2:63" x14ac:dyDescent="0.2">
      <c r="B16" s="93" t="s">
        <v>134</v>
      </c>
      <c r="C16" s="67">
        <f>TVA!C43</f>
        <v>95.667000000000002</v>
      </c>
      <c r="D16" s="67">
        <f>TVA!D43</f>
        <v>198.99549999999999</v>
      </c>
      <c r="E16" s="67">
        <f>TVA!E43</f>
        <v>343.71699999999998</v>
      </c>
      <c r="F16" s="67">
        <f>TVA!F43</f>
        <v>623.51300000000003</v>
      </c>
      <c r="G16" s="67">
        <f>TVA!G43</f>
        <v>928.49350000000004</v>
      </c>
      <c r="H16" s="67">
        <f>TVA!H43</f>
        <v>1202.454</v>
      </c>
      <c r="I16" s="67">
        <f>TVA!I43</f>
        <v>1160.4835</v>
      </c>
      <c r="J16" s="67">
        <f>TVA!J43</f>
        <v>1027.5429999999999</v>
      </c>
      <c r="K16" s="67">
        <f>TVA!K43</f>
        <v>1703.7075</v>
      </c>
      <c r="L16" s="67">
        <f>TVA!L43</f>
        <v>1708.135</v>
      </c>
      <c r="M16" s="67">
        <f>TVA!M43</f>
        <v>1847.3290000000002</v>
      </c>
      <c r="N16" s="67">
        <f>TVA!N43</f>
        <v>2439.569</v>
      </c>
      <c r="O16" s="67">
        <f>TVA!O43</f>
        <v>2351.4535000000001</v>
      </c>
      <c r="P16" s="67">
        <f>TVA!P43</f>
        <v>2360.5780000000004</v>
      </c>
      <c r="Q16" s="67">
        <f>TVA!Q43</f>
        <v>2595.4389999999999</v>
      </c>
      <c r="R16" s="67">
        <f>TVA!R43</f>
        <v>3009.116</v>
      </c>
      <c r="S16" s="67">
        <f>TVA!S43</f>
        <v>3473.8879999999995</v>
      </c>
      <c r="T16" s="67">
        <f>TVA!T43</f>
        <v>3847.69</v>
      </c>
      <c r="U16" s="67">
        <f>TVA!U43</f>
        <v>3761.4005000000002</v>
      </c>
      <c r="V16" s="67">
        <f>TVA!V43</f>
        <v>3667.8124999999995</v>
      </c>
      <c r="W16" s="67">
        <f>TVA!W43</f>
        <v>4764.6994999999988</v>
      </c>
      <c r="X16" s="67">
        <f>TVA!X43</f>
        <v>4724.8080000000009</v>
      </c>
      <c r="Y16" s="67">
        <f>TVA!Y43</f>
        <v>4956.7980000000007</v>
      </c>
      <c r="Z16" s="67">
        <f>TVA!Z43</f>
        <v>5810.75</v>
      </c>
      <c r="AA16" s="67">
        <f>TVA!AA43</f>
        <v>5835.5</v>
      </c>
      <c r="AB16" s="67">
        <f>TVA!AB43</f>
        <v>5702.8125</v>
      </c>
      <c r="AC16" s="67">
        <f>TVA!AC43</f>
        <v>5976.773000000001</v>
      </c>
      <c r="AD16" s="67">
        <f>TVA!AD43</f>
        <v>6390.4500000000007</v>
      </c>
      <c r="AE16" s="67">
        <f>TVA!AE43</f>
        <v>6946.192</v>
      </c>
      <c r="AF16" s="67">
        <f>TVA!AF43</f>
        <v>7410.9639999999999</v>
      </c>
      <c r="AG16" s="67">
        <f>TVA!AG43</f>
        <v>7096.3365000000003</v>
      </c>
      <c r="AH16" s="67">
        <f>TVA!AH43</f>
        <v>6956.3504999999996</v>
      </c>
      <c r="AI16" s="67">
        <f>TVA!AI43</f>
        <v>8095.9835000000003</v>
      </c>
      <c r="AJ16" s="67">
        <f>TVA!AJ43</f>
        <v>7874.152</v>
      </c>
      <c r="AK16" s="67">
        <f>TVA!AK43</f>
        <v>8106.1419999999998</v>
      </c>
      <c r="AL16" s="67">
        <f>TVA!AL43</f>
        <v>9453.0150000000012</v>
      </c>
      <c r="AM16" s="67">
        <f>TVA!AM43</f>
        <v>9569.7635000000009</v>
      </c>
      <c r="AN16" s="67">
        <f>TVA!AN43</f>
        <v>9216.0364999999983</v>
      </c>
      <c r="AO16" s="67">
        <f>TVA!AO43</f>
        <v>9627.3649999999998</v>
      </c>
      <c r="AP16" s="67">
        <f>TVA!AP43</f>
        <v>10361.923000000001</v>
      </c>
      <c r="AQ16" s="67">
        <f>TVA!AQ43</f>
        <v>11145.227500000001</v>
      </c>
      <c r="AR16" s="67">
        <f>TVA!AR43</f>
        <v>11881.089</v>
      </c>
      <c r="AS16" s="67">
        <f>TVA!AS43</f>
        <v>11581.058500000001</v>
      </c>
      <c r="AT16" s="67">
        <f>TVA!AT43</f>
        <v>11359.226999999999</v>
      </c>
      <c r="AU16" s="67">
        <f>TVA!AU43</f>
        <v>13172.928999999998</v>
      </c>
      <c r="AV16" s="67">
        <f>TVA!AV43</f>
        <v>12962.048000000003</v>
      </c>
      <c r="AW16" s="67">
        <f>TVA!AW43</f>
        <v>13426.028000000002</v>
      </c>
      <c r="AX16" s="67">
        <f>TVA!AX43</f>
        <v>15458.7125</v>
      </c>
      <c r="AY16" s="67">
        <f>TVA!AY43</f>
        <v>15524.618999999999</v>
      </c>
      <c r="AZ16" s="67">
        <f>TVA!AZ43</f>
        <v>15042.648499999999</v>
      </c>
      <c r="BA16" s="67">
        <f>TVA!BA43</f>
        <v>15541.823000000002</v>
      </c>
      <c r="BB16" s="67">
        <f>TVA!BB43</f>
        <v>14826.861499999999</v>
      </c>
      <c r="BC16" s="67">
        <f>TVA!BC43</f>
        <v>17796.845000000001</v>
      </c>
      <c r="BD16" s="67">
        <f>TVA!BD43</f>
        <v>18997.478500000001</v>
      </c>
      <c r="BE16" s="67">
        <f>TVA!BE43</f>
        <v>18657.556499999999</v>
      </c>
      <c r="BF16" s="67">
        <f>TVA!BF43</f>
        <v>18292.092499999999</v>
      </c>
      <c r="BG16" s="67">
        <f>TVA!BG43</f>
        <v>21245.427500000002</v>
      </c>
      <c r="BH16" s="67">
        <f>TVA!BH43</f>
        <v>20812.715</v>
      </c>
      <c r="BI16" s="67">
        <f>TVA!BI43</f>
        <v>21508.685000000001</v>
      </c>
      <c r="BJ16" s="67">
        <f>TVA!BJ43</f>
        <v>24912.9925</v>
      </c>
      <c r="BK16" s="70"/>
    </row>
    <row r="17" spans="2:63" x14ac:dyDescent="0.2">
      <c r="B17" s="93" t="s">
        <v>135</v>
      </c>
      <c r="C17" s="67"/>
      <c r="D17" s="67">
        <f t="shared" ref="D17:AI17" si="4">C48</f>
        <v>8577.3816999999999</v>
      </c>
      <c r="E17" s="67">
        <f t="shared" si="4"/>
        <v>2044.5817</v>
      </c>
      <c r="F17" s="67">
        <f t="shared" si="4"/>
        <v>2131.8067000000001</v>
      </c>
      <c r="G17" s="67">
        <f t="shared" si="4"/>
        <v>2255.4067</v>
      </c>
      <c r="H17" s="67">
        <f t="shared" si="4"/>
        <v>2510.3316999999997</v>
      </c>
      <c r="I17" s="67">
        <f t="shared" si="4"/>
        <v>2761.1316999999999</v>
      </c>
      <c r="J17" s="67">
        <f t="shared" si="4"/>
        <v>3026.7817</v>
      </c>
      <c r="K17" s="67">
        <f t="shared" si="4"/>
        <v>2997.3816999999999</v>
      </c>
      <c r="L17" s="67">
        <f t="shared" si="4"/>
        <v>2904.2316999999998</v>
      </c>
      <c r="M17" s="67">
        <f t="shared" si="4"/>
        <v>3525.2316999999998</v>
      </c>
      <c r="N17" s="67">
        <f t="shared" si="4"/>
        <v>3543.0816999999997</v>
      </c>
      <c r="O17" s="67">
        <f t="shared" si="4"/>
        <v>3684.8316999999997</v>
      </c>
      <c r="P17" s="67">
        <f t="shared" si="4"/>
        <v>6518.6006333333344</v>
      </c>
      <c r="Q17" s="67">
        <f t="shared" si="4"/>
        <v>6427.3256333333338</v>
      </c>
      <c r="R17" s="67">
        <f t="shared" si="4"/>
        <v>9448.6256333333349</v>
      </c>
      <c r="S17" s="67">
        <f t="shared" si="4"/>
        <v>6657.5756333333338</v>
      </c>
      <c r="T17" s="67">
        <f t="shared" si="4"/>
        <v>7035.9506333333338</v>
      </c>
      <c r="U17" s="67">
        <f t="shared" si="4"/>
        <v>8365.0256333333346</v>
      </c>
      <c r="V17" s="67">
        <f t="shared" si="4"/>
        <v>7830.3506333333344</v>
      </c>
      <c r="W17" s="67">
        <f t="shared" si="4"/>
        <v>7769.8256333333338</v>
      </c>
      <c r="X17" s="67">
        <f t="shared" si="4"/>
        <v>7718.7506333333349</v>
      </c>
      <c r="Y17" s="67">
        <f t="shared" si="4"/>
        <v>8723.3006333333342</v>
      </c>
      <c r="Z17" s="67">
        <f t="shared" si="4"/>
        <v>8710.0256333333346</v>
      </c>
      <c r="AA17" s="67">
        <f t="shared" si="4"/>
        <v>8946.2756333333346</v>
      </c>
      <c r="AB17" s="67">
        <f t="shared" si="4"/>
        <v>15680.363433333334</v>
      </c>
      <c r="AC17" s="67">
        <f t="shared" si="4"/>
        <v>12624.488433333334</v>
      </c>
      <c r="AD17" s="67">
        <f t="shared" si="4"/>
        <v>12516.713433333334</v>
      </c>
      <c r="AE17" s="67">
        <f t="shared" si="4"/>
        <v>12782.363433333334</v>
      </c>
      <c r="AF17" s="67">
        <f t="shared" si="4"/>
        <v>13160.738433333334</v>
      </c>
      <c r="AG17" s="67">
        <f t="shared" si="4"/>
        <v>13653.563433333333</v>
      </c>
      <c r="AH17" s="67">
        <f t="shared" si="4"/>
        <v>14082.638433333334</v>
      </c>
      <c r="AI17" s="67">
        <f t="shared" si="4"/>
        <v>13847.363433333334</v>
      </c>
      <c r="AJ17" s="67">
        <f t="shared" ref="AJ17:BJ17" si="5">AI48</f>
        <v>13749.038433333335</v>
      </c>
      <c r="AK17" s="67">
        <f t="shared" si="5"/>
        <v>14739.338433333334</v>
      </c>
      <c r="AL17" s="67">
        <f t="shared" si="5"/>
        <v>14598.563433333333</v>
      </c>
      <c r="AM17" s="67">
        <f t="shared" si="5"/>
        <v>14834.813433333333</v>
      </c>
      <c r="AN17" s="67">
        <f t="shared" si="5"/>
        <v>19910.071583333334</v>
      </c>
      <c r="AO17" s="67">
        <f t="shared" si="5"/>
        <v>19859.671583333336</v>
      </c>
      <c r="AP17" s="67">
        <f t="shared" si="5"/>
        <v>19567.696583333334</v>
      </c>
      <c r="AQ17" s="67">
        <f t="shared" si="5"/>
        <v>19944.346583333336</v>
      </c>
      <c r="AR17" s="67">
        <f t="shared" si="5"/>
        <v>20606.596583333332</v>
      </c>
      <c r="AS17" s="67">
        <f t="shared" si="5"/>
        <v>21317.821583333334</v>
      </c>
      <c r="AT17" s="67">
        <f t="shared" si="5"/>
        <v>22039.846583333332</v>
      </c>
      <c r="AU17" s="67">
        <f t="shared" si="5"/>
        <v>21785.671583333336</v>
      </c>
      <c r="AV17" s="67">
        <f t="shared" si="5"/>
        <v>21644.896583333335</v>
      </c>
      <c r="AW17" s="67">
        <f t="shared" si="5"/>
        <v>23239.846583333332</v>
      </c>
      <c r="AX17" s="67">
        <f t="shared" si="5"/>
        <v>23151.121583333334</v>
      </c>
      <c r="AY17" s="67">
        <f t="shared" si="5"/>
        <v>23623.621583333334</v>
      </c>
      <c r="AZ17" s="67">
        <f t="shared" si="5"/>
        <v>31366.932949999999</v>
      </c>
      <c r="BA17" s="67">
        <f t="shared" si="5"/>
        <v>31251.207949999996</v>
      </c>
      <c r="BB17" s="67">
        <f t="shared" si="5"/>
        <v>30869.532950000001</v>
      </c>
      <c r="BC17" s="67">
        <f t="shared" si="5"/>
        <v>31351.857949999998</v>
      </c>
      <c r="BD17" s="67">
        <f t="shared" si="5"/>
        <v>31057.332949999996</v>
      </c>
      <c r="BE17" s="67">
        <f t="shared" si="5"/>
        <v>33374.682950000002</v>
      </c>
      <c r="BF17" s="67">
        <f t="shared" si="5"/>
        <v>34525.782949999993</v>
      </c>
      <c r="BG17" s="67">
        <f t="shared" si="5"/>
        <v>34258.332949999996</v>
      </c>
      <c r="BH17" s="67">
        <f t="shared" si="5"/>
        <v>34090.182950000002</v>
      </c>
      <c r="BI17" s="67">
        <f t="shared" si="5"/>
        <v>36675.432950000002</v>
      </c>
      <c r="BJ17" s="67">
        <f t="shared" si="5"/>
        <v>36445.932950000002</v>
      </c>
      <c r="BK17" s="70"/>
    </row>
    <row r="19" spans="2:63" x14ac:dyDescent="0.2">
      <c r="B19" s="183" t="s">
        <v>136</v>
      </c>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8"/>
      <c r="BK19" s="70"/>
    </row>
    <row r="20" spans="2:63" x14ac:dyDescent="0.2">
      <c r="B20" s="93" t="s">
        <v>137</v>
      </c>
      <c r="C20" s="79">
        <v>20000</v>
      </c>
      <c r="D20" s="79">
        <v>60000</v>
      </c>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0"/>
    </row>
    <row r="21" spans="2:63" x14ac:dyDescent="0.2">
      <c r="B21" s="93" t="s">
        <v>138</v>
      </c>
      <c r="C21" s="79">
        <v>0</v>
      </c>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0"/>
    </row>
    <row r="22" spans="2:63" x14ac:dyDescent="0.2">
      <c r="B22" s="93" t="s">
        <v>139</v>
      </c>
      <c r="C22" s="79">
        <v>0</v>
      </c>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0"/>
    </row>
    <row r="23" spans="2:63" x14ac:dyDescent="0.2">
      <c r="B23" s="93" t="s">
        <v>140</v>
      </c>
      <c r="C23" s="79"/>
      <c r="D23" s="79">
        <v>40000</v>
      </c>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0"/>
    </row>
    <row r="24" spans="2:63" x14ac:dyDescent="0.2">
      <c r="B24" s="143" t="s">
        <v>141</v>
      </c>
      <c r="C24" s="83">
        <f t="shared" ref="C24:AH24" si="6">SUM(C25:C28)</f>
        <v>0</v>
      </c>
      <c r="D24" s="83">
        <f t="shared" si="6"/>
        <v>0</v>
      </c>
      <c r="E24" s="83">
        <f t="shared" si="6"/>
        <v>0</v>
      </c>
      <c r="F24" s="83">
        <f t="shared" si="6"/>
        <v>0</v>
      </c>
      <c r="G24" s="83">
        <f t="shared" si="6"/>
        <v>0</v>
      </c>
      <c r="H24" s="83">
        <f t="shared" si="6"/>
        <v>0</v>
      </c>
      <c r="I24" s="83">
        <f t="shared" si="6"/>
        <v>0</v>
      </c>
      <c r="J24" s="83">
        <f t="shared" si="6"/>
        <v>0</v>
      </c>
      <c r="K24" s="83">
        <f t="shared" si="6"/>
        <v>0</v>
      </c>
      <c r="L24" s="83">
        <f t="shared" si="6"/>
        <v>0</v>
      </c>
      <c r="M24" s="83">
        <f t="shared" si="6"/>
        <v>0</v>
      </c>
      <c r="N24" s="83">
        <f t="shared" si="6"/>
        <v>0</v>
      </c>
      <c r="O24" s="83">
        <f t="shared" si="6"/>
        <v>0</v>
      </c>
      <c r="P24" s="83">
        <f t="shared" si="6"/>
        <v>0</v>
      </c>
      <c r="Q24" s="83">
        <f t="shared" si="6"/>
        <v>0</v>
      </c>
      <c r="R24" s="83">
        <f t="shared" si="6"/>
        <v>0</v>
      </c>
      <c r="S24" s="83">
        <f t="shared" si="6"/>
        <v>0</v>
      </c>
      <c r="T24" s="83">
        <f t="shared" si="6"/>
        <v>0</v>
      </c>
      <c r="U24" s="83">
        <f t="shared" si="6"/>
        <v>0</v>
      </c>
      <c r="V24" s="83">
        <f t="shared" si="6"/>
        <v>0</v>
      </c>
      <c r="W24" s="83">
        <f t="shared" si="6"/>
        <v>0</v>
      </c>
      <c r="X24" s="83">
        <f t="shared" si="6"/>
        <v>0</v>
      </c>
      <c r="Y24" s="83">
        <f t="shared" si="6"/>
        <v>0</v>
      </c>
      <c r="Z24" s="83">
        <f t="shared" si="6"/>
        <v>0</v>
      </c>
      <c r="AA24" s="83">
        <f t="shared" si="6"/>
        <v>0</v>
      </c>
      <c r="AB24" s="83">
        <f t="shared" si="6"/>
        <v>0</v>
      </c>
      <c r="AC24" s="83">
        <f t="shared" si="6"/>
        <v>0</v>
      </c>
      <c r="AD24" s="83">
        <f t="shared" si="6"/>
        <v>0</v>
      </c>
      <c r="AE24" s="83">
        <f t="shared" si="6"/>
        <v>0</v>
      </c>
      <c r="AF24" s="83">
        <f t="shared" si="6"/>
        <v>0</v>
      </c>
      <c r="AG24" s="83">
        <f t="shared" si="6"/>
        <v>0</v>
      </c>
      <c r="AH24" s="83">
        <f t="shared" si="6"/>
        <v>0</v>
      </c>
      <c r="AI24" s="83">
        <f t="shared" ref="AI24:BN24" si="7">SUM(AI25:AI28)</f>
        <v>0</v>
      </c>
      <c r="AJ24" s="83">
        <f t="shared" si="7"/>
        <v>0</v>
      </c>
      <c r="AK24" s="83">
        <f t="shared" si="7"/>
        <v>0</v>
      </c>
      <c r="AL24" s="83">
        <f t="shared" si="7"/>
        <v>0</v>
      </c>
      <c r="AM24" s="83">
        <f t="shared" si="7"/>
        <v>0</v>
      </c>
      <c r="AN24" s="83">
        <f t="shared" si="7"/>
        <v>0</v>
      </c>
      <c r="AO24" s="83">
        <f t="shared" si="7"/>
        <v>0</v>
      </c>
      <c r="AP24" s="83">
        <f t="shared" si="7"/>
        <v>0</v>
      </c>
      <c r="AQ24" s="83">
        <f t="shared" si="7"/>
        <v>0</v>
      </c>
      <c r="AR24" s="83">
        <f t="shared" si="7"/>
        <v>0</v>
      </c>
      <c r="AS24" s="83">
        <f t="shared" si="7"/>
        <v>0</v>
      </c>
      <c r="AT24" s="83">
        <f t="shared" si="7"/>
        <v>0</v>
      </c>
      <c r="AU24" s="83">
        <f t="shared" si="7"/>
        <v>0</v>
      </c>
      <c r="AV24" s="83">
        <f t="shared" si="7"/>
        <v>0</v>
      </c>
      <c r="AW24" s="83">
        <f t="shared" si="7"/>
        <v>0</v>
      </c>
      <c r="AX24" s="83">
        <f t="shared" si="7"/>
        <v>0</v>
      </c>
      <c r="AY24" s="83">
        <f t="shared" si="7"/>
        <v>0</v>
      </c>
      <c r="AZ24" s="83">
        <f t="shared" si="7"/>
        <v>0</v>
      </c>
      <c r="BA24" s="83">
        <f t="shared" si="7"/>
        <v>0</v>
      </c>
      <c r="BB24" s="83">
        <f t="shared" si="7"/>
        <v>0</v>
      </c>
      <c r="BC24" s="83">
        <f t="shared" si="7"/>
        <v>0</v>
      </c>
      <c r="BD24" s="83">
        <f t="shared" si="7"/>
        <v>0</v>
      </c>
      <c r="BE24" s="83">
        <f t="shared" si="7"/>
        <v>0</v>
      </c>
      <c r="BF24" s="83">
        <f t="shared" si="7"/>
        <v>0</v>
      </c>
      <c r="BG24" s="83">
        <f t="shared" si="7"/>
        <v>0</v>
      </c>
      <c r="BH24" s="83">
        <f t="shared" si="7"/>
        <v>0</v>
      </c>
      <c r="BI24" s="83">
        <f t="shared" si="7"/>
        <v>0</v>
      </c>
      <c r="BJ24" s="83">
        <f t="shared" si="7"/>
        <v>0</v>
      </c>
      <c r="BK24" s="70"/>
    </row>
    <row r="25" spans="2:63" x14ac:dyDescent="0.2">
      <c r="B25" s="79" t="s">
        <v>142</v>
      </c>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0"/>
    </row>
    <row r="26" spans="2:63" x14ac:dyDescent="0.2">
      <c r="B26" s="79" t="s">
        <v>143</v>
      </c>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0"/>
    </row>
    <row r="27" spans="2:63" x14ac:dyDescent="0.2">
      <c r="B27" s="79" t="s">
        <v>144</v>
      </c>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0"/>
    </row>
    <row r="28" spans="2:63" x14ac:dyDescent="0.2">
      <c r="B28" s="79" t="s">
        <v>145</v>
      </c>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0"/>
    </row>
    <row r="29" spans="2:63" x14ac:dyDescent="0.2">
      <c r="B29" s="143" t="s">
        <v>146</v>
      </c>
      <c r="C29" s="83">
        <f t="shared" ref="C29:AH29" si="8">SUM(C30:C33)</f>
        <v>20000</v>
      </c>
      <c r="D29" s="83">
        <f t="shared" si="8"/>
        <v>0</v>
      </c>
      <c r="E29" s="83">
        <f t="shared" si="8"/>
        <v>0</v>
      </c>
      <c r="F29" s="83">
        <f t="shared" si="8"/>
        <v>0</v>
      </c>
      <c r="G29" s="83">
        <f t="shared" si="8"/>
        <v>0</v>
      </c>
      <c r="H29" s="83">
        <f t="shared" si="8"/>
        <v>0</v>
      </c>
      <c r="I29" s="83">
        <f t="shared" si="8"/>
        <v>0</v>
      </c>
      <c r="J29" s="83">
        <f t="shared" si="8"/>
        <v>0</v>
      </c>
      <c r="K29" s="83">
        <f t="shared" si="8"/>
        <v>0</v>
      </c>
      <c r="L29" s="83">
        <f t="shared" si="8"/>
        <v>0</v>
      </c>
      <c r="M29" s="83">
        <f t="shared" si="8"/>
        <v>0</v>
      </c>
      <c r="N29" s="83">
        <f t="shared" si="8"/>
        <v>0</v>
      </c>
      <c r="O29" s="83">
        <f t="shared" si="8"/>
        <v>0</v>
      </c>
      <c r="P29" s="83">
        <f t="shared" si="8"/>
        <v>0</v>
      </c>
      <c r="Q29" s="83">
        <f t="shared" si="8"/>
        <v>0</v>
      </c>
      <c r="R29" s="83">
        <f t="shared" si="8"/>
        <v>0</v>
      </c>
      <c r="S29" s="83">
        <f t="shared" si="8"/>
        <v>0</v>
      </c>
      <c r="T29" s="83">
        <f t="shared" si="8"/>
        <v>0</v>
      </c>
      <c r="U29" s="83">
        <f t="shared" si="8"/>
        <v>0</v>
      </c>
      <c r="V29" s="83">
        <f t="shared" si="8"/>
        <v>0</v>
      </c>
      <c r="W29" s="83">
        <f t="shared" si="8"/>
        <v>0</v>
      </c>
      <c r="X29" s="83">
        <f t="shared" si="8"/>
        <v>0</v>
      </c>
      <c r="Y29" s="83">
        <f t="shared" si="8"/>
        <v>0</v>
      </c>
      <c r="Z29" s="83">
        <f t="shared" si="8"/>
        <v>0</v>
      </c>
      <c r="AA29" s="83">
        <f t="shared" si="8"/>
        <v>0</v>
      </c>
      <c r="AB29" s="83">
        <f t="shared" si="8"/>
        <v>0</v>
      </c>
      <c r="AC29" s="83">
        <f t="shared" si="8"/>
        <v>0</v>
      </c>
      <c r="AD29" s="83">
        <f t="shared" si="8"/>
        <v>0</v>
      </c>
      <c r="AE29" s="83">
        <f t="shared" si="8"/>
        <v>0</v>
      </c>
      <c r="AF29" s="83">
        <f t="shared" si="8"/>
        <v>0</v>
      </c>
      <c r="AG29" s="83">
        <f t="shared" si="8"/>
        <v>0</v>
      </c>
      <c r="AH29" s="83">
        <f t="shared" si="8"/>
        <v>0</v>
      </c>
      <c r="AI29" s="83">
        <f t="shared" ref="AI29:BN29" si="9">SUM(AI30:AI33)</f>
        <v>0</v>
      </c>
      <c r="AJ29" s="83">
        <f t="shared" si="9"/>
        <v>0</v>
      </c>
      <c r="AK29" s="83">
        <f t="shared" si="9"/>
        <v>0</v>
      </c>
      <c r="AL29" s="83">
        <f t="shared" si="9"/>
        <v>0</v>
      </c>
      <c r="AM29" s="83">
        <f t="shared" si="9"/>
        <v>0</v>
      </c>
      <c r="AN29" s="83">
        <f t="shared" si="9"/>
        <v>0</v>
      </c>
      <c r="AO29" s="83">
        <f t="shared" si="9"/>
        <v>0</v>
      </c>
      <c r="AP29" s="83">
        <f t="shared" si="9"/>
        <v>0</v>
      </c>
      <c r="AQ29" s="83">
        <f t="shared" si="9"/>
        <v>0</v>
      </c>
      <c r="AR29" s="83">
        <f t="shared" si="9"/>
        <v>0</v>
      </c>
      <c r="AS29" s="83">
        <f t="shared" si="9"/>
        <v>0</v>
      </c>
      <c r="AT29" s="83">
        <f t="shared" si="9"/>
        <v>0</v>
      </c>
      <c r="AU29" s="83">
        <f t="shared" si="9"/>
        <v>0</v>
      </c>
      <c r="AV29" s="83">
        <f t="shared" si="9"/>
        <v>0</v>
      </c>
      <c r="AW29" s="83">
        <f t="shared" si="9"/>
        <v>0</v>
      </c>
      <c r="AX29" s="83">
        <f t="shared" si="9"/>
        <v>0</v>
      </c>
      <c r="AY29" s="83">
        <f t="shared" si="9"/>
        <v>0</v>
      </c>
      <c r="AZ29" s="83">
        <f t="shared" si="9"/>
        <v>0</v>
      </c>
      <c r="BA29" s="83">
        <f t="shared" si="9"/>
        <v>0</v>
      </c>
      <c r="BB29" s="83">
        <f t="shared" si="9"/>
        <v>0</v>
      </c>
      <c r="BC29" s="83">
        <f t="shared" si="9"/>
        <v>0</v>
      </c>
      <c r="BD29" s="83">
        <f t="shared" si="9"/>
        <v>0</v>
      </c>
      <c r="BE29" s="83">
        <f t="shared" si="9"/>
        <v>0</v>
      </c>
      <c r="BF29" s="83">
        <f t="shared" si="9"/>
        <v>0</v>
      </c>
      <c r="BG29" s="83">
        <f t="shared" si="9"/>
        <v>0</v>
      </c>
      <c r="BH29" s="83">
        <f t="shared" si="9"/>
        <v>0</v>
      </c>
      <c r="BI29" s="83">
        <f t="shared" si="9"/>
        <v>0</v>
      </c>
      <c r="BJ29" s="83">
        <f t="shared" si="9"/>
        <v>0</v>
      </c>
      <c r="BK29" s="70"/>
    </row>
    <row r="30" spans="2:63" x14ac:dyDescent="0.2">
      <c r="B30" s="79" t="s">
        <v>147</v>
      </c>
      <c r="C30" s="79">
        <v>20000</v>
      </c>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0"/>
    </row>
    <row r="31" spans="2:63" x14ac:dyDescent="0.2">
      <c r="B31" s="79" t="s">
        <v>148</v>
      </c>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0"/>
    </row>
    <row r="32" spans="2:63" x14ac:dyDescent="0.2">
      <c r="B32" s="79" t="s">
        <v>149</v>
      </c>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0"/>
    </row>
    <row r="33" spans="2:63" x14ac:dyDescent="0.2">
      <c r="B33" s="79" t="s">
        <v>150</v>
      </c>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0"/>
    </row>
    <row r="34" spans="2:63" x14ac:dyDescent="0.2">
      <c r="B34" s="143" t="s">
        <v>151</v>
      </c>
      <c r="C34" s="83">
        <f t="shared" ref="C34:AH34" si="10">SUM(C35:C38)</f>
        <v>15000</v>
      </c>
      <c r="D34" s="83">
        <f t="shared" si="10"/>
        <v>0</v>
      </c>
      <c r="E34" s="83">
        <f t="shared" si="10"/>
        <v>0</v>
      </c>
      <c r="F34" s="83">
        <f t="shared" si="10"/>
        <v>0</v>
      </c>
      <c r="G34" s="83">
        <f t="shared" si="10"/>
        <v>0</v>
      </c>
      <c r="H34" s="83">
        <f t="shared" si="10"/>
        <v>0</v>
      </c>
      <c r="I34" s="83">
        <f t="shared" si="10"/>
        <v>0</v>
      </c>
      <c r="J34" s="83">
        <f t="shared" si="10"/>
        <v>0</v>
      </c>
      <c r="K34" s="83">
        <f t="shared" si="10"/>
        <v>0</v>
      </c>
      <c r="L34" s="83">
        <f t="shared" si="10"/>
        <v>0</v>
      </c>
      <c r="M34" s="83">
        <f t="shared" si="10"/>
        <v>0</v>
      </c>
      <c r="N34" s="83">
        <f t="shared" si="10"/>
        <v>0</v>
      </c>
      <c r="O34" s="83">
        <f t="shared" si="10"/>
        <v>0</v>
      </c>
      <c r="P34" s="83">
        <f t="shared" si="10"/>
        <v>0</v>
      </c>
      <c r="Q34" s="83">
        <f t="shared" si="10"/>
        <v>0</v>
      </c>
      <c r="R34" s="83">
        <f t="shared" si="10"/>
        <v>0</v>
      </c>
      <c r="S34" s="83">
        <f t="shared" si="10"/>
        <v>0</v>
      </c>
      <c r="T34" s="83">
        <f t="shared" si="10"/>
        <v>0</v>
      </c>
      <c r="U34" s="83">
        <f t="shared" si="10"/>
        <v>0</v>
      </c>
      <c r="V34" s="83">
        <f t="shared" si="10"/>
        <v>0</v>
      </c>
      <c r="W34" s="83">
        <f t="shared" si="10"/>
        <v>0</v>
      </c>
      <c r="X34" s="83">
        <f t="shared" si="10"/>
        <v>0</v>
      </c>
      <c r="Y34" s="83">
        <f t="shared" si="10"/>
        <v>0</v>
      </c>
      <c r="Z34" s="83">
        <f t="shared" si="10"/>
        <v>0</v>
      </c>
      <c r="AA34" s="83">
        <f t="shared" si="10"/>
        <v>0</v>
      </c>
      <c r="AB34" s="83">
        <f t="shared" si="10"/>
        <v>0</v>
      </c>
      <c r="AC34" s="83">
        <f t="shared" si="10"/>
        <v>0</v>
      </c>
      <c r="AD34" s="83">
        <f t="shared" si="10"/>
        <v>0</v>
      </c>
      <c r="AE34" s="83">
        <f t="shared" si="10"/>
        <v>0</v>
      </c>
      <c r="AF34" s="83">
        <f t="shared" si="10"/>
        <v>0</v>
      </c>
      <c r="AG34" s="83">
        <f t="shared" si="10"/>
        <v>0</v>
      </c>
      <c r="AH34" s="83">
        <f t="shared" si="10"/>
        <v>0</v>
      </c>
      <c r="AI34" s="83">
        <f t="shared" ref="AI34:BN34" si="11">SUM(AI35:AI38)</f>
        <v>0</v>
      </c>
      <c r="AJ34" s="83">
        <f t="shared" si="11"/>
        <v>0</v>
      </c>
      <c r="AK34" s="83">
        <f t="shared" si="11"/>
        <v>0</v>
      </c>
      <c r="AL34" s="83">
        <f t="shared" si="11"/>
        <v>0</v>
      </c>
      <c r="AM34" s="83">
        <f t="shared" si="11"/>
        <v>0</v>
      </c>
      <c r="AN34" s="83">
        <f t="shared" si="11"/>
        <v>0</v>
      </c>
      <c r="AO34" s="83">
        <f t="shared" si="11"/>
        <v>0</v>
      </c>
      <c r="AP34" s="83">
        <f t="shared" si="11"/>
        <v>0</v>
      </c>
      <c r="AQ34" s="83">
        <f t="shared" si="11"/>
        <v>0</v>
      </c>
      <c r="AR34" s="83">
        <f t="shared" si="11"/>
        <v>0</v>
      </c>
      <c r="AS34" s="83">
        <f t="shared" si="11"/>
        <v>0</v>
      </c>
      <c r="AT34" s="83">
        <f t="shared" si="11"/>
        <v>0</v>
      </c>
      <c r="AU34" s="83">
        <f t="shared" si="11"/>
        <v>0</v>
      </c>
      <c r="AV34" s="83">
        <f t="shared" si="11"/>
        <v>0</v>
      </c>
      <c r="AW34" s="83">
        <f t="shared" si="11"/>
        <v>0</v>
      </c>
      <c r="AX34" s="83">
        <f t="shared" si="11"/>
        <v>0</v>
      </c>
      <c r="AY34" s="83">
        <f t="shared" si="11"/>
        <v>0</v>
      </c>
      <c r="AZ34" s="83">
        <f t="shared" si="11"/>
        <v>0</v>
      </c>
      <c r="BA34" s="83">
        <f t="shared" si="11"/>
        <v>0</v>
      </c>
      <c r="BB34" s="83">
        <f t="shared" si="11"/>
        <v>0</v>
      </c>
      <c r="BC34" s="83">
        <f t="shared" si="11"/>
        <v>0</v>
      </c>
      <c r="BD34" s="83">
        <f t="shared" si="11"/>
        <v>0</v>
      </c>
      <c r="BE34" s="83">
        <f t="shared" si="11"/>
        <v>0</v>
      </c>
      <c r="BF34" s="83">
        <f t="shared" si="11"/>
        <v>0</v>
      </c>
      <c r="BG34" s="83">
        <f t="shared" si="11"/>
        <v>0</v>
      </c>
      <c r="BH34" s="83">
        <f t="shared" si="11"/>
        <v>0</v>
      </c>
      <c r="BI34" s="83">
        <f t="shared" si="11"/>
        <v>0</v>
      </c>
      <c r="BJ34" s="83">
        <f t="shared" si="11"/>
        <v>0</v>
      </c>
      <c r="BK34" s="70"/>
    </row>
    <row r="35" spans="2:63" x14ac:dyDescent="0.2">
      <c r="B35" s="79" t="s">
        <v>152</v>
      </c>
      <c r="C35" s="79">
        <v>15000</v>
      </c>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0"/>
    </row>
    <row r="36" spans="2:63" x14ac:dyDescent="0.2">
      <c r="B36" s="79" t="s">
        <v>153</v>
      </c>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0"/>
    </row>
    <row r="37" spans="2:63" x14ac:dyDescent="0.2">
      <c r="B37" s="79" t="s">
        <v>154</v>
      </c>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0"/>
    </row>
    <row r="38" spans="2:63" x14ac:dyDescent="0.2">
      <c r="B38" s="79" t="s">
        <v>155</v>
      </c>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0"/>
    </row>
    <row r="39" spans="2:63" x14ac:dyDescent="0.2">
      <c r="B39" s="86"/>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70"/>
    </row>
    <row r="40" spans="2:63" x14ac:dyDescent="0.2">
      <c r="B40" s="143" t="s">
        <v>156</v>
      </c>
      <c r="C40" s="83">
        <f t="shared" ref="C40:AH40" si="12">SUM(C15:C17)+SUM(C20:C23)+C24+C29+C34</f>
        <v>56835.066999999995</v>
      </c>
      <c r="D40" s="83">
        <f t="shared" si="12"/>
        <v>112394.47719999999</v>
      </c>
      <c r="E40" s="83">
        <f t="shared" si="12"/>
        <v>8637.6987000000008</v>
      </c>
      <c r="F40" s="83">
        <f t="shared" si="12"/>
        <v>14091.919700000002</v>
      </c>
      <c r="G40" s="83">
        <f t="shared" si="12"/>
        <v>20065.600200000001</v>
      </c>
      <c r="H40" s="83">
        <f t="shared" si="12"/>
        <v>25575.5857</v>
      </c>
      <c r="I40" s="83">
        <f t="shared" si="12"/>
        <v>25021.315199999997</v>
      </c>
      <c r="J40" s="83">
        <f t="shared" si="12"/>
        <v>22736.924700000003</v>
      </c>
      <c r="K40" s="83">
        <f t="shared" si="12"/>
        <v>35677.589200000002</v>
      </c>
      <c r="L40" s="83">
        <f t="shared" si="12"/>
        <v>35669.366699999991</v>
      </c>
      <c r="M40" s="83">
        <f t="shared" si="12"/>
        <v>38960.360699999997</v>
      </c>
      <c r="N40" s="83">
        <f t="shared" si="12"/>
        <v>50338.450700000009</v>
      </c>
      <c r="O40" s="83">
        <f t="shared" si="12"/>
        <v>48789.985200000003</v>
      </c>
      <c r="P40" s="83">
        <f t="shared" si="12"/>
        <v>51798.778633333342</v>
      </c>
      <c r="Q40" s="83">
        <f t="shared" si="12"/>
        <v>56212.564633333335</v>
      </c>
      <c r="R40" s="83">
        <f t="shared" si="12"/>
        <v>67168.941633333336</v>
      </c>
      <c r="S40" s="83">
        <f t="shared" si="12"/>
        <v>73293.063633333339</v>
      </c>
      <c r="T40" s="83">
        <f t="shared" si="12"/>
        <v>80841.640633333329</v>
      </c>
      <c r="U40" s="83">
        <f t="shared" si="12"/>
        <v>80515.526133333333</v>
      </c>
      <c r="V40" s="83">
        <f t="shared" si="12"/>
        <v>78185.663133333335</v>
      </c>
      <c r="W40" s="83">
        <f t="shared" si="12"/>
        <v>99165.425133333338</v>
      </c>
      <c r="X40" s="83">
        <f t="shared" si="12"/>
        <v>98349.15863333334</v>
      </c>
      <c r="Y40" s="83">
        <f t="shared" si="12"/>
        <v>103803.69863333333</v>
      </c>
      <c r="Z40" s="83">
        <f t="shared" si="12"/>
        <v>120170.77563333334</v>
      </c>
      <c r="AA40" s="83">
        <f t="shared" si="12"/>
        <v>120881.77563333334</v>
      </c>
      <c r="AB40" s="83">
        <f t="shared" si="12"/>
        <v>125070.67593333333</v>
      </c>
      <c r="AC40" s="83">
        <f t="shared" si="12"/>
        <v>127269.86143333334</v>
      </c>
      <c r="AD40" s="83">
        <f t="shared" si="12"/>
        <v>135097.16343333333</v>
      </c>
      <c r="AE40" s="83">
        <f t="shared" si="12"/>
        <v>146022.95543333335</v>
      </c>
      <c r="AF40" s="83">
        <f t="shared" si="12"/>
        <v>155316.50243333334</v>
      </c>
      <c r="AG40" s="83">
        <f t="shared" si="12"/>
        <v>149774.19993333332</v>
      </c>
      <c r="AH40" s="83">
        <f t="shared" si="12"/>
        <v>147518.08893333335</v>
      </c>
      <c r="AI40" s="83">
        <f t="shared" ref="AI40:BJ40" si="13">SUM(AI15:AI17)+SUM(AI20:AI23)+AI24+AI29+AI34</f>
        <v>169143.04693333336</v>
      </c>
      <c r="AJ40" s="83">
        <f t="shared" si="13"/>
        <v>164789.59043333333</v>
      </c>
      <c r="AK40" s="83">
        <f t="shared" si="13"/>
        <v>170229.88043333331</v>
      </c>
      <c r="AL40" s="83">
        <f t="shared" si="13"/>
        <v>195924.57843333334</v>
      </c>
      <c r="AM40" s="83">
        <f t="shared" si="13"/>
        <v>198400.27693333334</v>
      </c>
      <c r="AN40" s="83">
        <f t="shared" si="13"/>
        <v>196690.40808333331</v>
      </c>
      <c r="AO40" s="83">
        <f t="shared" si="13"/>
        <v>204530.03658333333</v>
      </c>
      <c r="AP40" s="83">
        <f t="shared" si="13"/>
        <v>218328.21958333335</v>
      </c>
      <c r="AQ40" s="83">
        <f t="shared" si="13"/>
        <v>233730.07408333334</v>
      </c>
      <c r="AR40" s="83">
        <f t="shared" si="13"/>
        <v>248507.48558333333</v>
      </c>
      <c r="AS40" s="83">
        <f t="shared" si="13"/>
        <v>243463.58008333336</v>
      </c>
      <c r="AT40" s="83">
        <f t="shared" si="13"/>
        <v>239930.47358333331</v>
      </c>
      <c r="AU40" s="83">
        <f t="shared" si="13"/>
        <v>274466.40058333334</v>
      </c>
      <c r="AV40" s="83">
        <f t="shared" si="13"/>
        <v>270280.54458333337</v>
      </c>
      <c r="AW40" s="83">
        <f t="shared" si="13"/>
        <v>280775.47458333336</v>
      </c>
      <c r="AX40" s="83">
        <f t="shared" si="13"/>
        <v>319677.33408333338</v>
      </c>
      <c r="AY40" s="83">
        <f t="shared" si="13"/>
        <v>321414.04058333335</v>
      </c>
      <c r="AZ40" s="83">
        <f t="shared" si="13"/>
        <v>319912.28145000001</v>
      </c>
      <c r="BA40" s="83">
        <f t="shared" si="13"/>
        <v>329371.63094999996</v>
      </c>
      <c r="BB40" s="83">
        <f t="shared" si="13"/>
        <v>315275.69445000001</v>
      </c>
      <c r="BC40" s="83">
        <f t="shared" si="13"/>
        <v>372727.70294999995</v>
      </c>
      <c r="BD40" s="83">
        <f t="shared" si="13"/>
        <v>395463.51145000005</v>
      </c>
      <c r="BE40" s="83">
        <f t="shared" si="13"/>
        <v>391260.53944999998</v>
      </c>
      <c r="BF40" s="83">
        <f t="shared" si="13"/>
        <v>385401.37545000005</v>
      </c>
      <c r="BG40" s="83">
        <f t="shared" si="13"/>
        <v>441784.26045</v>
      </c>
      <c r="BH40" s="83">
        <f t="shared" si="13"/>
        <v>433315.89795000001</v>
      </c>
      <c r="BI40" s="83">
        <f t="shared" si="13"/>
        <v>449251.11794999999</v>
      </c>
      <c r="BJ40" s="83">
        <f t="shared" si="13"/>
        <v>514322.42544999998</v>
      </c>
      <c r="BK40" s="70"/>
    </row>
    <row r="41" spans="2:63" x14ac:dyDescent="0.2">
      <c r="B41" s="70"/>
      <c r="C41" s="70"/>
      <c r="D41" s="97"/>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row>
    <row r="42" spans="2:63" x14ac:dyDescent="0.2">
      <c r="B42" s="183" t="s">
        <v>157</v>
      </c>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8"/>
      <c r="BK42" s="70"/>
    </row>
    <row r="43" spans="2:63" x14ac:dyDescent="0.2">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row>
    <row r="44" spans="2:63" x14ac:dyDescent="0.2">
      <c r="B44" s="183" t="s">
        <v>132</v>
      </c>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8"/>
      <c r="BK44" s="70"/>
    </row>
    <row r="45" spans="2:63" x14ac:dyDescent="0.2">
      <c r="B45" s="93" t="s">
        <v>158</v>
      </c>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0"/>
    </row>
    <row r="46" spans="2:63" x14ac:dyDescent="0.2">
      <c r="B46" s="93" t="s">
        <v>159</v>
      </c>
      <c r="C46" s="67">
        <f>'Charges variables'!C22</f>
        <v>0</v>
      </c>
      <c r="D46" s="67">
        <f>'Charges variables'!D22</f>
        <v>448</v>
      </c>
      <c r="E46" s="67">
        <f>'Charges variables'!E22</f>
        <v>1029.5</v>
      </c>
      <c r="F46" s="67">
        <f>'Charges variables'!F22</f>
        <v>1853.5</v>
      </c>
      <c r="G46" s="67">
        <f>'Charges variables'!G22</f>
        <v>3553</v>
      </c>
      <c r="H46" s="67">
        <f>'Charges variables'!H22</f>
        <v>5225</v>
      </c>
      <c r="I46" s="67">
        <f>'Charges variables'!I22</f>
        <v>6996</v>
      </c>
      <c r="J46" s="67">
        <f>'Charges variables'!J22</f>
        <v>6800</v>
      </c>
      <c r="K46" s="67">
        <f>'Charges variables'!K22</f>
        <v>6179</v>
      </c>
      <c r="L46" s="67">
        <f>'Charges variables'!L22</f>
        <v>10319</v>
      </c>
      <c r="M46" s="67">
        <f>'Charges variables'!M22</f>
        <v>10438</v>
      </c>
      <c r="N46" s="67">
        <f>'Charges variables'!N22</f>
        <v>11383</v>
      </c>
      <c r="O46" s="67">
        <f>'Charges variables'!O22</f>
        <v>15132.5</v>
      </c>
      <c r="P46" s="67">
        <f>'Charges variables'!P22</f>
        <v>14524</v>
      </c>
      <c r="Q46" s="67">
        <f>'Charges variables'!Q22</f>
        <v>14666</v>
      </c>
      <c r="R46" s="67">
        <f>'Charges variables'!R22</f>
        <v>16059</v>
      </c>
      <c r="S46" s="67">
        <f>'Charges variables'!S22</f>
        <v>18581.5</v>
      </c>
      <c r="T46" s="67">
        <f>'Charges variables'!T22</f>
        <v>21442</v>
      </c>
      <c r="U46" s="67">
        <f>'Charges variables'!U22</f>
        <v>23877.5</v>
      </c>
      <c r="V46" s="67">
        <f>'Charges variables'!V22</f>
        <v>23474</v>
      </c>
      <c r="W46" s="67">
        <f>'Charges variables'!W22</f>
        <v>23133.5</v>
      </c>
      <c r="X46" s="67">
        <f>'Charges variables'!X22</f>
        <v>29830.5</v>
      </c>
      <c r="Y46" s="67">
        <f>'Charges variables'!Y22</f>
        <v>29742</v>
      </c>
      <c r="Z46" s="67">
        <f>'Charges variables'!Z22</f>
        <v>31317</v>
      </c>
      <c r="AA46" s="67">
        <f>'Charges variables'!AA22</f>
        <v>36975</v>
      </c>
      <c r="AB46" s="67">
        <f>'Charges variables'!AB22</f>
        <v>36602.5</v>
      </c>
      <c r="AC46" s="67">
        <f>'Charges variables'!AC22</f>
        <v>35884</v>
      </c>
      <c r="AD46" s="67">
        <f>'Charges variables'!AD22</f>
        <v>37655</v>
      </c>
      <c r="AE46" s="67">
        <f>'Charges variables'!AE22</f>
        <v>40177.5</v>
      </c>
      <c r="AF46" s="67">
        <f>'Charges variables'!AF22</f>
        <v>43463</v>
      </c>
      <c r="AG46" s="67">
        <f>'Charges variables'!AG22</f>
        <v>46323.5</v>
      </c>
      <c r="AH46" s="67">
        <f>'Charges variables'!AH22</f>
        <v>44755</v>
      </c>
      <c r="AI46" s="67">
        <f>'Charges variables'!AI22</f>
        <v>44099.5</v>
      </c>
      <c r="AJ46" s="67">
        <f>'Charges variables'!AJ22</f>
        <v>50701.5</v>
      </c>
      <c r="AK46" s="67">
        <f>'Charges variables'!AK22</f>
        <v>49763</v>
      </c>
      <c r="AL46" s="67">
        <f>'Charges variables'!AL22</f>
        <v>51338</v>
      </c>
      <c r="AM46" s="67">
        <f>'Charges variables'!AM22</f>
        <v>59887.5</v>
      </c>
      <c r="AN46" s="67">
        <f>'Charges variables'!AN22</f>
        <v>59551.5</v>
      </c>
      <c r="AO46" s="67">
        <f>'Charges variables'!AO22</f>
        <v>57605</v>
      </c>
      <c r="AP46" s="67">
        <f>'Charges variables'!AP22</f>
        <v>60116</v>
      </c>
      <c r="AQ46" s="67">
        <f>'Charges variables'!AQ22</f>
        <v>64531</v>
      </c>
      <c r="AR46" s="67">
        <f>'Charges variables'!AR22</f>
        <v>69272.5</v>
      </c>
      <c r="AS46" s="67">
        <f>'Charges variables'!AS22</f>
        <v>74086</v>
      </c>
      <c r="AT46" s="67">
        <f>'Charges variables'!AT22</f>
        <v>72391.5</v>
      </c>
      <c r="AU46" s="67">
        <f>'Charges variables'!AU22</f>
        <v>71453</v>
      </c>
      <c r="AV46" s="67">
        <f>'Charges variables'!AV22</f>
        <v>82086</v>
      </c>
      <c r="AW46" s="67">
        <f>'Charges variables'!AW22</f>
        <v>81494.5</v>
      </c>
      <c r="AX46" s="67">
        <f>'Charges variables'!AX22</f>
        <v>84644.5</v>
      </c>
      <c r="AY46" s="67">
        <f>'Charges variables'!AY22</f>
        <v>97282.5</v>
      </c>
      <c r="AZ46" s="67">
        <f>'Charges variables'!AZ22</f>
        <v>96511</v>
      </c>
      <c r="BA46" s="67">
        <f>'Charges variables'!BA22</f>
        <v>93966.5</v>
      </c>
      <c r="BB46" s="67">
        <f>'Charges variables'!BB22</f>
        <v>97182</v>
      </c>
      <c r="BC46" s="67">
        <f>'Charges variables'!BC22</f>
        <v>95218.5</v>
      </c>
      <c r="BD46" s="67">
        <f>'Charges variables'!BD22</f>
        <v>110667.5</v>
      </c>
      <c r="BE46" s="67">
        <f>'Charges variables'!BE22</f>
        <v>118341.5</v>
      </c>
      <c r="BF46" s="67">
        <f>'Charges variables'!BF22</f>
        <v>116558.5</v>
      </c>
      <c r="BG46" s="67">
        <f>'Charges variables'!BG22</f>
        <v>115437.5</v>
      </c>
      <c r="BH46" s="67">
        <f>'Charges variables'!BH22</f>
        <v>132672.5</v>
      </c>
      <c r="BI46" s="67">
        <f>'Charges variables'!BI22</f>
        <v>131142.5</v>
      </c>
      <c r="BJ46" s="67">
        <f>'Charges variables'!BJ22</f>
        <v>135867.5</v>
      </c>
      <c r="BK46" s="70"/>
    </row>
    <row r="47" spans="2:63" x14ac:dyDescent="0.2">
      <c r="B47" s="93" t="s">
        <v>160</v>
      </c>
      <c r="C47" s="67">
        <f>'Charges externes'!I29</f>
        <v>9886.9084999999995</v>
      </c>
      <c r="D47" s="67">
        <f>'Charges externes'!J29</f>
        <v>9886.9084999999995</v>
      </c>
      <c r="E47" s="67">
        <f>'Charges externes'!K29</f>
        <v>9886.9084999999995</v>
      </c>
      <c r="F47" s="67">
        <f>'Charges externes'!L29</f>
        <v>9886.9084999999995</v>
      </c>
      <c r="G47" s="67">
        <f>'Charges externes'!M29</f>
        <v>9886.9084999999995</v>
      </c>
      <c r="H47" s="67">
        <f>'Charges externes'!N29</f>
        <v>9886.9084999999995</v>
      </c>
      <c r="I47" s="67">
        <f>'Charges externes'!O29</f>
        <v>9886.9084999999995</v>
      </c>
      <c r="J47" s="67">
        <f>'Charges externes'!P29</f>
        <v>9886.9084999999995</v>
      </c>
      <c r="K47" s="67">
        <f>'Charges externes'!Q29</f>
        <v>9886.9084999999995</v>
      </c>
      <c r="L47" s="67">
        <f>'Charges externes'!R29</f>
        <v>9886.9084999999995</v>
      </c>
      <c r="M47" s="67">
        <f>'Charges externes'!S29</f>
        <v>9886.9084999999995</v>
      </c>
      <c r="N47" s="67">
        <f>'Charges externes'!T29</f>
        <v>9886.9084999999995</v>
      </c>
      <c r="O47" s="67">
        <f>'Charges externes'!U29</f>
        <v>21243.628166666673</v>
      </c>
      <c r="P47" s="67">
        <f>'Charges externes'!V29</f>
        <v>21243.628166666673</v>
      </c>
      <c r="Q47" s="67">
        <f>'Charges externes'!W29</f>
        <v>21243.628166666673</v>
      </c>
      <c r="R47" s="67">
        <f>'Charges externes'!X29</f>
        <v>21243.628166666673</v>
      </c>
      <c r="S47" s="67">
        <f>'Charges externes'!Y29</f>
        <v>21243.628166666673</v>
      </c>
      <c r="T47" s="67">
        <f>'Charges externes'!Z29</f>
        <v>21243.628166666673</v>
      </c>
      <c r="U47" s="67">
        <f>'Charges externes'!AA29</f>
        <v>21243.628166666673</v>
      </c>
      <c r="V47" s="67">
        <f>'Charges externes'!AB29</f>
        <v>21243.628166666673</v>
      </c>
      <c r="W47" s="67">
        <f>'Charges externes'!AC29</f>
        <v>21243.628166666673</v>
      </c>
      <c r="X47" s="67">
        <f>'Charges externes'!AD29</f>
        <v>21243.628166666673</v>
      </c>
      <c r="Y47" s="67">
        <f>'Charges externes'!AE29</f>
        <v>21243.628166666673</v>
      </c>
      <c r="Z47" s="67">
        <f>'Charges externes'!AF29</f>
        <v>21243.628166666673</v>
      </c>
      <c r="AA47" s="67">
        <f>'Charges externes'!AG29</f>
        <v>35670.567166666668</v>
      </c>
      <c r="AB47" s="67">
        <f>'Charges externes'!AH29</f>
        <v>35670.567166666668</v>
      </c>
      <c r="AC47" s="67">
        <f>'Charges externes'!AI29</f>
        <v>35670.567166666668</v>
      </c>
      <c r="AD47" s="67">
        <f>'Charges externes'!AJ29</f>
        <v>35670.567166666668</v>
      </c>
      <c r="AE47" s="67">
        <f>'Charges externes'!AK29</f>
        <v>35670.567166666668</v>
      </c>
      <c r="AF47" s="67">
        <f>'Charges externes'!AL29</f>
        <v>35670.567166666668</v>
      </c>
      <c r="AG47" s="67">
        <f>'Charges externes'!AM29</f>
        <v>35670.567166666668</v>
      </c>
      <c r="AH47" s="67">
        <f>'Charges externes'!AN29</f>
        <v>35670.567166666668</v>
      </c>
      <c r="AI47" s="67">
        <f>'Charges externes'!AO29</f>
        <v>35670.567166666668</v>
      </c>
      <c r="AJ47" s="67">
        <f>'Charges externes'!AP29</f>
        <v>35670.567166666668</v>
      </c>
      <c r="AK47" s="67">
        <f>'Charges externes'!AQ29</f>
        <v>35670.567166666668</v>
      </c>
      <c r="AL47" s="67">
        <f>'Charges externes'!AR29</f>
        <v>35670.567166666668</v>
      </c>
      <c r="AM47" s="67">
        <f>'Charges externes'!AS29</f>
        <v>54634.732916666668</v>
      </c>
      <c r="AN47" s="67">
        <f>'Charges externes'!AT29</f>
        <v>54634.732916666668</v>
      </c>
      <c r="AO47" s="67">
        <f>'Charges externes'!AU29</f>
        <v>54634.732916666668</v>
      </c>
      <c r="AP47" s="67">
        <f>'Charges externes'!AV29</f>
        <v>54634.732916666668</v>
      </c>
      <c r="AQ47" s="67">
        <f>'Charges externes'!AW29</f>
        <v>54634.732916666668</v>
      </c>
      <c r="AR47" s="67">
        <f>'Charges externes'!AX29</f>
        <v>54634.732916666668</v>
      </c>
      <c r="AS47" s="67">
        <f>'Charges externes'!AY29</f>
        <v>54634.732916666668</v>
      </c>
      <c r="AT47" s="67">
        <f>'Charges externes'!AZ29</f>
        <v>54634.732916666668</v>
      </c>
      <c r="AU47" s="67">
        <f>'Charges externes'!BA29</f>
        <v>54634.732916666668</v>
      </c>
      <c r="AV47" s="67">
        <f>'Charges externes'!BB29</f>
        <v>54634.732916666668</v>
      </c>
      <c r="AW47" s="67">
        <f>'Charges externes'!BC29</f>
        <v>54634.732916666668</v>
      </c>
      <c r="AX47" s="67">
        <f>'Charges externes'!BD29</f>
        <v>54634.732916666668</v>
      </c>
      <c r="AY47" s="67">
        <f>'Charges externes'!BE29</f>
        <v>83872.789749999996</v>
      </c>
      <c r="AZ47" s="67">
        <f>'Charges externes'!BF29</f>
        <v>83872.789749999996</v>
      </c>
      <c r="BA47" s="67">
        <f>'Charges externes'!BG29</f>
        <v>83872.789749999996</v>
      </c>
      <c r="BB47" s="67">
        <f>'Charges externes'!BH29</f>
        <v>83872.789749999996</v>
      </c>
      <c r="BC47" s="67">
        <f>'Charges externes'!BI29</f>
        <v>83872.789749999996</v>
      </c>
      <c r="BD47" s="67">
        <f>'Charges externes'!BJ29</f>
        <v>83872.789749999996</v>
      </c>
      <c r="BE47" s="67">
        <f>'Charges externes'!BK29</f>
        <v>83872.789749999996</v>
      </c>
      <c r="BF47" s="67">
        <f>'Charges externes'!BL29</f>
        <v>83872.789749999996</v>
      </c>
      <c r="BG47" s="67">
        <f>'Charges externes'!BM29</f>
        <v>83872.789749999996</v>
      </c>
      <c r="BH47" s="67">
        <f>'Charges externes'!BN29</f>
        <v>83872.789749999996</v>
      </c>
      <c r="BI47" s="67">
        <f>'Charges externes'!BO29</f>
        <v>83872.789749999996</v>
      </c>
      <c r="BJ47" s="67">
        <f>'Charges externes'!BP29</f>
        <v>83872.789749999996</v>
      </c>
      <c r="BK47" s="70"/>
    </row>
    <row r="48" spans="2:63" x14ac:dyDescent="0.2">
      <c r="B48" s="93" t="s">
        <v>161</v>
      </c>
      <c r="C48" s="67">
        <f>TVA!C24</f>
        <v>8577.3816999999999</v>
      </c>
      <c r="D48" s="67">
        <f>TVA!D24</f>
        <v>2044.5817</v>
      </c>
      <c r="E48" s="67">
        <f>TVA!E24</f>
        <v>2131.8067000000001</v>
      </c>
      <c r="F48" s="67">
        <f>TVA!F24</f>
        <v>2255.4067</v>
      </c>
      <c r="G48" s="67">
        <f>TVA!G24</f>
        <v>2510.3316999999997</v>
      </c>
      <c r="H48" s="67">
        <f>TVA!H24</f>
        <v>2761.1316999999999</v>
      </c>
      <c r="I48" s="67">
        <f>TVA!I24</f>
        <v>3026.7817</v>
      </c>
      <c r="J48" s="67">
        <f>TVA!J24</f>
        <v>2997.3816999999999</v>
      </c>
      <c r="K48" s="67">
        <f>TVA!K24</f>
        <v>2904.2316999999998</v>
      </c>
      <c r="L48" s="67">
        <f>TVA!L24</f>
        <v>3525.2316999999998</v>
      </c>
      <c r="M48" s="67">
        <f>TVA!M24</f>
        <v>3543.0816999999997</v>
      </c>
      <c r="N48" s="67">
        <f>TVA!N24</f>
        <v>3684.8316999999997</v>
      </c>
      <c r="O48" s="67">
        <f>TVA!O24</f>
        <v>6518.6006333333344</v>
      </c>
      <c r="P48" s="67">
        <f>TVA!P24</f>
        <v>6427.3256333333338</v>
      </c>
      <c r="Q48" s="67">
        <f>TVA!Q24</f>
        <v>9448.6256333333349</v>
      </c>
      <c r="R48" s="67">
        <f>TVA!R24</f>
        <v>6657.5756333333338</v>
      </c>
      <c r="S48" s="67">
        <f>TVA!S24</f>
        <v>7035.9506333333338</v>
      </c>
      <c r="T48" s="67">
        <f>TVA!T24</f>
        <v>8365.0256333333346</v>
      </c>
      <c r="U48" s="67">
        <f>TVA!U24</f>
        <v>7830.3506333333344</v>
      </c>
      <c r="V48" s="67">
        <f>TVA!V24</f>
        <v>7769.8256333333338</v>
      </c>
      <c r="W48" s="67">
        <f>TVA!W24</f>
        <v>7718.7506333333349</v>
      </c>
      <c r="X48" s="67">
        <f>TVA!X24</f>
        <v>8723.3006333333342</v>
      </c>
      <c r="Y48" s="67">
        <f>TVA!Y24</f>
        <v>8710.0256333333346</v>
      </c>
      <c r="Z48" s="67">
        <f>TVA!Z24</f>
        <v>8946.2756333333346</v>
      </c>
      <c r="AA48" s="67">
        <f>TVA!AA24</f>
        <v>15680.363433333334</v>
      </c>
      <c r="AB48" s="67">
        <f>TVA!AB24</f>
        <v>12624.488433333334</v>
      </c>
      <c r="AC48" s="67">
        <f>TVA!AC24</f>
        <v>12516.713433333334</v>
      </c>
      <c r="AD48" s="67">
        <f>TVA!AD24</f>
        <v>12782.363433333334</v>
      </c>
      <c r="AE48" s="67">
        <f>TVA!AE24</f>
        <v>13160.738433333334</v>
      </c>
      <c r="AF48" s="67">
        <f>TVA!AF24</f>
        <v>13653.563433333333</v>
      </c>
      <c r="AG48" s="67">
        <f>TVA!AG24</f>
        <v>14082.638433333334</v>
      </c>
      <c r="AH48" s="67">
        <f>TVA!AH24</f>
        <v>13847.363433333334</v>
      </c>
      <c r="AI48" s="67">
        <f>TVA!AI24</f>
        <v>13749.038433333335</v>
      </c>
      <c r="AJ48" s="67">
        <f>TVA!AJ24</f>
        <v>14739.338433333334</v>
      </c>
      <c r="AK48" s="67">
        <f>TVA!AK24</f>
        <v>14598.563433333333</v>
      </c>
      <c r="AL48" s="67">
        <f>TVA!AL24</f>
        <v>14834.813433333333</v>
      </c>
      <c r="AM48" s="67">
        <f>TVA!AM24</f>
        <v>19910.071583333334</v>
      </c>
      <c r="AN48" s="67">
        <f>TVA!AN24</f>
        <v>19859.671583333336</v>
      </c>
      <c r="AO48" s="67">
        <f>TVA!AO24</f>
        <v>19567.696583333334</v>
      </c>
      <c r="AP48" s="67">
        <f>TVA!AP24</f>
        <v>19944.346583333336</v>
      </c>
      <c r="AQ48" s="67">
        <f>TVA!AQ24</f>
        <v>20606.596583333332</v>
      </c>
      <c r="AR48" s="67">
        <f>TVA!AR24</f>
        <v>21317.821583333334</v>
      </c>
      <c r="AS48" s="67">
        <f>TVA!AS24</f>
        <v>22039.846583333332</v>
      </c>
      <c r="AT48" s="67">
        <f>TVA!AT24</f>
        <v>21785.671583333336</v>
      </c>
      <c r="AU48" s="67">
        <f>TVA!AU24</f>
        <v>21644.896583333335</v>
      </c>
      <c r="AV48" s="67">
        <f>TVA!AV24</f>
        <v>23239.846583333332</v>
      </c>
      <c r="AW48" s="67">
        <f>TVA!AW24</f>
        <v>23151.121583333334</v>
      </c>
      <c r="AX48" s="67">
        <f>TVA!AX24</f>
        <v>23623.621583333334</v>
      </c>
      <c r="AY48" s="67">
        <f>TVA!AY24</f>
        <v>31366.932949999999</v>
      </c>
      <c r="AZ48" s="67">
        <f>TVA!AZ24</f>
        <v>31251.207949999996</v>
      </c>
      <c r="BA48" s="67">
        <f>TVA!BA24</f>
        <v>30869.532950000001</v>
      </c>
      <c r="BB48" s="67">
        <f>TVA!BB24</f>
        <v>31351.857949999998</v>
      </c>
      <c r="BC48" s="67">
        <f>TVA!BC24</f>
        <v>31057.332949999996</v>
      </c>
      <c r="BD48" s="67">
        <f>TVA!BD24</f>
        <v>33374.682950000002</v>
      </c>
      <c r="BE48" s="67">
        <f>TVA!BE24</f>
        <v>34525.782949999993</v>
      </c>
      <c r="BF48" s="67">
        <f>TVA!BF24</f>
        <v>34258.332949999996</v>
      </c>
      <c r="BG48" s="67">
        <f>TVA!BG24</f>
        <v>34090.182950000002</v>
      </c>
      <c r="BH48" s="67">
        <f>TVA!BH24</f>
        <v>36675.432950000002</v>
      </c>
      <c r="BI48" s="67">
        <f>TVA!BI24</f>
        <v>36445.932950000002</v>
      </c>
      <c r="BJ48" s="67">
        <f>TVA!BJ24</f>
        <v>37154.682950000002</v>
      </c>
      <c r="BK48" s="70"/>
    </row>
    <row r="49" spans="2:63" x14ac:dyDescent="0.2">
      <c r="B49" s="93" t="s">
        <v>162</v>
      </c>
      <c r="C49" s="67"/>
      <c r="D49" s="67">
        <f t="shared" ref="D49:AI49" si="14">C16</f>
        <v>95.667000000000002</v>
      </c>
      <c r="E49" s="67">
        <f t="shared" si="14"/>
        <v>198.99549999999999</v>
      </c>
      <c r="F49" s="67">
        <f t="shared" si="14"/>
        <v>343.71699999999998</v>
      </c>
      <c r="G49" s="67">
        <f t="shared" si="14"/>
        <v>623.51300000000003</v>
      </c>
      <c r="H49" s="67">
        <f t="shared" si="14"/>
        <v>928.49350000000004</v>
      </c>
      <c r="I49" s="67">
        <f t="shared" si="14"/>
        <v>1202.454</v>
      </c>
      <c r="J49" s="67">
        <f t="shared" si="14"/>
        <v>1160.4835</v>
      </c>
      <c r="K49" s="67">
        <f t="shared" si="14"/>
        <v>1027.5429999999999</v>
      </c>
      <c r="L49" s="67">
        <f t="shared" si="14"/>
        <v>1703.7075</v>
      </c>
      <c r="M49" s="67">
        <f t="shared" si="14"/>
        <v>1708.135</v>
      </c>
      <c r="N49" s="67">
        <f t="shared" si="14"/>
        <v>1847.3290000000002</v>
      </c>
      <c r="O49" s="67">
        <f t="shared" si="14"/>
        <v>2439.569</v>
      </c>
      <c r="P49" s="67">
        <f t="shared" si="14"/>
        <v>2351.4535000000001</v>
      </c>
      <c r="Q49" s="67">
        <f t="shared" si="14"/>
        <v>2360.5780000000004</v>
      </c>
      <c r="R49" s="67">
        <f t="shared" si="14"/>
        <v>2595.4389999999999</v>
      </c>
      <c r="S49" s="67">
        <f t="shared" si="14"/>
        <v>3009.116</v>
      </c>
      <c r="T49" s="67">
        <f t="shared" si="14"/>
        <v>3473.8879999999995</v>
      </c>
      <c r="U49" s="67">
        <f t="shared" si="14"/>
        <v>3847.69</v>
      </c>
      <c r="V49" s="67">
        <f t="shared" si="14"/>
        <v>3761.4005000000002</v>
      </c>
      <c r="W49" s="67">
        <f t="shared" si="14"/>
        <v>3667.8124999999995</v>
      </c>
      <c r="X49" s="67">
        <f t="shared" si="14"/>
        <v>4764.6994999999988</v>
      </c>
      <c r="Y49" s="67">
        <f t="shared" si="14"/>
        <v>4724.8080000000009</v>
      </c>
      <c r="Z49" s="67">
        <f t="shared" si="14"/>
        <v>4956.7980000000007</v>
      </c>
      <c r="AA49" s="67">
        <f t="shared" si="14"/>
        <v>5810.75</v>
      </c>
      <c r="AB49" s="67">
        <f t="shared" si="14"/>
        <v>5835.5</v>
      </c>
      <c r="AC49" s="67">
        <f t="shared" si="14"/>
        <v>5702.8125</v>
      </c>
      <c r="AD49" s="67">
        <f t="shared" si="14"/>
        <v>5976.773000000001</v>
      </c>
      <c r="AE49" s="67">
        <f t="shared" si="14"/>
        <v>6390.4500000000007</v>
      </c>
      <c r="AF49" s="67">
        <f t="shared" si="14"/>
        <v>6946.192</v>
      </c>
      <c r="AG49" s="67">
        <f t="shared" si="14"/>
        <v>7410.9639999999999</v>
      </c>
      <c r="AH49" s="67">
        <f t="shared" si="14"/>
        <v>7096.3365000000003</v>
      </c>
      <c r="AI49" s="67">
        <f t="shared" si="14"/>
        <v>6956.3504999999996</v>
      </c>
      <c r="AJ49" s="67">
        <f t="shared" ref="AJ49:BJ49" si="15">AI16</f>
        <v>8095.9835000000003</v>
      </c>
      <c r="AK49" s="67">
        <f t="shared" si="15"/>
        <v>7874.152</v>
      </c>
      <c r="AL49" s="67">
        <f t="shared" si="15"/>
        <v>8106.1419999999998</v>
      </c>
      <c r="AM49" s="67">
        <f t="shared" si="15"/>
        <v>9453.0150000000012</v>
      </c>
      <c r="AN49" s="67">
        <f t="shared" si="15"/>
        <v>9569.7635000000009</v>
      </c>
      <c r="AO49" s="67">
        <f t="shared" si="15"/>
        <v>9216.0364999999983</v>
      </c>
      <c r="AP49" s="67">
        <f t="shared" si="15"/>
        <v>9627.3649999999998</v>
      </c>
      <c r="AQ49" s="67">
        <f t="shared" si="15"/>
        <v>10361.923000000001</v>
      </c>
      <c r="AR49" s="67">
        <f t="shared" si="15"/>
        <v>11145.227500000001</v>
      </c>
      <c r="AS49" s="67">
        <f t="shared" si="15"/>
        <v>11881.089</v>
      </c>
      <c r="AT49" s="67">
        <f t="shared" si="15"/>
        <v>11581.058500000001</v>
      </c>
      <c r="AU49" s="67">
        <f t="shared" si="15"/>
        <v>11359.226999999999</v>
      </c>
      <c r="AV49" s="67">
        <f t="shared" si="15"/>
        <v>13172.928999999998</v>
      </c>
      <c r="AW49" s="67">
        <f t="shared" si="15"/>
        <v>12962.048000000003</v>
      </c>
      <c r="AX49" s="67">
        <f t="shared" si="15"/>
        <v>13426.028000000002</v>
      </c>
      <c r="AY49" s="67">
        <f t="shared" si="15"/>
        <v>15458.7125</v>
      </c>
      <c r="AZ49" s="67">
        <f t="shared" si="15"/>
        <v>15524.618999999999</v>
      </c>
      <c r="BA49" s="67">
        <f t="shared" si="15"/>
        <v>15042.648499999999</v>
      </c>
      <c r="BB49" s="67">
        <f t="shared" si="15"/>
        <v>15541.823000000002</v>
      </c>
      <c r="BC49" s="67">
        <f t="shared" si="15"/>
        <v>14826.861499999999</v>
      </c>
      <c r="BD49" s="67">
        <f t="shared" si="15"/>
        <v>17796.845000000001</v>
      </c>
      <c r="BE49" s="67">
        <f t="shared" si="15"/>
        <v>18997.478500000001</v>
      </c>
      <c r="BF49" s="67">
        <f t="shared" si="15"/>
        <v>18657.556499999999</v>
      </c>
      <c r="BG49" s="67">
        <f t="shared" si="15"/>
        <v>18292.092499999999</v>
      </c>
      <c r="BH49" s="67">
        <f t="shared" si="15"/>
        <v>21245.427500000002</v>
      </c>
      <c r="BI49" s="67">
        <f t="shared" si="15"/>
        <v>20812.715</v>
      </c>
      <c r="BJ49" s="67">
        <f t="shared" si="15"/>
        <v>21508.685000000001</v>
      </c>
      <c r="BK49" s="70"/>
    </row>
    <row r="50" spans="2:63" x14ac:dyDescent="0.2">
      <c r="B50" s="93" t="s">
        <v>163</v>
      </c>
      <c r="C50" s="67">
        <f>'Personnel - Calculs auto'!B81</f>
        <v>8840</v>
      </c>
      <c r="D50" s="67">
        <f>'Personnel - Calculs auto'!C81</f>
        <v>8840</v>
      </c>
      <c r="E50" s="67">
        <f>'Personnel - Calculs auto'!D81</f>
        <v>12415</v>
      </c>
      <c r="F50" s="67">
        <f>'Personnel - Calculs auto'!E81</f>
        <v>12415</v>
      </c>
      <c r="G50" s="67">
        <f>'Personnel - Calculs auto'!F81</f>
        <v>12415</v>
      </c>
      <c r="H50" s="67">
        <f>'Personnel - Calculs auto'!G81</f>
        <v>13108</v>
      </c>
      <c r="I50" s="67">
        <f>'Personnel - Calculs auto'!H81</f>
        <v>13108</v>
      </c>
      <c r="J50" s="67">
        <f>'Personnel - Calculs auto'!I81</f>
        <v>13108</v>
      </c>
      <c r="K50" s="67">
        <f>'Personnel - Calculs auto'!J81</f>
        <v>12415</v>
      </c>
      <c r="L50" s="67">
        <f>'Personnel - Calculs auto'!K81</f>
        <v>12415</v>
      </c>
      <c r="M50" s="67">
        <f>'Personnel - Calculs auto'!L81</f>
        <v>12415</v>
      </c>
      <c r="N50" s="67">
        <f>'Personnel - Calculs auto'!M81</f>
        <v>13108</v>
      </c>
      <c r="O50" s="67">
        <f>'Personnel - Calculs auto'!O81</f>
        <v>10507.5</v>
      </c>
      <c r="P50" s="67">
        <f>'Personnel - Calculs auto'!P81</f>
        <v>10507.5</v>
      </c>
      <c r="Q50" s="67">
        <f>'Personnel - Calculs auto'!Q81</f>
        <v>10507.5</v>
      </c>
      <c r="R50" s="67">
        <f>'Personnel - Calculs auto'!R81</f>
        <v>10507.5</v>
      </c>
      <c r="S50" s="67">
        <f>'Personnel - Calculs auto'!S81</f>
        <v>10507.5</v>
      </c>
      <c r="T50" s="67">
        <f>'Personnel - Calculs auto'!T81</f>
        <v>13069.583333333334</v>
      </c>
      <c r="U50" s="67">
        <f>'Personnel - Calculs auto'!U81</f>
        <v>13069.583333333334</v>
      </c>
      <c r="V50" s="67">
        <f>'Personnel - Calculs auto'!V81</f>
        <v>13069.583333333334</v>
      </c>
      <c r="W50" s="67">
        <f>'Personnel - Calculs auto'!W81</f>
        <v>17478.75</v>
      </c>
      <c r="X50" s="67">
        <f>'Personnel - Calculs auto'!X81</f>
        <v>17478.75</v>
      </c>
      <c r="Y50" s="67">
        <f>'Personnel - Calculs auto'!Y81</f>
        <v>17478.75</v>
      </c>
      <c r="Z50" s="67">
        <f>'Personnel - Calculs auto'!Z81</f>
        <v>17478.75</v>
      </c>
      <c r="AA50" s="67">
        <f>'Personnel - Calculs auto'!$AB$81/6</f>
        <v>18991.666666666668</v>
      </c>
      <c r="AB50" s="67">
        <f>'Personnel - Calculs auto'!$AB$81/6</f>
        <v>18991.666666666668</v>
      </c>
      <c r="AC50" s="67">
        <f>'Personnel - Calculs auto'!$AB$81/6</f>
        <v>18991.666666666668</v>
      </c>
      <c r="AD50" s="67">
        <f>'Personnel - Calculs auto'!$AB$81/6</f>
        <v>18991.666666666668</v>
      </c>
      <c r="AE50" s="67">
        <f>'Personnel - Calculs auto'!$AB$81/6</f>
        <v>18991.666666666668</v>
      </c>
      <c r="AF50" s="67">
        <f>'Personnel - Calculs auto'!$AB$81/6</f>
        <v>18991.666666666668</v>
      </c>
      <c r="AG50" s="67">
        <f>'Personnel - Calculs auto'!$AC$81/6</f>
        <v>18991.666666666668</v>
      </c>
      <c r="AH50" s="67">
        <f>'Personnel - Calculs auto'!$AC$81/6</f>
        <v>18991.666666666668</v>
      </c>
      <c r="AI50" s="67">
        <f>'Personnel - Calculs auto'!$AC$81/6</f>
        <v>18991.666666666668</v>
      </c>
      <c r="AJ50" s="67">
        <f>'Personnel - Calculs auto'!$AC$81/6</f>
        <v>18991.666666666668</v>
      </c>
      <c r="AK50" s="67">
        <f>'Personnel - Calculs auto'!$AC$81/6</f>
        <v>18991.666666666668</v>
      </c>
      <c r="AL50" s="67">
        <f>'Personnel - Calculs auto'!$AC$81/6</f>
        <v>18991.666666666668</v>
      </c>
      <c r="AM50" s="67">
        <f>'Personnel - Calculs auto'!$AE$81/6</f>
        <v>25450</v>
      </c>
      <c r="AN50" s="67">
        <f>'Personnel - Calculs auto'!$AE$81/6</f>
        <v>25450</v>
      </c>
      <c r="AO50" s="67">
        <f>'Personnel - Calculs auto'!$AE$81/6</f>
        <v>25450</v>
      </c>
      <c r="AP50" s="67">
        <f>'Personnel - Calculs auto'!$AE$81/6</f>
        <v>25450</v>
      </c>
      <c r="AQ50" s="67">
        <f>'Personnel - Calculs auto'!$AE$81/6</f>
        <v>25450</v>
      </c>
      <c r="AR50" s="67">
        <f>'Personnel - Calculs auto'!$AE$81/6</f>
        <v>25450</v>
      </c>
      <c r="AS50" s="67">
        <f>'Personnel - Calculs auto'!$AF$81/6</f>
        <v>25450</v>
      </c>
      <c r="AT50" s="67">
        <f>'Personnel - Calculs auto'!$AF$81/6</f>
        <v>25450</v>
      </c>
      <c r="AU50" s="67">
        <f>'Personnel - Calculs auto'!$AF$81/6</f>
        <v>25450</v>
      </c>
      <c r="AV50" s="67">
        <f>'Personnel - Calculs auto'!$AF$81/6</f>
        <v>25450</v>
      </c>
      <c r="AW50" s="67">
        <f>'Personnel - Calculs auto'!$AF$81/6</f>
        <v>25450</v>
      </c>
      <c r="AX50" s="67">
        <f>'Personnel - Calculs auto'!$AF$81/6</f>
        <v>25450</v>
      </c>
      <c r="AY50" s="67">
        <f>'Personnel - Calculs auto'!$AH$81/6</f>
        <v>32527.5</v>
      </c>
      <c r="AZ50" s="67">
        <f>'Personnel - Calculs auto'!$AH$81/6</f>
        <v>32527.5</v>
      </c>
      <c r="BA50" s="67">
        <f>'Personnel - Calculs auto'!$AH$81/6</f>
        <v>32527.5</v>
      </c>
      <c r="BB50" s="67">
        <f>'Personnel - Calculs auto'!$AH$81/6</f>
        <v>32527.5</v>
      </c>
      <c r="BC50" s="67">
        <f>'Personnel - Calculs auto'!$AH$81/6</f>
        <v>32527.5</v>
      </c>
      <c r="BD50" s="67">
        <f>'Personnel - Calculs auto'!$AH$81/6</f>
        <v>32527.5</v>
      </c>
      <c r="BE50" s="67">
        <f>'Personnel - Calculs auto'!$AI$81/6</f>
        <v>32527.5</v>
      </c>
      <c r="BF50" s="67">
        <f>'Personnel - Calculs auto'!$AI$81/6</f>
        <v>32527.5</v>
      </c>
      <c r="BG50" s="67">
        <f>'Personnel - Calculs auto'!$AI$81/6</f>
        <v>32527.5</v>
      </c>
      <c r="BH50" s="67">
        <f>'Personnel - Calculs auto'!$AI$81/6</f>
        <v>32527.5</v>
      </c>
      <c r="BI50" s="67">
        <f>'Personnel - Calculs auto'!$AI$81/6</f>
        <v>32527.5</v>
      </c>
      <c r="BJ50" s="67">
        <f>'Personnel - Calculs auto'!$AI$81/6</f>
        <v>32527.5</v>
      </c>
      <c r="BK50" s="70"/>
    </row>
    <row r="51" spans="2:63" x14ac:dyDescent="0.2">
      <c r="B51" s="93" t="s">
        <v>164</v>
      </c>
      <c r="C51" s="67">
        <f>'Impôts et taxes'!$C$14/12</f>
        <v>177.26657777777777</v>
      </c>
      <c r="D51" s="67">
        <f>'Impôts et taxes'!$C$14/12</f>
        <v>177.26657777777777</v>
      </c>
      <c r="E51" s="67">
        <f>'Impôts et taxes'!$C$14/12</f>
        <v>177.26657777777777</v>
      </c>
      <c r="F51" s="67">
        <f>'Impôts et taxes'!$C$14/12</f>
        <v>177.26657777777777</v>
      </c>
      <c r="G51" s="67">
        <f>'Impôts et taxes'!$C$14/12</f>
        <v>177.26657777777777</v>
      </c>
      <c r="H51" s="67">
        <f>'Impôts et taxes'!$C$14/12</f>
        <v>177.26657777777777</v>
      </c>
      <c r="I51" s="67">
        <f>'Impôts et taxes'!$C$14/12</f>
        <v>177.26657777777777</v>
      </c>
      <c r="J51" s="67">
        <f>'Impôts et taxes'!$C$14/12</f>
        <v>177.26657777777777</v>
      </c>
      <c r="K51" s="67">
        <f>'Impôts et taxes'!$C$14/12</f>
        <v>177.26657777777777</v>
      </c>
      <c r="L51" s="67">
        <f>'Impôts et taxes'!$C$14/12</f>
        <v>177.26657777777777</v>
      </c>
      <c r="M51" s="67">
        <f>'Impôts et taxes'!$C$14/12</f>
        <v>177.26657777777777</v>
      </c>
      <c r="N51" s="67">
        <f>'Impôts et taxes'!$C$14/12</f>
        <v>177.26657777777777</v>
      </c>
      <c r="O51" s="67">
        <f>'Impôts et taxes'!$D$14/12</f>
        <v>423.03348083333327</v>
      </c>
      <c r="P51" s="67">
        <f>'Impôts et taxes'!$D$14/12</f>
        <v>423.03348083333327</v>
      </c>
      <c r="Q51" s="67">
        <f>'Impôts et taxes'!$D$14/12+'Comptes de résultats'!C34+(0.25*'Comptes de résultats'!C34)</f>
        <v>423.03348083333327</v>
      </c>
      <c r="R51" s="67">
        <f>'Impôts et taxes'!$D$14/12</f>
        <v>423.03348083333327</v>
      </c>
      <c r="S51" s="67">
        <f>'Impôts et taxes'!$D$14/12</f>
        <v>423.03348083333327</v>
      </c>
      <c r="T51" s="67">
        <f>'Impôts et taxes'!$D$14/12+(0.25*'Comptes de résultats'!C34)</f>
        <v>423.03348083333327</v>
      </c>
      <c r="U51" s="67">
        <f>'Impôts et taxes'!$D$14/12</f>
        <v>423.03348083333327</v>
      </c>
      <c r="V51" s="67">
        <f>'Impôts et taxes'!$D$14/12</f>
        <v>423.03348083333327</v>
      </c>
      <c r="W51" s="67">
        <f>'Impôts et taxes'!$D$14/12+(0.25*'Comptes de résultats'!C34)</f>
        <v>423.03348083333327</v>
      </c>
      <c r="X51" s="67">
        <f>'Impôts et taxes'!$D$14/12</f>
        <v>423.03348083333327</v>
      </c>
      <c r="Y51" s="67">
        <f>'Impôts et taxes'!$D$14/12</f>
        <v>423.03348083333327</v>
      </c>
      <c r="Z51" s="67">
        <f>'Impôts et taxes'!$D$14/12+(0.25*'Comptes de résultats'!C34)</f>
        <v>423.03348083333327</v>
      </c>
      <c r="AA51" s="67">
        <f>'Impôts et taxes'!$E$14/12</f>
        <v>702.30970750000006</v>
      </c>
      <c r="AB51" s="67">
        <f>'Impôts et taxes'!$E$14/12</f>
        <v>702.30970750000006</v>
      </c>
      <c r="AC51" s="67">
        <f>'Impôts et taxes'!$E$14/12+'Comptes de résultats'!D34-'Comptes de résultats'!C34+(0.25*'Comptes de résultats'!D34)</f>
        <v>702.30970750000006</v>
      </c>
      <c r="AD51" s="67">
        <f>'Impôts et taxes'!$E$14/12</f>
        <v>702.30970750000006</v>
      </c>
      <c r="AE51" s="67">
        <f>'Impôts et taxes'!$E$14/12</f>
        <v>702.30970750000006</v>
      </c>
      <c r="AF51" s="67">
        <f>'Impôts et taxes'!$E$14/12+(0.25*'Comptes de résultats'!D34)</f>
        <v>702.30970750000006</v>
      </c>
      <c r="AG51" s="67">
        <f>'Impôts et taxes'!$E$14/12</f>
        <v>702.30970750000006</v>
      </c>
      <c r="AH51" s="67">
        <f>'Impôts et taxes'!$E$14/12</f>
        <v>702.30970750000006</v>
      </c>
      <c r="AI51" s="67">
        <f>'Impôts et taxes'!$E$14/12+(0.25*'Comptes de résultats'!D34)</f>
        <v>702.30970750000006</v>
      </c>
      <c r="AJ51" s="67">
        <f>'Impôts et taxes'!$E$14/12</f>
        <v>702.30970750000006</v>
      </c>
      <c r="AK51" s="67">
        <f>'Impôts et taxes'!$E$14/12</f>
        <v>702.30970750000006</v>
      </c>
      <c r="AL51" s="67">
        <f>'Impôts et taxes'!$E$14/12+(0.25*'Comptes de résultats'!D34)</f>
        <v>702.30970750000006</v>
      </c>
      <c r="AM51" s="67">
        <f>'Impôts et taxes'!$F$14/12</f>
        <v>1067.2179104166667</v>
      </c>
      <c r="AN51" s="67">
        <f>'Impôts et taxes'!$F$14/12</f>
        <v>1067.2179104166667</v>
      </c>
      <c r="AO51" s="67">
        <f>'Impôts et taxes'!$F$14/12+'Comptes de résultats'!E34-'Comptes de résultats'!D34+(0.25*'Comptes de résultats'!E34)</f>
        <v>128618.96816421012</v>
      </c>
      <c r="AP51" s="67">
        <f>'Impôts et taxes'!$F$14/12</f>
        <v>1067.2179104166667</v>
      </c>
      <c r="AQ51" s="67">
        <f>'Impôts et taxes'!$F$14/12</f>
        <v>1067.2179104166667</v>
      </c>
      <c r="AR51" s="67">
        <f>'Impôts et taxes'!$F$14/12+(0.25*'Comptes de résultats'!E34)</f>
        <v>26577.567961175359</v>
      </c>
      <c r="AS51" s="67">
        <f>'Impôts et taxes'!$F$14/12</f>
        <v>1067.2179104166667</v>
      </c>
      <c r="AT51" s="67">
        <f>'Impôts et taxes'!$F$14/12</f>
        <v>1067.2179104166667</v>
      </c>
      <c r="AU51" s="67">
        <f>'Impôts et taxes'!$F$14/12+(0.25*'Comptes de résultats'!E34)</f>
        <v>26577.567961175359</v>
      </c>
      <c r="AV51" s="67">
        <f>'Impôts et taxes'!$F$14/12</f>
        <v>1067.2179104166667</v>
      </c>
      <c r="AW51" s="67">
        <f>'Impôts et taxes'!$F$14/12</f>
        <v>1067.2179104166667</v>
      </c>
      <c r="AX51" s="67">
        <f>'Impôts et taxes'!$F$14/12+(0.25*'Comptes de résultats'!E34)</f>
        <v>26577.567961175359</v>
      </c>
      <c r="AY51" s="67">
        <f>'Impôts et taxes'!$G$14/12</f>
        <v>2840.8481468333334</v>
      </c>
      <c r="AZ51" s="67">
        <f>'Impôts et taxes'!$G$14/12</f>
        <v>2840.8481468333334</v>
      </c>
      <c r="BA51" s="67">
        <f>'Impôts et taxes'!$G$14/12+'Comptes de résultats'!F34-'Comptes de résultats'!E34+(0.25*'Comptes de résultats'!F34)</f>
        <v>175498.18506587297</v>
      </c>
      <c r="BB51" s="67">
        <f>'Impôts et taxes'!$G$14/12</f>
        <v>2840.8481468333334</v>
      </c>
      <c r="BC51" s="67">
        <f>'Impôts et taxes'!$G$14/12</f>
        <v>2840.8481468333334</v>
      </c>
      <c r="BD51" s="67">
        <f>'Impôts et taxes'!$G$14/12+(0.25*'Comptes de résultats'!F34)</f>
        <v>57780.59557124821</v>
      </c>
      <c r="BE51" s="67">
        <f>'Impôts et taxes'!$G$14/12</f>
        <v>2840.8481468333334</v>
      </c>
      <c r="BF51" s="67">
        <f>'Impôts et taxes'!$G$14/12</f>
        <v>2840.8481468333334</v>
      </c>
      <c r="BG51" s="67">
        <f>'Impôts et taxes'!$G$14/12+(0.25*'Comptes de résultats'!F34)</f>
        <v>57780.59557124821</v>
      </c>
      <c r="BH51" s="67">
        <f>'Impôts et taxes'!$G$14/12</f>
        <v>2840.8481468333334</v>
      </c>
      <c r="BI51" s="67">
        <f>'Impôts et taxes'!$G$14/12</f>
        <v>2840.8481468333334</v>
      </c>
      <c r="BJ51" s="67">
        <f>'Impôts et taxes'!$G$14/12+(0.25*'Comptes de résultats'!F34)</f>
        <v>57780.59557124821</v>
      </c>
      <c r="BK51" s="70"/>
    </row>
    <row r="53" spans="2:63" x14ac:dyDescent="0.2">
      <c r="B53" s="183" t="s">
        <v>136</v>
      </c>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8"/>
      <c r="BK53" s="70"/>
    </row>
    <row r="54" spans="2:63" ht="16" customHeight="1" x14ac:dyDescent="0.2">
      <c r="B54" s="94" t="s">
        <v>165</v>
      </c>
      <c r="C54" s="67">
        <f>Investissements!C28-Investissements!C9-C55</f>
        <v>33000</v>
      </c>
      <c r="D54" s="67">
        <f>Investissements!D28-Investissements!D9-D55</f>
        <v>0</v>
      </c>
      <c r="E54" s="67">
        <f>Investissements!E28-Investissements!E9-E55</f>
        <v>0</v>
      </c>
      <c r="F54" s="67">
        <f>Investissements!F28-Investissements!F9-F55</f>
        <v>0</v>
      </c>
      <c r="G54" s="67">
        <f>Investissements!G28-Investissements!G9-G55</f>
        <v>0</v>
      </c>
      <c r="H54" s="67">
        <f>Investissements!H28-Investissements!H9-H55</f>
        <v>0</v>
      </c>
      <c r="I54" s="67">
        <f>Investissements!I28-Investissements!I9-I55</f>
        <v>0</v>
      </c>
      <c r="J54" s="67">
        <f>Investissements!J28-Investissements!J9-J55</f>
        <v>0</v>
      </c>
      <c r="K54" s="67">
        <f>Investissements!K28-Investissements!K9-K55</f>
        <v>0</v>
      </c>
      <c r="L54" s="67">
        <f>Investissements!L28-Investissements!L9-L55</f>
        <v>0</v>
      </c>
      <c r="M54" s="67">
        <f>Investissements!M28-Investissements!M9-M55</f>
        <v>0</v>
      </c>
      <c r="N54" s="67">
        <f>Investissements!N28-Investissements!N9-N55</f>
        <v>0</v>
      </c>
      <c r="O54" s="67">
        <f>Investissements!P28-Investissements!P9-O55</f>
        <v>0</v>
      </c>
      <c r="P54" s="67">
        <f>Investissements!Q28-Investissements!Q9-P55</f>
        <v>0</v>
      </c>
      <c r="Q54" s="67">
        <f>Investissements!R28-Investissements!R9-Q55</f>
        <v>15000</v>
      </c>
      <c r="R54" s="67">
        <f>Investissements!S28-Investissements!S9-R55</f>
        <v>0</v>
      </c>
      <c r="S54" s="67">
        <f>Investissements!T28-Investissements!T9-S55</f>
        <v>0</v>
      </c>
      <c r="T54" s="67">
        <f>Investissements!U28-Investissements!U9-T55</f>
        <v>4500</v>
      </c>
      <c r="U54" s="67">
        <f>Investissements!V28-Investissements!V9-U55</f>
        <v>0</v>
      </c>
      <c r="V54" s="67">
        <f>Investissements!W28-Investissements!W9-V55</f>
        <v>0</v>
      </c>
      <c r="W54" s="67">
        <f>Investissements!X28-Investissements!X9-W55</f>
        <v>0</v>
      </c>
      <c r="X54" s="67">
        <f>Investissements!Y28-Investissements!Y9-X55</f>
        <v>0</v>
      </c>
      <c r="Y54" s="67">
        <f>Investissements!Z28-Investissements!Z9-Y55</f>
        <v>0</v>
      </c>
      <c r="Z54" s="67">
        <f>Investissements!AA28-Investissements!AA9-Z55</f>
        <v>0</v>
      </c>
      <c r="AA54" s="67">
        <f>Investissements!AC28-Investissements!AC9-AA55</f>
        <v>15000</v>
      </c>
      <c r="AB54" s="67"/>
      <c r="AC54" s="67"/>
      <c r="AD54" s="67"/>
      <c r="AE54" s="67"/>
      <c r="AF54" s="67"/>
      <c r="AG54" s="67">
        <f>Investissements!AD28-Investissements!AD9-AG55</f>
        <v>0</v>
      </c>
      <c r="AH54" s="67"/>
      <c r="AI54" s="67"/>
      <c r="AJ54" s="67"/>
      <c r="AK54" s="67"/>
      <c r="AL54" s="67"/>
      <c r="AM54" s="67">
        <f>Investissements!AF28-Investissements!AF9-AM55</f>
        <v>0</v>
      </c>
      <c r="AN54" s="67"/>
      <c r="AO54" s="67"/>
      <c r="AP54" s="67"/>
      <c r="AQ54" s="67"/>
      <c r="AR54" s="67"/>
      <c r="AS54" s="67">
        <f>Investissements!AG28-Investissements!AG9-AS55</f>
        <v>0</v>
      </c>
      <c r="AT54" s="67"/>
      <c r="AU54" s="67"/>
      <c r="AV54" s="67"/>
      <c r="AW54" s="67"/>
      <c r="AX54" s="67"/>
      <c r="AY54" s="67">
        <f>Investissements!AI28-Investissements!AI9-AY55</f>
        <v>0</v>
      </c>
      <c r="AZ54" s="67"/>
      <c r="BA54" s="67"/>
      <c r="BB54" s="67"/>
      <c r="BC54" s="67"/>
      <c r="BD54" s="67"/>
      <c r="BE54" s="67">
        <f>Investissements!AJ28-Investissements!AJ9-BE55</f>
        <v>0</v>
      </c>
      <c r="BF54" s="67"/>
      <c r="BG54" s="67"/>
      <c r="BH54" s="67"/>
      <c r="BI54" s="67"/>
      <c r="BJ54" s="67"/>
      <c r="BK54" s="70"/>
    </row>
    <row r="55" spans="2:63" ht="16" customHeight="1" x14ac:dyDescent="0.2">
      <c r="B55" s="94" t="s">
        <v>166</v>
      </c>
      <c r="C55" s="67">
        <v>0</v>
      </c>
      <c r="D55" s="67">
        <f>SUMPRODUCT((Investissements!D9:D27)*(Investissements!$AS9:$AS27))</f>
        <v>0</v>
      </c>
      <c r="E55" s="67">
        <f>SUMPRODUCT((Investissements!E9:E27)*(Investissements!$AS9:$AS27))</f>
        <v>0</v>
      </c>
      <c r="F55" s="67">
        <f>SUMPRODUCT((Investissements!F9:F27)*(Investissements!$AS9:$AS27))</f>
        <v>0</v>
      </c>
      <c r="G55" s="67">
        <f>SUMPRODUCT((Investissements!G9:G27)*(Investissements!$AS9:$AS27))</f>
        <v>0</v>
      </c>
      <c r="H55" s="67">
        <f>SUMPRODUCT((Investissements!H9:H27)*(Investissements!$AS9:$AS27))</f>
        <v>0</v>
      </c>
      <c r="I55" s="67">
        <f>SUMPRODUCT((Investissements!I9:I27)*(Investissements!$AS9:$AS27))</f>
        <v>0</v>
      </c>
      <c r="J55" s="67">
        <f>SUMPRODUCT((Investissements!J9:J27)*(Investissements!$AS9:$AS27))</f>
        <v>0</v>
      </c>
      <c r="K55" s="67">
        <f>SUMPRODUCT((Investissements!K9:K27)*(Investissements!$AS9:$AS27))</f>
        <v>0</v>
      </c>
      <c r="L55" s="67">
        <f>SUMPRODUCT((Investissements!L9:L27)*(Investissements!$AS9:$AS27))</f>
        <v>0</v>
      </c>
      <c r="M55" s="67">
        <f>SUMPRODUCT((Investissements!M9:M27)*(Investissements!$AS9:$AS27))</f>
        <v>0</v>
      </c>
      <c r="N55" s="67">
        <f>SUMPRODUCT((Investissements!N9:N27)*(Investissements!$AS9:$AS27))</f>
        <v>0</v>
      </c>
      <c r="O55" s="67">
        <f>SUMPRODUCT((Investissements!P9:P27)*(Investissements!$AS9:$AS27))</f>
        <v>0</v>
      </c>
      <c r="P55" s="67">
        <f>SUMPRODUCT((Investissements!Q9:Q27)*(Investissements!$AS9:$AS27))</f>
        <v>0</v>
      </c>
      <c r="Q55" s="67">
        <f>SUMPRODUCT((Investissements!R9:R27)*(Investissements!$AS9:$AS27))</f>
        <v>0</v>
      </c>
      <c r="R55" s="67">
        <f>SUMPRODUCT((Investissements!S9:S27)*(Investissements!$AS9:$AS27))</f>
        <v>0</v>
      </c>
      <c r="S55" s="67">
        <f>SUMPRODUCT((Investissements!T9:T27)*(Investissements!$AS9:$AS27))</f>
        <v>0</v>
      </c>
      <c r="T55" s="67">
        <f>SUMPRODUCT((Investissements!U9:U27)*(Investissements!$AS9:$AS27))</f>
        <v>0</v>
      </c>
      <c r="U55" s="67">
        <f>SUMPRODUCT((Investissements!V9:V27)*(Investissements!$AS9:$AS27))</f>
        <v>0</v>
      </c>
      <c r="V55" s="67">
        <f>SUMPRODUCT((Investissements!W9:W27)*(Investissements!$AS9:$AS27))</f>
        <v>0</v>
      </c>
      <c r="W55" s="67">
        <f>SUMPRODUCT((Investissements!X9:X27)*(Investissements!$AS9:$AS27))</f>
        <v>0</v>
      </c>
      <c r="X55" s="67">
        <f>SUMPRODUCT((Investissements!Y9:Y27)*(Investissements!$AS9:$AS27))</f>
        <v>0</v>
      </c>
      <c r="Y55" s="67">
        <f>SUMPRODUCT((Investissements!Z9:Z27)*(Investissements!$AS9:$AS27))</f>
        <v>0</v>
      </c>
      <c r="Z55" s="67">
        <f>SUMPRODUCT((Investissements!AA9:AA27)*(Investissements!$AS9:$AS27))</f>
        <v>0</v>
      </c>
      <c r="AA55" s="67">
        <f>SUMPRODUCT((Investissements!AC9:AC27)*(Investissements!$AS9:$AS27))</f>
        <v>0</v>
      </c>
      <c r="AB55" s="67"/>
      <c r="AC55" s="67"/>
      <c r="AD55" s="67"/>
      <c r="AE55" s="67"/>
      <c r="AF55" s="67"/>
      <c r="AG55" s="67">
        <f>SUMPRODUCT((Investissements!AD9:AD27)*(Investissements!$AS9:$AS27))</f>
        <v>0</v>
      </c>
      <c r="AH55" s="67"/>
      <c r="AI55" s="67"/>
      <c r="AJ55" s="67"/>
      <c r="AK55" s="67"/>
      <c r="AL55" s="67"/>
      <c r="AM55" s="67">
        <f>SUMPRODUCT((Investissements!AF9:AF27)*(Investissements!$AS9:$AS27))</f>
        <v>0</v>
      </c>
      <c r="AN55" s="67"/>
      <c r="AO55" s="67"/>
      <c r="AP55" s="67"/>
      <c r="AQ55" s="67"/>
      <c r="AR55" s="67"/>
      <c r="AS55" s="67">
        <f>SUMPRODUCT((Investissements!AG9:AG27)*(Investissements!$AS9:$AS27))</f>
        <v>0</v>
      </c>
      <c r="AT55" s="67"/>
      <c r="AU55" s="67"/>
      <c r="AV55" s="67"/>
      <c r="AW55" s="67"/>
      <c r="AX55" s="67"/>
      <c r="AY55" s="67">
        <f>SUMPRODUCT((Investissements!AI9:AI27)*(Investissements!$AS9:$AS27))</f>
        <v>0</v>
      </c>
      <c r="AZ55" s="67"/>
      <c r="BA55" s="67"/>
      <c r="BB55" s="67"/>
      <c r="BC55" s="67"/>
      <c r="BD55" s="67"/>
      <c r="BE55" s="67">
        <f>SUMPRODUCT((Investissements!AJ9:AJ27)*(Investissements!$AS9:$AS27))</f>
        <v>0</v>
      </c>
      <c r="BF55" s="67"/>
      <c r="BG55" s="67"/>
      <c r="BH55" s="67"/>
      <c r="BI55" s="67"/>
      <c r="BJ55" s="67"/>
      <c r="BK55" s="70"/>
    </row>
    <row r="56" spans="2:63" ht="16" customHeight="1" x14ac:dyDescent="0.2">
      <c r="B56" s="94" t="s">
        <v>167</v>
      </c>
      <c r="C56" s="67">
        <f>-PMT(Config!$C$99/12,Config!$C$101,SUM(INDEX($C22:$BJ22,,IF((COLUMN(C$56)-COLUMN($C$56)+1)&gt;Config!$C$101,(COLUMN(C$56)-COLUMN($C$56)+1)-Config!$C$101,0)+1):INDEX($C22:$BJ22,,COLUMN(C$56)-COLUMN($C$56)+1)),,)</f>
        <v>0</v>
      </c>
      <c r="D56" s="67">
        <v>750</v>
      </c>
      <c r="E56" s="67">
        <v>750</v>
      </c>
      <c r="F56" s="67">
        <v>750</v>
      </c>
      <c r="G56" s="67">
        <v>750</v>
      </c>
      <c r="H56" s="67">
        <v>750</v>
      </c>
      <c r="I56" s="67">
        <v>750</v>
      </c>
      <c r="J56" s="67">
        <v>750</v>
      </c>
      <c r="K56" s="67">
        <v>750</v>
      </c>
      <c r="L56" s="67">
        <v>750</v>
      </c>
      <c r="M56" s="67">
        <v>750</v>
      </c>
      <c r="N56" s="67">
        <v>750</v>
      </c>
      <c r="O56" s="67">
        <v>750</v>
      </c>
      <c r="P56" s="67">
        <v>750</v>
      </c>
      <c r="Q56" s="67">
        <v>750</v>
      </c>
      <c r="R56" s="67">
        <v>750</v>
      </c>
      <c r="S56" s="67">
        <v>750</v>
      </c>
      <c r="T56" s="67">
        <v>750</v>
      </c>
      <c r="U56" s="67">
        <v>750</v>
      </c>
      <c r="V56" s="67">
        <v>750</v>
      </c>
      <c r="W56" s="67">
        <v>750</v>
      </c>
      <c r="X56" s="67">
        <v>750</v>
      </c>
      <c r="Y56" s="67">
        <v>750</v>
      </c>
      <c r="Z56" s="67">
        <v>750</v>
      </c>
      <c r="AA56" s="67">
        <v>750</v>
      </c>
      <c r="AB56" s="67">
        <v>750</v>
      </c>
      <c r="AC56" s="67">
        <v>750</v>
      </c>
      <c r="AD56" s="67">
        <v>750</v>
      </c>
      <c r="AE56" s="67">
        <v>750</v>
      </c>
      <c r="AF56" s="67">
        <v>750</v>
      </c>
      <c r="AG56" s="67">
        <v>750</v>
      </c>
      <c r="AH56" s="67">
        <v>750</v>
      </c>
      <c r="AI56" s="67">
        <v>750</v>
      </c>
      <c r="AJ56" s="67">
        <v>750</v>
      </c>
      <c r="AK56" s="67">
        <v>750</v>
      </c>
      <c r="AL56" s="67">
        <v>750</v>
      </c>
      <c r="AM56" s="67">
        <v>750</v>
      </c>
      <c r="AN56" s="67">
        <v>750</v>
      </c>
      <c r="AO56" s="67">
        <v>750</v>
      </c>
      <c r="AP56" s="67">
        <v>750</v>
      </c>
      <c r="AQ56" s="67">
        <v>750</v>
      </c>
      <c r="AR56" s="67">
        <v>750</v>
      </c>
      <c r="AS56" s="67">
        <v>750</v>
      </c>
      <c r="AT56" s="67">
        <v>750</v>
      </c>
      <c r="AU56" s="67">
        <v>750</v>
      </c>
      <c r="AV56" s="67">
        <v>750</v>
      </c>
      <c r="AW56" s="67">
        <v>750</v>
      </c>
      <c r="AX56" s="67">
        <v>750</v>
      </c>
      <c r="AY56" s="67">
        <v>750</v>
      </c>
      <c r="AZ56" s="67">
        <v>750</v>
      </c>
      <c r="BA56" s="67">
        <v>750</v>
      </c>
      <c r="BB56" s="67">
        <v>750</v>
      </c>
      <c r="BC56" s="67">
        <v>750</v>
      </c>
      <c r="BD56" s="67">
        <v>750</v>
      </c>
      <c r="BE56" s="67">
        <v>750</v>
      </c>
      <c r="BF56" s="67">
        <v>750</v>
      </c>
      <c r="BG56" s="67">
        <v>750</v>
      </c>
      <c r="BH56" s="67">
        <v>750</v>
      </c>
      <c r="BI56" s="67">
        <v>750</v>
      </c>
      <c r="BJ56" s="67">
        <v>750</v>
      </c>
      <c r="BK56" s="70">
        <v>750</v>
      </c>
    </row>
    <row r="57" spans="2:63" ht="16" customHeight="1" x14ac:dyDescent="0.2">
      <c r="B57" s="94" t="s">
        <v>168</v>
      </c>
      <c r="C57" s="67">
        <f>-PMT(Config!$D$99/12,Config!$D$101,SUM(INDEX($C23:$BJ23,,IF((COLUMN(C$57)-COLUMN($C$57)+1)&gt;Config!$D$101,(COLUMN(C$57)-COLUMN($C$57)+1)-Config!$D$101,0)+1):INDEX($C23:$BJ23,,COLUMN(C$57)-COLUMN($C$57)+1)),,)</f>
        <v>0</v>
      </c>
      <c r="D57" s="67">
        <v>552</v>
      </c>
      <c r="E57" s="67">
        <v>552</v>
      </c>
      <c r="F57" s="67">
        <v>552</v>
      </c>
      <c r="G57" s="67">
        <v>552</v>
      </c>
      <c r="H57" s="67">
        <v>552</v>
      </c>
      <c r="I57" s="67">
        <v>552</v>
      </c>
      <c r="J57" s="67">
        <v>552</v>
      </c>
      <c r="K57" s="67">
        <v>552</v>
      </c>
      <c r="L57" s="67">
        <v>552</v>
      </c>
      <c r="M57" s="67">
        <v>552</v>
      </c>
      <c r="N57" s="67">
        <v>552</v>
      </c>
      <c r="O57" s="67">
        <v>552</v>
      </c>
      <c r="P57" s="67">
        <v>552</v>
      </c>
      <c r="Q57" s="67">
        <v>552</v>
      </c>
      <c r="R57" s="67">
        <v>552</v>
      </c>
      <c r="S57" s="67">
        <v>552</v>
      </c>
      <c r="T57" s="67">
        <v>552</v>
      </c>
      <c r="U57" s="67">
        <v>552</v>
      </c>
      <c r="V57" s="67">
        <v>552</v>
      </c>
      <c r="W57" s="67">
        <v>552</v>
      </c>
      <c r="X57" s="67">
        <v>552</v>
      </c>
      <c r="Y57" s="67">
        <v>552</v>
      </c>
      <c r="Z57" s="67">
        <v>552</v>
      </c>
      <c r="AA57" s="67">
        <v>552</v>
      </c>
      <c r="AB57" s="67">
        <v>552</v>
      </c>
      <c r="AC57" s="67">
        <v>552</v>
      </c>
      <c r="AD57" s="67">
        <v>552</v>
      </c>
      <c r="AE57" s="67">
        <v>552</v>
      </c>
      <c r="AF57" s="67">
        <v>552</v>
      </c>
      <c r="AG57" s="67">
        <v>552</v>
      </c>
      <c r="AH57" s="67">
        <v>552</v>
      </c>
      <c r="AI57" s="67">
        <v>552</v>
      </c>
      <c r="AJ57" s="67">
        <v>552</v>
      </c>
      <c r="AK57" s="67">
        <v>552</v>
      </c>
      <c r="AL57" s="67">
        <v>552</v>
      </c>
      <c r="AM57" s="67">
        <v>552</v>
      </c>
      <c r="AN57" s="67">
        <v>552</v>
      </c>
      <c r="AO57" s="67">
        <v>552</v>
      </c>
      <c r="AP57" s="67">
        <v>552</v>
      </c>
      <c r="AQ57" s="67">
        <v>552</v>
      </c>
      <c r="AR57" s="67">
        <v>552</v>
      </c>
      <c r="AS57" s="67">
        <v>552</v>
      </c>
      <c r="AT57" s="67">
        <v>552</v>
      </c>
      <c r="AU57" s="67">
        <v>552</v>
      </c>
      <c r="AV57" s="67">
        <v>552</v>
      </c>
      <c r="AW57" s="67">
        <v>552</v>
      </c>
      <c r="AX57" s="67">
        <v>552</v>
      </c>
      <c r="AY57" s="67">
        <v>552</v>
      </c>
      <c r="AZ57" s="67">
        <v>552</v>
      </c>
      <c r="BA57" s="67">
        <v>552</v>
      </c>
      <c r="BB57" s="67">
        <v>552</v>
      </c>
      <c r="BC57" s="67">
        <v>552</v>
      </c>
      <c r="BD57" s="67">
        <v>552</v>
      </c>
      <c r="BE57" s="67">
        <v>552</v>
      </c>
      <c r="BF57" s="67">
        <v>552</v>
      </c>
      <c r="BG57" s="67">
        <v>552</v>
      </c>
      <c r="BH57" s="67">
        <v>552</v>
      </c>
      <c r="BI57" s="67">
        <v>552</v>
      </c>
      <c r="BJ57" s="67">
        <v>552</v>
      </c>
      <c r="BK57" s="70"/>
    </row>
    <row r="58" spans="2:63" x14ac:dyDescent="0.2">
      <c r="B58" s="54" t="s">
        <v>169</v>
      </c>
      <c r="C58" s="83">
        <f t="shared" ref="C58:AH58" si="16">SUM(C59:C62)</f>
        <v>0</v>
      </c>
      <c r="D58" s="83">
        <f t="shared" si="16"/>
        <v>0</v>
      </c>
      <c r="E58" s="83">
        <f t="shared" si="16"/>
        <v>0</v>
      </c>
      <c r="F58" s="83">
        <f t="shared" si="16"/>
        <v>0</v>
      </c>
      <c r="G58" s="83">
        <f t="shared" si="16"/>
        <v>0</v>
      </c>
      <c r="H58" s="83">
        <f t="shared" si="16"/>
        <v>0</v>
      </c>
      <c r="I58" s="83">
        <f t="shared" si="16"/>
        <v>0</v>
      </c>
      <c r="J58" s="83">
        <f t="shared" si="16"/>
        <v>0</v>
      </c>
      <c r="K58" s="83">
        <f t="shared" si="16"/>
        <v>0</v>
      </c>
      <c r="L58" s="83">
        <f t="shared" si="16"/>
        <v>0</v>
      </c>
      <c r="M58" s="83">
        <f t="shared" si="16"/>
        <v>0</v>
      </c>
      <c r="N58" s="83">
        <f t="shared" si="16"/>
        <v>0</v>
      </c>
      <c r="O58" s="83">
        <f t="shared" si="16"/>
        <v>0</v>
      </c>
      <c r="P58" s="83">
        <f t="shared" si="16"/>
        <v>0</v>
      </c>
      <c r="Q58" s="83">
        <f t="shared" si="16"/>
        <v>0</v>
      </c>
      <c r="R58" s="83">
        <f t="shared" si="16"/>
        <v>0</v>
      </c>
      <c r="S58" s="83">
        <f t="shared" si="16"/>
        <v>0</v>
      </c>
      <c r="T58" s="83">
        <f t="shared" si="16"/>
        <v>0</v>
      </c>
      <c r="U58" s="83">
        <f t="shared" si="16"/>
        <v>0</v>
      </c>
      <c r="V58" s="83">
        <f t="shared" si="16"/>
        <v>0</v>
      </c>
      <c r="W58" s="83">
        <f t="shared" si="16"/>
        <v>0</v>
      </c>
      <c r="X58" s="83">
        <f t="shared" si="16"/>
        <v>0</v>
      </c>
      <c r="Y58" s="83">
        <f t="shared" si="16"/>
        <v>0</v>
      </c>
      <c r="Z58" s="83">
        <f t="shared" si="16"/>
        <v>0</v>
      </c>
      <c r="AA58" s="83">
        <f t="shared" si="16"/>
        <v>0</v>
      </c>
      <c r="AB58" s="83">
        <f t="shared" si="16"/>
        <v>0</v>
      </c>
      <c r="AC58" s="83">
        <f t="shared" si="16"/>
        <v>0</v>
      </c>
      <c r="AD58" s="83">
        <f t="shared" si="16"/>
        <v>0</v>
      </c>
      <c r="AE58" s="83">
        <f t="shared" si="16"/>
        <v>0</v>
      </c>
      <c r="AF58" s="83">
        <f t="shared" si="16"/>
        <v>0</v>
      </c>
      <c r="AG58" s="83">
        <f t="shared" si="16"/>
        <v>0</v>
      </c>
      <c r="AH58" s="83">
        <f t="shared" si="16"/>
        <v>0</v>
      </c>
      <c r="AI58" s="83">
        <f t="shared" ref="AI58:BN58" si="17">SUM(AI59:AI62)</f>
        <v>0</v>
      </c>
      <c r="AJ58" s="83">
        <f t="shared" si="17"/>
        <v>0</v>
      </c>
      <c r="AK58" s="83">
        <f t="shared" si="17"/>
        <v>0</v>
      </c>
      <c r="AL58" s="83">
        <f t="shared" si="17"/>
        <v>0</v>
      </c>
      <c r="AM58" s="83">
        <f t="shared" si="17"/>
        <v>0</v>
      </c>
      <c r="AN58" s="83">
        <f t="shared" si="17"/>
        <v>0</v>
      </c>
      <c r="AO58" s="83">
        <f t="shared" si="17"/>
        <v>0</v>
      </c>
      <c r="AP58" s="83">
        <f t="shared" si="17"/>
        <v>0</v>
      </c>
      <c r="AQ58" s="83">
        <f t="shared" si="17"/>
        <v>0</v>
      </c>
      <c r="AR58" s="83">
        <f t="shared" si="17"/>
        <v>0</v>
      </c>
      <c r="AS58" s="83">
        <f t="shared" si="17"/>
        <v>0</v>
      </c>
      <c r="AT58" s="83">
        <f t="shared" si="17"/>
        <v>0</v>
      </c>
      <c r="AU58" s="83">
        <f t="shared" si="17"/>
        <v>0</v>
      </c>
      <c r="AV58" s="83">
        <f t="shared" si="17"/>
        <v>0</v>
      </c>
      <c r="AW58" s="83">
        <f t="shared" si="17"/>
        <v>0</v>
      </c>
      <c r="AX58" s="83">
        <f t="shared" si="17"/>
        <v>0</v>
      </c>
      <c r="AY58" s="83">
        <f t="shared" si="17"/>
        <v>0</v>
      </c>
      <c r="AZ58" s="83">
        <f t="shared" si="17"/>
        <v>0</v>
      </c>
      <c r="BA58" s="83">
        <f t="shared" si="17"/>
        <v>0</v>
      </c>
      <c r="BB58" s="83">
        <f t="shared" si="17"/>
        <v>0</v>
      </c>
      <c r="BC58" s="83">
        <f t="shared" si="17"/>
        <v>0</v>
      </c>
      <c r="BD58" s="83">
        <f t="shared" si="17"/>
        <v>0</v>
      </c>
      <c r="BE58" s="83">
        <f t="shared" si="17"/>
        <v>0</v>
      </c>
      <c r="BF58" s="83">
        <f t="shared" si="17"/>
        <v>0</v>
      </c>
      <c r="BG58" s="83">
        <f t="shared" si="17"/>
        <v>0</v>
      </c>
      <c r="BH58" s="83">
        <f t="shared" si="17"/>
        <v>0</v>
      </c>
      <c r="BI58" s="83">
        <f t="shared" si="17"/>
        <v>0</v>
      </c>
      <c r="BJ58" s="83">
        <f t="shared" si="17"/>
        <v>0</v>
      </c>
      <c r="BK58" s="70"/>
    </row>
    <row r="59" spans="2:63" x14ac:dyDescent="0.2">
      <c r="B59" s="67" t="str">
        <f>B30</f>
        <v>Compte courant 1</v>
      </c>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0"/>
    </row>
    <row r="60" spans="2:63" x14ac:dyDescent="0.2">
      <c r="B60" s="67" t="str">
        <f>B31</f>
        <v>Compte courant 2</v>
      </c>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0"/>
    </row>
    <row r="61" spans="2:63" x14ac:dyDescent="0.2">
      <c r="B61" s="67" t="str">
        <f>B32</f>
        <v>Compte courant 3</v>
      </c>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0"/>
    </row>
    <row r="62" spans="2:63" x14ac:dyDescent="0.2">
      <c r="B62" s="67" t="str">
        <f>B33</f>
        <v>Autres comptes courants</v>
      </c>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0"/>
    </row>
    <row r="63" spans="2:63" ht="16" customHeight="1" x14ac:dyDescent="0.2">
      <c r="B63" s="95" t="s">
        <v>170</v>
      </c>
      <c r="C63" s="83">
        <f t="shared" ref="C63:AH63" si="18">SUM(C64:C67)</f>
        <v>0</v>
      </c>
      <c r="D63" s="83">
        <f t="shared" si="18"/>
        <v>0</v>
      </c>
      <c r="E63" s="83">
        <f t="shared" si="18"/>
        <v>0</v>
      </c>
      <c r="F63" s="83">
        <f t="shared" si="18"/>
        <v>0</v>
      </c>
      <c r="G63" s="83">
        <f t="shared" si="18"/>
        <v>0</v>
      </c>
      <c r="H63" s="83">
        <f t="shared" si="18"/>
        <v>0</v>
      </c>
      <c r="I63" s="83">
        <f t="shared" si="18"/>
        <v>250</v>
      </c>
      <c r="J63" s="83">
        <f t="shared" si="18"/>
        <v>250</v>
      </c>
      <c r="K63" s="83">
        <f t="shared" si="18"/>
        <v>250</v>
      </c>
      <c r="L63" s="83">
        <f t="shared" si="18"/>
        <v>250</v>
      </c>
      <c r="M63" s="83">
        <f t="shared" si="18"/>
        <v>250</v>
      </c>
      <c r="N63" s="83">
        <f t="shared" si="18"/>
        <v>250</v>
      </c>
      <c r="O63" s="83">
        <f t="shared" si="18"/>
        <v>250</v>
      </c>
      <c r="P63" s="83">
        <f t="shared" si="18"/>
        <v>250</v>
      </c>
      <c r="Q63" s="83">
        <f t="shared" si="18"/>
        <v>250</v>
      </c>
      <c r="R63" s="83">
        <f t="shared" si="18"/>
        <v>250</v>
      </c>
      <c r="S63" s="83">
        <f t="shared" si="18"/>
        <v>250</v>
      </c>
      <c r="T63" s="83">
        <f t="shared" si="18"/>
        <v>250</v>
      </c>
      <c r="U63" s="83">
        <f t="shared" si="18"/>
        <v>250</v>
      </c>
      <c r="V63" s="83">
        <f t="shared" si="18"/>
        <v>250</v>
      </c>
      <c r="W63" s="83">
        <f t="shared" si="18"/>
        <v>250</v>
      </c>
      <c r="X63" s="83">
        <f t="shared" si="18"/>
        <v>250</v>
      </c>
      <c r="Y63" s="83">
        <f t="shared" si="18"/>
        <v>250</v>
      </c>
      <c r="Z63" s="83">
        <f t="shared" si="18"/>
        <v>250</v>
      </c>
      <c r="AA63" s="83">
        <f t="shared" si="18"/>
        <v>250</v>
      </c>
      <c r="AB63" s="83">
        <f t="shared" si="18"/>
        <v>250</v>
      </c>
      <c r="AC63" s="83">
        <f t="shared" si="18"/>
        <v>250</v>
      </c>
      <c r="AD63" s="83">
        <f t="shared" si="18"/>
        <v>250</v>
      </c>
      <c r="AE63" s="83">
        <f t="shared" si="18"/>
        <v>250</v>
      </c>
      <c r="AF63" s="83">
        <f t="shared" si="18"/>
        <v>250</v>
      </c>
      <c r="AG63" s="83">
        <f t="shared" si="18"/>
        <v>250</v>
      </c>
      <c r="AH63" s="83">
        <f t="shared" si="18"/>
        <v>250</v>
      </c>
      <c r="AI63" s="83">
        <f t="shared" ref="AI63:BN63" si="19">SUM(AI64:AI67)</f>
        <v>250</v>
      </c>
      <c r="AJ63" s="83">
        <f t="shared" si="19"/>
        <v>250</v>
      </c>
      <c r="AK63" s="83">
        <f t="shared" si="19"/>
        <v>250</v>
      </c>
      <c r="AL63" s="83">
        <f t="shared" si="19"/>
        <v>250</v>
      </c>
      <c r="AM63" s="83">
        <f t="shared" si="19"/>
        <v>250</v>
      </c>
      <c r="AN63" s="83">
        <f t="shared" si="19"/>
        <v>250</v>
      </c>
      <c r="AO63" s="83">
        <f t="shared" si="19"/>
        <v>250</v>
      </c>
      <c r="AP63" s="83">
        <f t="shared" si="19"/>
        <v>250</v>
      </c>
      <c r="AQ63" s="83">
        <f t="shared" si="19"/>
        <v>250</v>
      </c>
      <c r="AR63" s="83">
        <f t="shared" si="19"/>
        <v>250</v>
      </c>
      <c r="AS63" s="83">
        <f t="shared" si="19"/>
        <v>250</v>
      </c>
      <c r="AT63" s="83">
        <f t="shared" si="19"/>
        <v>250</v>
      </c>
      <c r="AU63" s="83">
        <f t="shared" si="19"/>
        <v>250</v>
      </c>
      <c r="AV63" s="83">
        <f t="shared" si="19"/>
        <v>250</v>
      </c>
      <c r="AW63" s="83">
        <f t="shared" si="19"/>
        <v>250</v>
      </c>
      <c r="AX63" s="83">
        <f t="shared" si="19"/>
        <v>250</v>
      </c>
      <c r="AY63" s="83">
        <f t="shared" si="19"/>
        <v>250</v>
      </c>
      <c r="AZ63" s="83">
        <f t="shared" si="19"/>
        <v>250</v>
      </c>
      <c r="BA63" s="83">
        <f t="shared" si="19"/>
        <v>250</v>
      </c>
      <c r="BB63" s="83">
        <f t="shared" si="19"/>
        <v>250</v>
      </c>
      <c r="BC63" s="83">
        <f t="shared" si="19"/>
        <v>250</v>
      </c>
      <c r="BD63" s="83">
        <f t="shared" si="19"/>
        <v>250</v>
      </c>
      <c r="BE63" s="83">
        <f t="shared" si="19"/>
        <v>250</v>
      </c>
      <c r="BF63" s="83">
        <f t="shared" si="19"/>
        <v>250</v>
      </c>
      <c r="BG63" s="83">
        <f t="shared" si="19"/>
        <v>250</v>
      </c>
      <c r="BH63" s="83">
        <f t="shared" si="19"/>
        <v>250</v>
      </c>
      <c r="BI63" s="83">
        <f t="shared" si="19"/>
        <v>250</v>
      </c>
      <c r="BJ63" s="83">
        <f t="shared" si="19"/>
        <v>250</v>
      </c>
      <c r="BK63" s="70"/>
    </row>
    <row r="64" spans="2:63" x14ac:dyDescent="0.2">
      <c r="B64" s="67" t="str">
        <f>B35</f>
        <v>Avances remboursables 1</v>
      </c>
      <c r="C64" s="79"/>
      <c r="D64" s="79"/>
      <c r="E64" s="79"/>
      <c r="F64" s="79"/>
      <c r="G64" s="79"/>
      <c r="H64" s="79"/>
      <c r="I64" s="79">
        <v>250</v>
      </c>
      <c r="J64" s="79">
        <v>250</v>
      </c>
      <c r="K64" s="79">
        <v>250</v>
      </c>
      <c r="L64" s="79">
        <v>250</v>
      </c>
      <c r="M64" s="79">
        <v>250</v>
      </c>
      <c r="N64" s="79">
        <v>250</v>
      </c>
      <c r="O64" s="79">
        <v>250</v>
      </c>
      <c r="P64" s="79">
        <v>250</v>
      </c>
      <c r="Q64" s="79">
        <v>250</v>
      </c>
      <c r="R64" s="79">
        <v>250</v>
      </c>
      <c r="S64" s="79">
        <v>250</v>
      </c>
      <c r="T64" s="79">
        <v>250</v>
      </c>
      <c r="U64" s="79">
        <v>250</v>
      </c>
      <c r="V64" s="79">
        <v>250</v>
      </c>
      <c r="W64" s="79">
        <v>250</v>
      </c>
      <c r="X64" s="79">
        <v>250</v>
      </c>
      <c r="Y64" s="79">
        <v>250</v>
      </c>
      <c r="Z64" s="79">
        <v>250</v>
      </c>
      <c r="AA64" s="79">
        <v>250</v>
      </c>
      <c r="AB64" s="79">
        <v>250</v>
      </c>
      <c r="AC64" s="79">
        <v>250</v>
      </c>
      <c r="AD64" s="79">
        <v>250</v>
      </c>
      <c r="AE64" s="79">
        <v>250</v>
      </c>
      <c r="AF64" s="79">
        <v>250</v>
      </c>
      <c r="AG64" s="79">
        <v>250</v>
      </c>
      <c r="AH64" s="79">
        <v>250</v>
      </c>
      <c r="AI64" s="79">
        <v>250</v>
      </c>
      <c r="AJ64" s="79">
        <v>250</v>
      </c>
      <c r="AK64" s="79">
        <v>250</v>
      </c>
      <c r="AL64" s="79">
        <v>250</v>
      </c>
      <c r="AM64" s="79">
        <v>250</v>
      </c>
      <c r="AN64" s="79">
        <v>250</v>
      </c>
      <c r="AO64" s="79">
        <v>250</v>
      </c>
      <c r="AP64" s="79">
        <v>250</v>
      </c>
      <c r="AQ64" s="79">
        <v>250</v>
      </c>
      <c r="AR64" s="79">
        <v>250</v>
      </c>
      <c r="AS64" s="79">
        <v>250</v>
      </c>
      <c r="AT64" s="79">
        <v>250</v>
      </c>
      <c r="AU64" s="79">
        <v>250</v>
      </c>
      <c r="AV64" s="79">
        <v>250</v>
      </c>
      <c r="AW64" s="79">
        <v>250</v>
      </c>
      <c r="AX64" s="79">
        <v>250</v>
      </c>
      <c r="AY64" s="79">
        <v>250</v>
      </c>
      <c r="AZ64" s="79">
        <v>250</v>
      </c>
      <c r="BA64" s="79">
        <v>250</v>
      </c>
      <c r="BB64" s="79">
        <v>250</v>
      </c>
      <c r="BC64" s="79">
        <v>250</v>
      </c>
      <c r="BD64" s="79">
        <v>250</v>
      </c>
      <c r="BE64" s="79">
        <v>250</v>
      </c>
      <c r="BF64" s="79">
        <v>250</v>
      </c>
      <c r="BG64" s="79">
        <v>250</v>
      </c>
      <c r="BH64" s="79">
        <v>250</v>
      </c>
      <c r="BI64" s="79">
        <v>250</v>
      </c>
      <c r="BJ64" s="79">
        <v>250</v>
      </c>
      <c r="BK64" s="70"/>
    </row>
    <row r="65" spans="2:63" x14ac:dyDescent="0.2">
      <c r="B65" s="67" t="str">
        <f>B36</f>
        <v>Avances remboursables 2</v>
      </c>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0"/>
    </row>
    <row r="66" spans="2:63" x14ac:dyDescent="0.2">
      <c r="B66" s="67" t="str">
        <f>B37</f>
        <v>Avances remboursables 3</v>
      </c>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0"/>
    </row>
    <row r="67" spans="2:63" x14ac:dyDescent="0.2">
      <c r="B67" s="67" t="str">
        <f>B38</f>
        <v>Autres avances remboursables</v>
      </c>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0"/>
    </row>
    <row r="68" spans="2:63" x14ac:dyDescent="0.2">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row>
    <row r="69" spans="2:63" x14ac:dyDescent="0.2">
      <c r="B69" s="143" t="s">
        <v>171</v>
      </c>
      <c r="C69" s="83">
        <f t="shared" ref="C69:AH69" si="20">SUM(C45:C51)+SUM(C54:C58)+C63</f>
        <v>60481.556777777776</v>
      </c>
      <c r="D69" s="83">
        <f t="shared" si="20"/>
        <v>22794.423777777778</v>
      </c>
      <c r="E69" s="83">
        <f t="shared" si="20"/>
        <v>27141.477277777776</v>
      </c>
      <c r="F69" s="83">
        <f t="shared" si="20"/>
        <v>28233.798777777778</v>
      </c>
      <c r="G69" s="83">
        <f t="shared" si="20"/>
        <v>30468.019777777776</v>
      </c>
      <c r="H69" s="83">
        <f t="shared" si="20"/>
        <v>33388.800277777773</v>
      </c>
      <c r="I69" s="83">
        <f t="shared" si="20"/>
        <v>35949.410777777775</v>
      </c>
      <c r="J69" s="83">
        <f t="shared" si="20"/>
        <v>35682.040277777771</v>
      </c>
      <c r="K69" s="83">
        <f t="shared" si="20"/>
        <v>34141.949777777772</v>
      </c>
      <c r="L69" s="83">
        <f t="shared" si="20"/>
        <v>39579.114277777779</v>
      </c>
      <c r="M69" s="83">
        <f t="shared" si="20"/>
        <v>39720.391777777775</v>
      </c>
      <c r="N69" s="83">
        <f t="shared" si="20"/>
        <v>41639.335777777778</v>
      </c>
      <c r="O69" s="83">
        <f t="shared" si="20"/>
        <v>57816.83128083335</v>
      </c>
      <c r="P69" s="83">
        <f t="shared" si="20"/>
        <v>57028.940780833349</v>
      </c>
      <c r="Q69" s="83">
        <f t="shared" si="20"/>
        <v>75201.365280833357</v>
      </c>
      <c r="R69" s="83">
        <f t="shared" si="20"/>
        <v>59038.176280833344</v>
      </c>
      <c r="S69" s="83">
        <f t="shared" si="20"/>
        <v>62352.728280833348</v>
      </c>
      <c r="T69" s="83">
        <f t="shared" si="20"/>
        <v>74069.158614166678</v>
      </c>
      <c r="U69" s="83">
        <f t="shared" si="20"/>
        <v>71843.785614166671</v>
      </c>
      <c r="V69" s="83">
        <f t="shared" si="20"/>
        <v>71293.471114166678</v>
      </c>
      <c r="W69" s="83">
        <f t="shared" si="20"/>
        <v>75217.474780833334</v>
      </c>
      <c r="X69" s="83">
        <f t="shared" si="20"/>
        <v>84015.911780833339</v>
      </c>
      <c r="Y69" s="83">
        <f t="shared" si="20"/>
        <v>83874.245280833347</v>
      </c>
      <c r="Z69" s="83">
        <f t="shared" si="20"/>
        <v>85917.485280833338</v>
      </c>
      <c r="AA69" s="83">
        <f t="shared" si="20"/>
        <v>130382.65697416668</v>
      </c>
      <c r="AB69" s="83">
        <f t="shared" si="20"/>
        <v>111979.03197416668</v>
      </c>
      <c r="AC69" s="83">
        <f t="shared" si="20"/>
        <v>111020.06947416668</v>
      </c>
      <c r="AD69" s="83">
        <f t="shared" si="20"/>
        <v>113330.67997416668</v>
      </c>
      <c r="AE69" s="83">
        <f t="shared" si="20"/>
        <v>116645.23197416667</v>
      </c>
      <c r="AF69" s="83">
        <f t="shared" si="20"/>
        <v>120979.29897416667</v>
      </c>
      <c r="AG69" s="83">
        <f t="shared" si="20"/>
        <v>124733.64597416669</v>
      </c>
      <c r="AH69" s="83">
        <f t="shared" si="20"/>
        <v>122615.24347416668</v>
      </c>
      <c r="AI69" s="83">
        <f t="shared" ref="AI69:BJ69" si="21">SUM(AI45:AI51)+SUM(AI54:AI58)+AI63</f>
        <v>121721.43247416668</v>
      </c>
      <c r="AJ69" s="83">
        <f t="shared" si="21"/>
        <v>130453.36547416668</v>
      </c>
      <c r="AK69" s="83">
        <f t="shared" si="21"/>
        <v>129152.25897416667</v>
      </c>
      <c r="AL69" s="83">
        <f t="shared" si="21"/>
        <v>131195.49897416666</v>
      </c>
      <c r="AM69" s="83">
        <f t="shared" si="21"/>
        <v>171954.53741041667</v>
      </c>
      <c r="AN69" s="83">
        <f t="shared" si="21"/>
        <v>171684.88591041666</v>
      </c>
      <c r="AO69" s="83">
        <f t="shared" si="21"/>
        <v>296644.43416421011</v>
      </c>
      <c r="AP69" s="83">
        <f t="shared" si="21"/>
        <v>172391.66241041664</v>
      </c>
      <c r="AQ69" s="83">
        <f t="shared" si="21"/>
        <v>178203.47041041666</v>
      </c>
      <c r="AR69" s="83">
        <f t="shared" si="21"/>
        <v>209949.84996117535</v>
      </c>
      <c r="AS69" s="83">
        <f t="shared" si="21"/>
        <v>190710.88641041666</v>
      </c>
      <c r="AT69" s="83">
        <f t="shared" si="21"/>
        <v>188462.18091041668</v>
      </c>
      <c r="AU69" s="83">
        <f t="shared" si="21"/>
        <v>212671.42446117534</v>
      </c>
      <c r="AV69" s="83">
        <f t="shared" si="21"/>
        <v>201202.72641041665</v>
      </c>
      <c r="AW69" s="83">
        <f t="shared" si="21"/>
        <v>200311.62041041665</v>
      </c>
      <c r="AX69" s="83">
        <f t="shared" si="21"/>
        <v>229908.45046117535</v>
      </c>
      <c r="AY69" s="83">
        <f t="shared" si="21"/>
        <v>264901.28334683331</v>
      </c>
      <c r="AZ69" s="83">
        <f t="shared" si="21"/>
        <v>264079.96484683332</v>
      </c>
      <c r="BA69" s="83">
        <f t="shared" si="21"/>
        <v>433329.156265873</v>
      </c>
      <c r="BB69" s="83">
        <f t="shared" si="21"/>
        <v>264868.81884683331</v>
      </c>
      <c r="BC69" s="83">
        <f t="shared" si="21"/>
        <v>261895.83234683334</v>
      </c>
      <c r="BD69" s="83">
        <f t="shared" si="21"/>
        <v>337571.91327124822</v>
      </c>
      <c r="BE69" s="83">
        <f t="shared" si="21"/>
        <v>292657.89934683329</v>
      </c>
      <c r="BF69" s="83">
        <f t="shared" si="21"/>
        <v>290267.52734683332</v>
      </c>
      <c r="BG69" s="83">
        <f t="shared" si="21"/>
        <v>343552.66077124816</v>
      </c>
      <c r="BH69" s="83">
        <f t="shared" si="21"/>
        <v>311386.49834683328</v>
      </c>
      <c r="BI69" s="83">
        <f t="shared" si="21"/>
        <v>309194.28584683331</v>
      </c>
      <c r="BJ69" s="83">
        <f t="shared" si="21"/>
        <v>370263.75327124819</v>
      </c>
      <c r="BK69" s="70"/>
    </row>
    <row r="70" spans="2:63" x14ac:dyDescent="0.2">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row>
    <row r="71" spans="2:63" x14ac:dyDescent="0.2">
      <c r="B71" s="143" t="s">
        <v>172</v>
      </c>
      <c r="C71" s="83">
        <f t="shared" ref="C71:AH71" si="22">C10+C40-C69</f>
        <v>-3646.4897777777805</v>
      </c>
      <c r="D71" s="83">
        <f t="shared" si="22"/>
        <v>85953.563644444439</v>
      </c>
      <c r="E71" s="83">
        <f t="shared" si="22"/>
        <v>67449.785066666664</v>
      </c>
      <c r="F71" s="83">
        <f t="shared" si="22"/>
        <v>53307.905988888888</v>
      </c>
      <c r="G71" s="83">
        <f t="shared" si="22"/>
        <v>42905.486411111109</v>
      </c>
      <c r="H71" s="83">
        <f t="shared" si="22"/>
        <v>35092.271833333332</v>
      </c>
      <c r="I71" s="83">
        <f t="shared" si="22"/>
        <v>24164.176255555554</v>
      </c>
      <c r="J71" s="83">
        <f t="shared" si="22"/>
        <v>11219.060677777787</v>
      </c>
      <c r="K71" s="83">
        <f t="shared" si="22"/>
        <v>12754.700100000016</v>
      </c>
      <c r="L71" s="83">
        <f t="shared" si="22"/>
        <v>8844.9525222222292</v>
      </c>
      <c r="M71" s="83">
        <f t="shared" si="22"/>
        <v>8084.9214444444515</v>
      </c>
      <c r="N71" s="83">
        <f t="shared" si="22"/>
        <v>16784.036366666682</v>
      </c>
      <c r="O71" s="83">
        <f t="shared" si="22"/>
        <v>7757.1902858333415</v>
      </c>
      <c r="P71" s="83">
        <f t="shared" si="22"/>
        <v>2527.0281383333349</v>
      </c>
      <c r="Q71" s="83">
        <f t="shared" si="22"/>
        <v>-16461.772509166687</v>
      </c>
      <c r="R71" s="83">
        <f t="shared" si="22"/>
        <v>-8331.0071566666957</v>
      </c>
      <c r="S71" s="83">
        <f t="shared" si="22"/>
        <v>2609.3281958332955</v>
      </c>
      <c r="T71" s="83">
        <f t="shared" si="22"/>
        <v>9381.8102149999468</v>
      </c>
      <c r="U71" s="83">
        <f t="shared" si="22"/>
        <v>18053.550734166609</v>
      </c>
      <c r="V71" s="83">
        <f t="shared" si="22"/>
        <v>24945.742753333267</v>
      </c>
      <c r="W71" s="83">
        <f t="shared" si="22"/>
        <v>48893.69310583327</v>
      </c>
      <c r="X71" s="83">
        <f t="shared" si="22"/>
        <v>63226.939958333256</v>
      </c>
      <c r="Y71" s="83">
        <f t="shared" si="22"/>
        <v>83156.393310833242</v>
      </c>
      <c r="Z71" s="83">
        <f t="shared" si="22"/>
        <v>117409.68366333323</v>
      </c>
      <c r="AA71" s="83">
        <f t="shared" si="22"/>
        <v>107908.80232249988</v>
      </c>
      <c r="AB71" s="83">
        <f t="shared" si="22"/>
        <v>121000.44628166653</v>
      </c>
      <c r="AC71" s="83">
        <f t="shared" si="22"/>
        <v>137250.23824083322</v>
      </c>
      <c r="AD71" s="83">
        <f t="shared" si="22"/>
        <v>159016.72169999988</v>
      </c>
      <c r="AE71" s="83">
        <f t="shared" si="22"/>
        <v>188394.44515916656</v>
      </c>
      <c r="AF71" s="83">
        <f t="shared" si="22"/>
        <v>222731.64861833322</v>
      </c>
      <c r="AG71" s="83">
        <f t="shared" si="22"/>
        <v>247772.20257749985</v>
      </c>
      <c r="AH71" s="83">
        <f t="shared" si="22"/>
        <v>272675.04803666653</v>
      </c>
      <c r="AI71" s="83">
        <f t="shared" ref="AI71:BJ71" si="23">AI10+AI40-AI69</f>
        <v>320096.66249583318</v>
      </c>
      <c r="AJ71" s="83">
        <f t="shared" si="23"/>
        <v>354432.88745499984</v>
      </c>
      <c r="AK71" s="83">
        <f t="shared" si="23"/>
        <v>395510.50891416648</v>
      </c>
      <c r="AL71" s="83">
        <f t="shared" si="23"/>
        <v>460239.5883733331</v>
      </c>
      <c r="AM71" s="83">
        <f t="shared" si="23"/>
        <v>486685.32789624983</v>
      </c>
      <c r="AN71" s="83">
        <f t="shared" si="23"/>
        <v>511690.85006916645</v>
      </c>
      <c r="AO71" s="83">
        <f t="shared" si="23"/>
        <v>419576.45248828968</v>
      </c>
      <c r="AP71" s="83">
        <f t="shared" si="23"/>
        <v>465513.00966120639</v>
      </c>
      <c r="AQ71" s="83">
        <f t="shared" si="23"/>
        <v>521039.6133341231</v>
      </c>
      <c r="AR71" s="83">
        <f t="shared" si="23"/>
        <v>559597.24895628111</v>
      </c>
      <c r="AS71" s="83">
        <f t="shared" si="23"/>
        <v>612349.94262919773</v>
      </c>
      <c r="AT71" s="83">
        <f t="shared" si="23"/>
        <v>663818.23530211439</v>
      </c>
      <c r="AU71" s="83">
        <f t="shared" si="23"/>
        <v>725613.21142427239</v>
      </c>
      <c r="AV71" s="83">
        <f t="shared" si="23"/>
        <v>794691.02959718904</v>
      </c>
      <c r="AW71" s="83">
        <f t="shared" si="23"/>
        <v>875154.88377010578</v>
      </c>
      <c r="AX71" s="83">
        <f t="shared" si="23"/>
        <v>964923.76739226375</v>
      </c>
      <c r="AY71" s="83">
        <f t="shared" si="23"/>
        <v>1021436.5246287639</v>
      </c>
      <c r="AZ71" s="83">
        <f t="shared" si="23"/>
        <v>1077268.8412319305</v>
      </c>
      <c r="BA71" s="83">
        <f t="shared" si="23"/>
        <v>973311.31591605744</v>
      </c>
      <c r="BB71" s="83">
        <f t="shared" si="23"/>
        <v>1023718.1915192242</v>
      </c>
      <c r="BC71" s="83">
        <f t="shared" si="23"/>
        <v>1134550.0621223908</v>
      </c>
      <c r="BD71" s="83">
        <f t="shared" si="23"/>
        <v>1192441.6603011428</v>
      </c>
      <c r="BE71" s="83">
        <f t="shared" si="23"/>
        <v>1291044.3004043095</v>
      </c>
      <c r="BF71" s="83">
        <f t="shared" si="23"/>
        <v>1386178.1485074761</v>
      </c>
      <c r="BG71" s="83">
        <f t="shared" si="23"/>
        <v>1484409.7481862279</v>
      </c>
      <c r="BH71" s="83">
        <f t="shared" si="23"/>
        <v>1606339.1477893947</v>
      </c>
      <c r="BI71" s="83">
        <f t="shared" si="23"/>
        <v>1746395.9798925614</v>
      </c>
      <c r="BJ71" s="83">
        <f t="shared" si="23"/>
        <v>1890454.652071313</v>
      </c>
      <c r="BK71" s="70"/>
    </row>
    <row r="72" spans="2:63" x14ac:dyDescent="0.2">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row>
    <row r="73" spans="2:63" x14ac:dyDescent="0.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row>
    <row r="74" spans="2:63" x14ac:dyDescent="0.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row>
    <row r="75" spans="2:63" x14ac:dyDescent="0.2">
      <c r="F75" s="4"/>
    </row>
  </sheetData>
  <mergeCells count="13">
    <mergeCell ref="B53:BJ53"/>
    <mergeCell ref="B12:BJ12"/>
    <mergeCell ref="B5:O5"/>
    <mergeCell ref="B2:B3"/>
    <mergeCell ref="B44:BJ44"/>
    <mergeCell ref="O7:Z7"/>
    <mergeCell ref="C7:N7"/>
    <mergeCell ref="B19:BJ19"/>
    <mergeCell ref="AM7:AX7"/>
    <mergeCell ref="B42:BJ42"/>
    <mergeCell ref="AA7:AL7"/>
    <mergeCell ref="B14:BJ14"/>
    <mergeCell ref="AY7:BJ7"/>
  </mergeCells>
  <pageMargins left="0.7" right="0.7" top="0.75" bottom="0.75" header="0.3" footer="0.3"/>
  <pageSetup paperSize="9" fitToWidth="0" fitToHeight="0" orientation="landscape"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59999389629810485"/>
  </sheetPr>
  <dimension ref="B2:Q61"/>
  <sheetViews>
    <sheetView showGridLines="0" showRowColHeaders="0" zoomScale="85" zoomScaleNormal="85" workbookViewId="0">
      <pane xSplit="4" ySplit="7" topLeftCell="E8" activePane="bottomRight" state="frozen"/>
      <selection pane="topRight" activeCell="F1" sqref="F1"/>
      <selection pane="bottomLeft" activeCell="A8" sqref="A8"/>
      <selection pane="bottomRight" activeCell="M91" sqref="M91"/>
    </sheetView>
  </sheetViews>
  <sheetFormatPr baseColWidth="10" defaultColWidth="11.5" defaultRowHeight="15" x14ac:dyDescent="0.2"/>
  <cols>
    <col min="1" max="1" width="3.5" customWidth="1"/>
    <col min="2" max="2" width="16.33203125" customWidth="1"/>
    <col min="3" max="3" width="3.33203125" customWidth="1"/>
    <col min="4" max="4" width="17.5" customWidth="1"/>
    <col min="17" max="17" width="4.1640625" customWidth="1"/>
  </cols>
  <sheetData>
    <row r="2" spans="2:17" x14ac:dyDescent="0.2">
      <c r="B2" s="172" t="s">
        <v>173</v>
      </c>
      <c r="C2" s="176"/>
      <c r="D2" s="177"/>
      <c r="E2" s="70"/>
      <c r="F2" s="70"/>
      <c r="G2" s="70"/>
      <c r="H2" s="70"/>
      <c r="I2" s="70"/>
      <c r="J2" s="70"/>
      <c r="K2" s="70"/>
      <c r="L2" s="70"/>
      <c r="M2" s="70"/>
      <c r="N2" s="70"/>
      <c r="O2" s="70"/>
      <c r="P2" s="70"/>
      <c r="Q2" s="70"/>
    </row>
    <row r="3" spans="2:17" x14ac:dyDescent="0.2">
      <c r="B3" s="161"/>
      <c r="C3" s="178"/>
      <c r="D3" s="179"/>
      <c r="E3" s="70"/>
      <c r="F3" s="70"/>
      <c r="G3" s="70"/>
      <c r="H3" s="70"/>
      <c r="I3" s="70"/>
      <c r="J3" s="70"/>
      <c r="K3" s="70"/>
      <c r="L3" s="70"/>
      <c r="M3" s="70"/>
      <c r="N3" s="70"/>
      <c r="O3" s="70"/>
      <c r="P3" s="70"/>
      <c r="Q3" s="70"/>
    </row>
    <row r="4" spans="2:17" x14ac:dyDescent="0.2">
      <c r="B4" s="70"/>
      <c r="C4" s="70"/>
      <c r="D4" s="70"/>
      <c r="E4" s="70"/>
      <c r="F4" s="70"/>
      <c r="G4" s="70"/>
      <c r="H4" s="70"/>
      <c r="I4" s="70"/>
      <c r="J4" s="70"/>
      <c r="K4" s="70"/>
      <c r="L4" s="70"/>
      <c r="M4" s="70"/>
      <c r="N4" s="70"/>
      <c r="O4" s="70"/>
      <c r="P4" s="70"/>
      <c r="Q4" s="70"/>
    </row>
    <row r="5" spans="2:17" x14ac:dyDescent="0.2">
      <c r="B5" s="185" t="s">
        <v>174</v>
      </c>
      <c r="C5" s="157"/>
      <c r="D5" s="157"/>
      <c r="E5" s="157"/>
      <c r="F5" s="157"/>
      <c r="G5" s="157"/>
      <c r="H5" s="157"/>
      <c r="I5" s="157"/>
      <c r="J5" s="157"/>
      <c r="K5" s="157"/>
      <c r="L5" s="157"/>
      <c r="M5" s="157"/>
      <c r="N5" s="157"/>
      <c r="O5" s="157"/>
      <c r="P5" s="158"/>
      <c r="Q5" s="70"/>
    </row>
    <row r="6" spans="2:17" x14ac:dyDescent="0.2">
      <c r="B6" s="70"/>
      <c r="C6" s="70"/>
      <c r="D6" s="70"/>
      <c r="E6" s="70"/>
      <c r="F6" s="70"/>
      <c r="G6" s="70"/>
      <c r="H6" s="70"/>
      <c r="I6" s="70"/>
      <c r="J6" s="70"/>
      <c r="K6" s="70"/>
      <c r="L6" s="70"/>
      <c r="M6" s="70"/>
      <c r="N6" s="70"/>
      <c r="O6" s="70"/>
      <c r="P6" s="70"/>
      <c r="Q6" s="70"/>
    </row>
    <row r="7" spans="2:17" x14ac:dyDescent="0.2">
      <c r="B7" s="186" t="s">
        <v>63</v>
      </c>
      <c r="C7" s="157"/>
      <c r="D7" s="158"/>
      <c r="E7" s="55">
        <f>Config!$C$7</f>
        <v>46388</v>
      </c>
      <c r="F7" s="55">
        <f t="shared" ref="F7:P7" si="0">DATE(YEAR(E7),MONTH(E7)+1,DAY(E7))</f>
        <v>46419</v>
      </c>
      <c r="G7" s="55">
        <f t="shared" si="0"/>
        <v>46447</v>
      </c>
      <c r="H7" s="55">
        <f t="shared" si="0"/>
        <v>46478</v>
      </c>
      <c r="I7" s="55">
        <f t="shared" si="0"/>
        <v>46508</v>
      </c>
      <c r="J7" s="55">
        <f t="shared" si="0"/>
        <v>46539</v>
      </c>
      <c r="K7" s="55">
        <f t="shared" si="0"/>
        <v>46569</v>
      </c>
      <c r="L7" s="55">
        <f t="shared" si="0"/>
        <v>46600</v>
      </c>
      <c r="M7" s="55">
        <f t="shared" si="0"/>
        <v>46631</v>
      </c>
      <c r="N7" s="55">
        <f t="shared" si="0"/>
        <v>46661</v>
      </c>
      <c r="O7" s="55">
        <f t="shared" si="0"/>
        <v>46692</v>
      </c>
      <c r="P7" s="55">
        <f t="shared" si="0"/>
        <v>46722</v>
      </c>
      <c r="Q7" s="70"/>
    </row>
    <row r="8" spans="2:17" x14ac:dyDescent="0.2">
      <c r="B8" s="70"/>
      <c r="C8" s="70"/>
      <c r="D8" s="70"/>
      <c r="E8" s="70"/>
      <c r="F8" s="70"/>
      <c r="G8" s="70"/>
      <c r="H8" s="70"/>
      <c r="I8" s="70"/>
      <c r="J8" s="70"/>
      <c r="K8" s="70"/>
      <c r="L8" s="70"/>
      <c r="M8" s="70"/>
      <c r="N8" s="70"/>
      <c r="O8" s="70"/>
      <c r="P8" s="70"/>
      <c r="Q8" s="70"/>
    </row>
    <row r="9" spans="2:17" ht="15" customHeight="1" x14ac:dyDescent="0.2">
      <c r="B9" s="182" t="s">
        <v>175</v>
      </c>
      <c r="C9" s="70"/>
      <c r="D9" s="78" t="s">
        <v>176</v>
      </c>
      <c r="E9" s="118"/>
      <c r="F9" s="118"/>
      <c r="G9" s="118"/>
      <c r="H9" s="118"/>
      <c r="I9" s="118"/>
      <c r="J9" s="118"/>
      <c r="K9" s="118"/>
      <c r="L9" s="118"/>
      <c r="M9" s="118"/>
      <c r="N9" s="118"/>
      <c r="O9" s="118"/>
      <c r="P9" s="118"/>
      <c r="Q9" s="70"/>
    </row>
    <row r="10" spans="2:17" x14ac:dyDescent="0.2">
      <c r="B10" s="173"/>
      <c r="C10" s="70"/>
      <c r="D10" s="55" t="s">
        <v>177</v>
      </c>
      <c r="E10" s="67">
        <f>E9</f>
        <v>0</v>
      </c>
      <c r="F10" s="67">
        <f t="shared" ref="F10:P10" si="1">F9+E10</f>
        <v>0</v>
      </c>
      <c r="G10" s="67">
        <f t="shared" si="1"/>
        <v>0</v>
      </c>
      <c r="H10" s="67">
        <f t="shared" si="1"/>
        <v>0</v>
      </c>
      <c r="I10" s="67">
        <f t="shared" si="1"/>
        <v>0</v>
      </c>
      <c r="J10" s="67">
        <f t="shared" si="1"/>
        <v>0</v>
      </c>
      <c r="K10" s="67">
        <f t="shared" si="1"/>
        <v>0</v>
      </c>
      <c r="L10" s="67">
        <f t="shared" si="1"/>
        <v>0</v>
      </c>
      <c r="M10" s="67">
        <f t="shared" si="1"/>
        <v>0</v>
      </c>
      <c r="N10" s="67">
        <f t="shared" si="1"/>
        <v>0</v>
      </c>
      <c r="O10" s="67">
        <f t="shared" si="1"/>
        <v>0</v>
      </c>
      <c r="P10" s="67">
        <f t="shared" si="1"/>
        <v>0</v>
      </c>
      <c r="Q10" s="70"/>
    </row>
    <row r="11" spans="2:17" x14ac:dyDescent="0.2">
      <c r="B11" s="173"/>
      <c r="C11" s="70"/>
      <c r="D11" s="114"/>
      <c r="E11" s="70"/>
      <c r="F11" s="70"/>
      <c r="G11" s="70"/>
      <c r="H11" s="70"/>
      <c r="I11" s="70"/>
      <c r="J11" s="70"/>
      <c r="K11" s="70"/>
      <c r="L11" s="70"/>
      <c r="M11" s="70"/>
      <c r="N11" s="70"/>
      <c r="O11" s="70"/>
      <c r="P11" s="70"/>
      <c r="Q11" s="70"/>
    </row>
    <row r="12" spans="2:17" x14ac:dyDescent="0.2">
      <c r="B12" s="173"/>
      <c r="C12" s="70"/>
      <c r="D12" s="78" t="s">
        <v>178</v>
      </c>
      <c r="E12" s="119"/>
      <c r="F12" s="119"/>
      <c r="G12" s="119"/>
      <c r="H12" s="119"/>
      <c r="I12" s="119"/>
      <c r="J12" s="119"/>
      <c r="K12" s="119"/>
      <c r="L12" s="119"/>
      <c r="M12" s="119"/>
      <c r="N12" s="119"/>
      <c r="O12" s="119"/>
      <c r="P12" s="119"/>
      <c r="Q12" s="70"/>
    </row>
    <row r="13" spans="2:17" x14ac:dyDescent="0.2">
      <c r="B13" s="173"/>
      <c r="C13" s="70"/>
      <c r="D13" s="55" t="s">
        <v>179</v>
      </c>
      <c r="E13" s="67">
        <f>E12</f>
        <v>0</v>
      </c>
      <c r="F13" s="67">
        <f t="shared" ref="F13:P13" si="2">F12+E13</f>
        <v>0</v>
      </c>
      <c r="G13" s="67">
        <f t="shared" si="2"/>
        <v>0</v>
      </c>
      <c r="H13" s="67">
        <f t="shared" si="2"/>
        <v>0</v>
      </c>
      <c r="I13" s="67">
        <f t="shared" si="2"/>
        <v>0</v>
      </c>
      <c r="J13" s="67">
        <f t="shared" si="2"/>
        <v>0</v>
      </c>
      <c r="K13" s="67">
        <f t="shared" si="2"/>
        <v>0</v>
      </c>
      <c r="L13" s="67">
        <f t="shared" si="2"/>
        <v>0</v>
      </c>
      <c r="M13" s="67">
        <f t="shared" si="2"/>
        <v>0</v>
      </c>
      <c r="N13" s="67">
        <f t="shared" si="2"/>
        <v>0</v>
      </c>
      <c r="O13" s="67">
        <f t="shared" si="2"/>
        <v>0</v>
      </c>
      <c r="P13" s="67">
        <f t="shared" si="2"/>
        <v>0</v>
      </c>
      <c r="Q13" s="70"/>
    </row>
    <row r="14" spans="2:17" x14ac:dyDescent="0.2">
      <c r="B14" s="173"/>
      <c r="C14" s="70"/>
      <c r="D14" s="114"/>
      <c r="E14" s="70"/>
      <c r="F14" s="70"/>
      <c r="G14" s="70"/>
      <c r="H14" s="70"/>
      <c r="I14" s="70"/>
      <c r="J14" s="70"/>
      <c r="K14" s="70"/>
      <c r="L14" s="70"/>
      <c r="M14" s="70"/>
      <c r="N14" s="70"/>
      <c r="O14" s="70"/>
      <c r="P14" s="70"/>
      <c r="Q14" s="70"/>
    </row>
    <row r="15" spans="2:17" x14ac:dyDescent="0.2">
      <c r="B15" s="169"/>
      <c r="C15" s="70"/>
      <c r="D15" s="55" t="s">
        <v>180</v>
      </c>
      <c r="E15" s="67">
        <f t="shared" ref="E15:P15" si="3">E13-E10</f>
        <v>0</v>
      </c>
      <c r="F15" s="67">
        <f t="shared" si="3"/>
        <v>0</v>
      </c>
      <c r="G15" s="67">
        <f t="shared" si="3"/>
        <v>0</v>
      </c>
      <c r="H15" s="67">
        <f t="shared" si="3"/>
        <v>0</v>
      </c>
      <c r="I15" s="67">
        <f t="shared" si="3"/>
        <v>0</v>
      </c>
      <c r="J15" s="67">
        <f t="shared" si="3"/>
        <v>0</v>
      </c>
      <c r="K15" s="67">
        <f t="shared" si="3"/>
        <v>0</v>
      </c>
      <c r="L15" s="67">
        <f t="shared" si="3"/>
        <v>0</v>
      </c>
      <c r="M15" s="67">
        <f t="shared" si="3"/>
        <v>0</v>
      </c>
      <c r="N15" s="67">
        <f t="shared" si="3"/>
        <v>0</v>
      </c>
      <c r="O15" s="67">
        <f t="shared" si="3"/>
        <v>0</v>
      </c>
      <c r="P15" s="67">
        <f t="shared" si="3"/>
        <v>0</v>
      </c>
      <c r="Q15" s="70"/>
    </row>
    <row r="16" spans="2:17" x14ac:dyDescent="0.2">
      <c r="B16" s="70"/>
      <c r="C16" s="70"/>
      <c r="D16" s="70"/>
      <c r="E16" s="70"/>
      <c r="F16" s="70"/>
      <c r="G16" s="70"/>
      <c r="H16" s="70"/>
      <c r="I16" s="70"/>
      <c r="J16" s="70"/>
      <c r="K16" s="70"/>
      <c r="L16" s="70"/>
      <c r="M16" s="70"/>
      <c r="N16" s="70"/>
      <c r="O16" s="70"/>
      <c r="P16" s="70"/>
      <c r="Q16" s="70"/>
    </row>
    <row r="17" spans="2:17" x14ac:dyDescent="0.2">
      <c r="B17" s="182" t="s">
        <v>181</v>
      </c>
      <c r="C17" s="70"/>
      <c r="D17" s="78" t="s">
        <v>176</v>
      </c>
      <c r="E17" s="83">
        <f>'Commandes - Calculs auto'!C42</f>
        <v>1739.4</v>
      </c>
      <c r="F17" s="83">
        <f>'Commandes - Calculs auto'!D42</f>
        <v>3618.0999999999995</v>
      </c>
      <c r="G17" s="83">
        <f>'Commandes - Calculs auto'!E42</f>
        <v>6249.4000000000005</v>
      </c>
      <c r="H17" s="83">
        <f>'Commandes - Calculs auto'!F42</f>
        <v>11336.6</v>
      </c>
      <c r="I17" s="83">
        <f>'Commandes - Calculs auto'!G42</f>
        <v>16881.7</v>
      </c>
      <c r="J17" s="83">
        <f>'Commandes - Calculs auto'!H42</f>
        <v>21862.799999999999</v>
      </c>
      <c r="K17" s="83">
        <f>'Commandes - Calculs auto'!I42</f>
        <v>21099.7</v>
      </c>
      <c r="L17" s="83">
        <f>'Commandes - Calculs auto'!J42</f>
        <v>18682.600000000002</v>
      </c>
      <c r="M17" s="83">
        <f>'Commandes - Calculs auto'!K42</f>
        <v>30976.5</v>
      </c>
      <c r="N17" s="83">
        <f>'Commandes - Calculs auto'!L42</f>
        <v>31056.999999999996</v>
      </c>
      <c r="O17" s="83">
        <f>'Commandes - Calculs auto'!M42</f>
        <v>33587.800000000003</v>
      </c>
      <c r="P17" s="83">
        <f>'Commandes - Calculs auto'!N42</f>
        <v>44355.8</v>
      </c>
      <c r="Q17" s="70"/>
    </row>
    <row r="18" spans="2:17" x14ac:dyDescent="0.2">
      <c r="B18" s="173"/>
      <c r="C18" s="70"/>
      <c r="D18" s="55" t="s">
        <v>177</v>
      </c>
      <c r="E18" s="67">
        <f>E17</f>
        <v>1739.4</v>
      </c>
      <c r="F18" s="67">
        <f t="shared" ref="F18:P18" si="4">F17+E18</f>
        <v>5357.5</v>
      </c>
      <c r="G18" s="67">
        <f t="shared" si="4"/>
        <v>11606.900000000001</v>
      </c>
      <c r="H18" s="67">
        <f t="shared" si="4"/>
        <v>22943.5</v>
      </c>
      <c r="I18" s="67">
        <f t="shared" si="4"/>
        <v>39825.199999999997</v>
      </c>
      <c r="J18" s="67">
        <f t="shared" si="4"/>
        <v>61688</v>
      </c>
      <c r="K18" s="67">
        <f t="shared" si="4"/>
        <v>82787.7</v>
      </c>
      <c r="L18" s="67">
        <f t="shared" si="4"/>
        <v>101470.3</v>
      </c>
      <c r="M18" s="67">
        <f t="shared" si="4"/>
        <v>132446.79999999999</v>
      </c>
      <c r="N18" s="67">
        <f t="shared" si="4"/>
        <v>163503.79999999999</v>
      </c>
      <c r="O18" s="67">
        <f t="shared" si="4"/>
        <v>197091.59999999998</v>
      </c>
      <c r="P18" s="67">
        <f t="shared" si="4"/>
        <v>241447.39999999997</v>
      </c>
      <c r="Q18" s="70"/>
    </row>
    <row r="19" spans="2:17" x14ac:dyDescent="0.2">
      <c r="B19" s="173"/>
      <c r="C19" s="70"/>
      <c r="D19" s="114"/>
      <c r="E19" s="70"/>
      <c r="F19" s="70"/>
      <c r="G19" s="70"/>
      <c r="H19" s="70"/>
      <c r="I19" s="70"/>
      <c r="J19" s="70"/>
      <c r="K19" s="70"/>
      <c r="L19" s="70"/>
      <c r="M19" s="70"/>
      <c r="N19" s="70"/>
      <c r="O19" s="70"/>
      <c r="P19" s="70"/>
      <c r="Q19" s="70"/>
    </row>
    <row r="20" spans="2:17" x14ac:dyDescent="0.2">
      <c r="B20" s="173"/>
      <c r="C20" s="70"/>
      <c r="D20" s="78" t="s">
        <v>178</v>
      </c>
      <c r="E20" s="119"/>
      <c r="F20" s="119"/>
      <c r="G20" s="119"/>
      <c r="H20" s="119"/>
      <c r="I20" s="119"/>
      <c r="J20" s="119"/>
      <c r="K20" s="119"/>
      <c r="L20" s="119"/>
      <c r="M20" s="119"/>
      <c r="N20" s="119"/>
      <c r="O20" s="119"/>
      <c r="P20" s="119"/>
      <c r="Q20" s="70"/>
    </row>
    <row r="21" spans="2:17" x14ac:dyDescent="0.2">
      <c r="B21" s="173"/>
      <c r="C21" s="70"/>
      <c r="D21" s="55" t="s">
        <v>179</v>
      </c>
      <c r="E21" s="67">
        <f>E20</f>
        <v>0</v>
      </c>
      <c r="F21" s="67">
        <f t="shared" ref="F21:P21" si="5">F20+E21</f>
        <v>0</v>
      </c>
      <c r="G21" s="67">
        <f t="shared" si="5"/>
        <v>0</v>
      </c>
      <c r="H21" s="67">
        <f t="shared" si="5"/>
        <v>0</v>
      </c>
      <c r="I21" s="67">
        <f t="shared" si="5"/>
        <v>0</v>
      </c>
      <c r="J21" s="67">
        <f t="shared" si="5"/>
        <v>0</v>
      </c>
      <c r="K21" s="67">
        <f t="shared" si="5"/>
        <v>0</v>
      </c>
      <c r="L21" s="67">
        <f t="shared" si="5"/>
        <v>0</v>
      </c>
      <c r="M21" s="67">
        <f t="shared" si="5"/>
        <v>0</v>
      </c>
      <c r="N21" s="67">
        <f t="shared" si="5"/>
        <v>0</v>
      </c>
      <c r="O21" s="67">
        <f t="shared" si="5"/>
        <v>0</v>
      </c>
      <c r="P21" s="67">
        <f t="shared" si="5"/>
        <v>0</v>
      </c>
      <c r="Q21" s="70"/>
    </row>
    <row r="22" spans="2:17" x14ac:dyDescent="0.2">
      <c r="B22" s="173"/>
      <c r="C22" s="70"/>
      <c r="D22" s="114"/>
      <c r="E22" s="70"/>
      <c r="F22" s="70"/>
      <c r="G22" s="70"/>
      <c r="H22" s="70"/>
      <c r="I22" s="70"/>
      <c r="J22" s="70"/>
      <c r="K22" s="70"/>
      <c r="L22" s="70"/>
      <c r="M22" s="70"/>
      <c r="N22" s="70"/>
      <c r="O22" s="70"/>
      <c r="P22" s="70"/>
      <c r="Q22" s="70"/>
    </row>
    <row r="23" spans="2:17" x14ac:dyDescent="0.2">
      <c r="B23" s="169"/>
      <c r="C23" s="70"/>
      <c r="D23" s="55" t="s">
        <v>180</v>
      </c>
      <c r="E23" s="67">
        <f t="shared" ref="E23:P23" si="6">E21-E18</f>
        <v>-1739.4</v>
      </c>
      <c r="F23" s="67">
        <f t="shared" si="6"/>
        <v>-5357.5</v>
      </c>
      <c r="G23" s="67">
        <f t="shared" si="6"/>
        <v>-11606.900000000001</v>
      </c>
      <c r="H23" s="67">
        <f t="shared" si="6"/>
        <v>-22943.5</v>
      </c>
      <c r="I23" s="67">
        <f t="shared" si="6"/>
        <v>-39825.199999999997</v>
      </c>
      <c r="J23" s="67">
        <f t="shared" si="6"/>
        <v>-61688</v>
      </c>
      <c r="K23" s="67">
        <f t="shared" si="6"/>
        <v>-82787.7</v>
      </c>
      <c r="L23" s="67">
        <f t="shared" si="6"/>
        <v>-101470.3</v>
      </c>
      <c r="M23" s="67">
        <f t="shared" si="6"/>
        <v>-132446.79999999999</v>
      </c>
      <c r="N23" s="67">
        <f t="shared" si="6"/>
        <v>-163503.79999999999</v>
      </c>
      <c r="O23" s="67">
        <f t="shared" si="6"/>
        <v>-197091.59999999998</v>
      </c>
      <c r="P23" s="67">
        <f t="shared" si="6"/>
        <v>-241447.39999999997</v>
      </c>
      <c r="Q23" s="70"/>
    </row>
    <row r="24" spans="2:17" x14ac:dyDescent="0.2">
      <c r="B24" s="70"/>
      <c r="C24" s="70"/>
      <c r="D24" s="70"/>
      <c r="E24" s="70"/>
      <c r="F24" s="70"/>
      <c r="G24" s="70"/>
      <c r="H24" s="70"/>
      <c r="I24" s="70"/>
      <c r="J24" s="70"/>
      <c r="K24" s="70"/>
      <c r="L24" s="70"/>
      <c r="M24" s="70"/>
      <c r="N24" s="70"/>
      <c r="O24" s="70"/>
      <c r="P24" s="70"/>
      <c r="Q24" s="70"/>
    </row>
    <row r="25" spans="2:17" x14ac:dyDescent="0.2">
      <c r="B25" s="182" t="s">
        <v>182</v>
      </c>
      <c r="C25" s="70"/>
      <c r="D25" s="78" t="s">
        <v>176</v>
      </c>
      <c r="E25" s="83">
        <f>'Commandes - Calculs auto'!C22</f>
        <v>1739.4</v>
      </c>
      <c r="F25" s="83">
        <f>'Commandes - Calculs auto'!D22</f>
        <v>3618.0999999999995</v>
      </c>
      <c r="G25" s="83">
        <f>'Commandes - Calculs auto'!E22</f>
        <v>6249.4000000000005</v>
      </c>
      <c r="H25" s="83">
        <f>'Commandes - Calculs auto'!F22</f>
        <v>11336.6</v>
      </c>
      <c r="I25" s="83">
        <f>'Commandes - Calculs auto'!G22</f>
        <v>16881.7</v>
      </c>
      <c r="J25" s="83">
        <f>'Commandes - Calculs auto'!H22</f>
        <v>21862.799999999999</v>
      </c>
      <c r="K25" s="83">
        <f>'Commandes - Calculs auto'!I22</f>
        <v>21099.7</v>
      </c>
      <c r="L25" s="83">
        <f>'Commandes - Calculs auto'!J22</f>
        <v>18682.600000000002</v>
      </c>
      <c r="M25" s="83">
        <f>'Commandes - Calculs auto'!K22</f>
        <v>30976.5</v>
      </c>
      <c r="N25" s="83">
        <f>'Commandes - Calculs auto'!L22</f>
        <v>31056.999999999996</v>
      </c>
      <c r="O25" s="83">
        <f>'Commandes - Calculs auto'!M22</f>
        <v>33587.800000000003</v>
      </c>
      <c r="P25" s="83">
        <f>'Commandes - Calculs auto'!N22</f>
        <v>44355.8</v>
      </c>
      <c r="Q25" s="70"/>
    </row>
    <row r="26" spans="2:17" x14ac:dyDescent="0.2">
      <c r="B26" s="173"/>
      <c r="C26" s="70"/>
      <c r="D26" s="55" t="s">
        <v>177</v>
      </c>
      <c r="E26" s="67">
        <f>E25</f>
        <v>1739.4</v>
      </c>
      <c r="F26" s="67">
        <f t="shared" ref="F26:P26" si="7">F25+E26</f>
        <v>5357.5</v>
      </c>
      <c r="G26" s="67">
        <f t="shared" si="7"/>
        <v>11606.900000000001</v>
      </c>
      <c r="H26" s="67">
        <f t="shared" si="7"/>
        <v>22943.5</v>
      </c>
      <c r="I26" s="67">
        <f t="shared" si="7"/>
        <v>39825.199999999997</v>
      </c>
      <c r="J26" s="67">
        <f t="shared" si="7"/>
        <v>61688</v>
      </c>
      <c r="K26" s="67">
        <f t="shared" si="7"/>
        <v>82787.7</v>
      </c>
      <c r="L26" s="67">
        <f t="shared" si="7"/>
        <v>101470.3</v>
      </c>
      <c r="M26" s="67">
        <f t="shared" si="7"/>
        <v>132446.79999999999</v>
      </c>
      <c r="N26" s="67">
        <f t="shared" si="7"/>
        <v>163503.79999999999</v>
      </c>
      <c r="O26" s="67">
        <f t="shared" si="7"/>
        <v>197091.59999999998</v>
      </c>
      <c r="P26" s="67">
        <f t="shared" si="7"/>
        <v>241447.39999999997</v>
      </c>
      <c r="Q26" s="70"/>
    </row>
    <row r="27" spans="2:17" x14ac:dyDescent="0.2">
      <c r="B27" s="173"/>
      <c r="C27" s="70"/>
      <c r="D27" s="114"/>
      <c r="E27" s="70"/>
      <c r="F27" s="70"/>
      <c r="G27" s="70"/>
      <c r="H27" s="70"/>
      <c r="I27" s="70"/>
      <c r="J27" s="70"/>
      <c r="K27" s="70"/>
      <c r="L27" s="70"/>
      <c r="M27" s="70"/>
      <c r="N27" s="70"/>
      <c r="O27" s="70"/>
      <c r="P27" s="70"/>
      <c r="Q27" s="70"/>
    </row>
    <row r="28" spans="2:17" x14ac:dyDescent="0.2">
      <c r="B28" s="173"/>
      <c r="C28" s="70"/>
      <c r="D28" s="78" t="s">
        <v>178</v>
      </c>
      <c r="E28" s="119"/>
      <c r="F28" s="119"/>
      <c r="G28" s="119"/>
      <c r="H28" s="119"/>
      <c r="I28" s="119"/>
      <c r="J28" s="119"/>
      <c r="K28" s="119"/>
      <c r="L28" s="119"/>
      <c r="M28" s="119"/>
      <c r="N28" s="119"/>
      <c r="O28" s="119"/>
      <c r="P28" s="119"/>
      <c r="Q28" s="70"/>
    </row>
    <row r="29" spans="2:17" x14ac:dyDescent="0.2">
      <c r="B29" s="173"/>
      <c r="C29" s="70"/>
      <c r="D29" s="55" t="s">
        <v>179</v>
      </c>
      <c r="E29" s="67">
        <f>E28</f>
        <v>0</v>
      </c>
      <c r="F29" s="67">
        <f t="shared" ref="F29:P29" si="8">F28+E29</f>
        <v>0</v>
      </c>
      <c r="G29" s="67">
        <f t="shared" si="8"/>
        <v>0</v>
      </c>
      <c r="H29" s="67">
        <f t="shared" si="8"/>
        <v>0</v>
      </c>
      <c r="I29" s="67">
        <f t="shared" si="8"/>
        <v>0</v>
      </c>
      <c r="J29" s="67">
        <f t="shared" si="8"/>
        <v>0</v>
      </c>
      <c r="K29" s="67">
        <f t="shared" si="8"/>
        <v>0</v>
      </c>
      <c r="L29" s="67">
        <f t="shared" si="8"/>
        <v>0</v>
      </c>
      <c r="M29" s="67">
        <f t="shared" si="8"/>
        <v>0</v>
      </c>
      <c r="N29" s="67">
        <f t="shared" si="8"/>
        <v>0</v>
      </c>
      <c r="O29" s="67">
        <f t="shared" si="8"/>
        <v>0</v>
      </c>
      <c r="P29" s="67">
        <f t="shared" si="8"/>
        <v>0</v>
      </c>
      <c r="Q29" s="70"/>
    </row>
    <row r="30" spans="2:17" x14ac:dyDescent="0.2">
      <c r="B30" s="173"/>
      <c r="C30" s="70"/>
      <c r="D30" s="114"/>
      <c r="E30" s="70"/>
      <c r="F30" s="70"/>
      <c r="G30" s="70"/>
      <c r="H30" s="70"/>
      <c r="I30" s="70"/>
      <c r="J30" s="70"/>
      <c r="K30" s="70"/>
      <c r="L30" s="70"/>
      <c r="M30" s="70"/>
      <c r="N30" s="70"/>
      <c r="O30" s="70"/>
      <c r="P30" s="70"/>
      <c r="Q30" s="70"/>
    </row>
    <row r="31" spans="2:17" x14ac:dyDescent="0.2">
      <c r="B31" s="169"/>
      <c r="C31" s="70"/>
      <c r="D31" s="55" t="s">
        <v>180</v>
      </c>
      <c r="E31" s="67">
        <f t="shared" ref="E31:P31" si="9">E29-E26</f>
        <v>-1739.4</v>
      </c>
      <c r="F31" s="67">
        <f t="shared" si="9"/>
        <v>-5357.5</v>
      </c>
      <c r="G31" s="67">
        <f t="shared" si="9"/>
        <v>-11606.900000000001</v>
      </c>
      <c r="H31" s="67">
        <f t="shared" si="9"/>
        <v>-22943.5</v>
      </c>
      <c r="I31" s="67">
        <f t="shared" si="9"/>
        <v>-39825.199999999997</v>
      </c>
      <c r="J31" s="67">
        <f t="shared" si="9"/>
        <v>-61688</v>
      </c>
      <c r="K31" s="67">
        <f t="shared" si="9"/>
        <v>-82787.7</v>
      </c>
      <c r="L31" s="67">
        <f t="shared" si="9"/>
        <v>-101470.3</v>
      </c>
      <c r="M31" s="67">
        <f t="shared" si="9"/>
        <v>-132446.79999999999</v>
      </c>
      <c r="N31" s="67">
        <f t="shared" si="9"/>
        <v>-163503.79999999999</v>
      </c>
      <c r="O31" s="67">
        <f t="shared" si="9"/>
        <v>-197091.59999999998</v>
      </c>
      <c r="P31" s="67">
        <f t="shared" si="9"/>
        <v>-241447.39999999997</v>
      </c>
      <c r="Q31" s="70"/>
    </row>
    <row r="32" spans="2:17" x14ac:dyDescent="0.2">
      <c r="B32" s="70"/>
      <c r="C32" s="70"/>
      <c r="D32" s="70"/>
      <c r="E32" s="70"/>
      <c r="F32" s="70"/>
      <c r="G32" s="70"/>
      <c r="H32" s="70"/>
      <c r="I32" s="70"/>
      <c r="J32" s="70"/>
      <c r="K32" s="70"/>
      <c r="L32" s="70"/>
      <c r="M32" s="70"/>
      <c r="N32" s="70"/>
      <c r="O32" s="70"/>
      <c r="P32" s="70"/>
      <c r="Q32" s="70"/>
    </row>
    <row r="33" spans="2:17" x14ac:dyDescent="0.2">
      <c r="B33" s="182" t="s">
        <v>183</v>
      </c>
      <c r="C33" s="70"/>
      <c r="D33" s="78" t="s">
        <v>176</v>
      </c>
      <c r="E33" s="83">
        <f>E25-'Charges variables'!C22</f>
        <v>1739.4</v>
      </c>
      <c r="F33" s="83">
        <f>F25-'Charges variables'!D22</f>
        <v>3170.0999999999995</v>
      </c>
      <c r="G33" s="83">
        <f>G25-'Charges variables'!E22</f>
        <v>5219.9000000000005</v>
      </c>
      <c r="H33" s="83">
        <f>H25-'Charges variables'!F22</f>
        <v>9483.1</v>
      </c>
      <c r="I33" s="83">
        <f>I25-'Charges variables'!G22</f>
        <v>13328.7</v>
      </c>
      <c r="J33" s="83">
        <f>J25-'Charges variables'!H22</f>
        <v>16637.8</v>
      </c>
      <c r="K33" s="83">
        <f>K25-'Charges variables'!I22</f>
        <v>14103.7</v>
      </c>
      <c r="L33" s="83">
        <f>L25-'Charges variables'!J22</f>
        <v>11882.600000000002</v>
      </c>
      <c r="M33" s="83">
        <f>M25-'Charges variables'!K22</f>
        <v>24797.5</v>
      </c>
      <c r="N33" s="83">
        <f>N25-'Charges variables'!L22</f>
        <v>20737.999999999996</v>
      </c>
      <c r="O33" s="83">
        <f>O25-'Charges variables'!M22</f>
        <v>23149.800000000003</v>
      </c>
      <c r="P33" s="83">
        <f>P25-'Charges variables'!N22</f>
        <v>32972.800000000003</v>
      </c>
      <c r="Q33" s="70"/>
    </row>
    <row r="34" spans="2:17" x14ac:dyDescent="0.2">
      <c r="B34" s="173"/>
      <c r="C34" s="70"/>
      <c r="D34" s="55" t="s">
        <v>177</v>
      </c>
      <c r="E34" s="67">
        <f>E33</f>
        <v>1739.4</v>
      </c>
      <c r="F34" s="67">
        <f t="shared" ref="F34:P34" si="10">F33+E34</f>
        <v>4909.5</v>
      </c>
      <c r="G34" s="67">
        <f t="shared" si="10"/>
        <v>10129.400000000001</v>
      </c>
      <c r="H34" s="67">
        <f t="shared" si="10"/>
        <v>19612.5</v>
      </c>
      <c r="I34" s="67">
        <f t="shared" si="10"/>
        <v>32941.199999999997</v>
      </c>
      <c r="J34" s="67">
        <f t="shared" si="10"/>
        <v>49579</v>
      </c>
      <c r="K34" s="67">
        <f t="shared" si="10"/>
        <v>63682.7</v>
      </c>
      <c r="L34" s="67">
        <f t="shared" si="10"/>
        <v>75565.3</v>
      </c>
      <c r="M34" s="67">
        <f t="shared" si="10"/>
        <v>100362.8</v>
      </c>
      <c r="N34" s="67">
        <f t="shared" si="10"/>
        <v>121100.8</v>
      </c>
      <c r="O34" s="67">
        <f t="shared" si="10"/>
        <v>144250.6</v>
      </c>
      <c r="P34" s="67">
        <f t="shared" si="10"/>
        <v>177223.40000000002</v>
      </c>
      <c r="Q34" s="70"/>
    </row>
    <row r="35" spans="2:17" x14ac:dyDescent="0.2">
      <c r="B35" s="173"/>
      <c r="C35" s="70"/>
      <c r="D35" s="114"/>
      <c r="E35" s="70"/>
      <c r="F35" s="70"/>
      <c r="G35" s="70"/>
      <c r="H35" s="70"/>
      <c r="I35" s="70"/>
      <c r="J35" s="70"/>
      <c r="K35" s="70"/>
      <c r="L35" s="70"/>
      <c r="M35" s="70"/>
      <c r="N35" s="70"/>
      <c r="O35" s="70"/>
      <c r="P35" s="70"/>
      <c r="Q35" s="70"/>
    </row>
    <row r="36" spans="2:17" x14ac:dyDescent="0.2">
      <c r="B36" s="173"/>
      <c r="C36" s="70"/>
      <c r="D36" s="78" t="s">
        <v>178</v>
      </c>
      <c r="E36" s="119"/>
      <c r="F36" s="119"/>
      <c r="G36" s="119"/>
      <c r="H36" s="119"/>
      <c r="I36" s="119"/>
      <c r="J36" s="119"/>
      <c r="K36" s="119"/>
      <c r="L36" s="119"/>
      <c r="M36" s="119"/>
      <c r="N36" s="119"/>
      <c r="O36" s="119"/>
      <c r="P36" s="119"/>
      <c r="Q36" s="70"/>
    </row>
    <row r="37" spans="2:17" x14ac:dyDescent="0.2">
      <c r="B37" s="173"/>
      <c r="C37" s="70"/>
      <c r="D37" s="55" t="s">
        <v>179</v>
      </c>
      <c r="E37" s="67">
        <f>E36</f>
        <v>0</v>
      </c>
      <c r="F37" s="67">
        <f t="shared" ref="F37:P37" si="11">F36+E37</f>
        <v>0</v>
      </c>
      <c r="G37" s="67">
        <f t="shared" si="11"/>
        <v>0</v>
      </c>
      <c r="H37" s="67">
        <f t="shared" si="11"/>
        <v>0</v>
      </c>
      <c r="I37" s="67">
        <f t="shared" si="11"/>
        <v>0</v>
      </c>
      <c r="J37" s="67">
        <f t="shared" si="11"/>
        <v>0</v>
      </c>
      <c r="K37" s="67">
        <f t="shared" si="11"/>
        <v>0</v>
      </c>
      <c r="L37" s="67">
        <f t="shared" si="11"/>
        <v>0</v>
      </c>
      <c r="M37" s="67">
        <f t="shared" si="11"/>
        <v>0</v>
      </c>
      <c r="N37" s="67">
        <f t="shared" si="11"/>
        <v>0</v>
      </c>
      <c r="O37" s="67">
        <f t="shared" si="11"/>
        <v>0</v>
      </c>
      <c r="P37" s="67">
        <f t="shared" si="11"/>
        <v>0</v>
      </c>
      <c r="Q37" s="70"/>
    </row>
    <row r="38" spans="2:17" x14ac:dyDescent="0.2">
      <c r="B38" s="173"/>
      <c r="C38" s="70"/>
      <c r="D38" s="114"/>
      <c r="E38" s="70"/>
      <c r="F38" s="70"/>
      <c r="G38" s="70"/>
      <c r="H38" s="70"/>
      <c r="I38" s="70"/>
      <c r="J38" s="70"/>
      <c r="K38" s="70"/>
      <c r="L38" s="70"/>
      <c r="M38" s="70"/>
      <c r="N38" s="70"/>
      <c r="O38" s="70"/>
      <c r="P38" s="70"/>
      <c r="Q38" s="70"/>
    </row>
    <row r="39" spans="2:17" x14ac:dyDescent="0.2">
      <c r="B39" s="169"/>
      <c r="C39" s="70"/>
      <c r="D39" s="55" t="s">
        <v>180</v>
      </c>
      <c r="E39" s="67">
        <f t="shared" ref="E39:P39" si="12">E37-E34</f>
        <v>-1739.4</v>
      </c>
      <c r="F39" s="67">
        <f t="shared" si="12"/>
        <v>-4909.5</v>
      </c>
      <c r="G39" s="67">
        <f t="shared" si="12"/>
        <v>-10129.400000000001</v>
      </c>
      <c r="H39" s="67">
        <f t="shared" si="12"/>
        <v>-19612.5</v>
      </c>
      <c r="I39" s="67">
        <f t="shared" si="12"/>
        <v>-32941.199999999997</v>
      </c>
      <c r="J39" s="67">
        <f t="shared" si="12"/>
        <v>-49579</v>
      </c>
      <c r="K39" s="67">
        <f t="shared" si="12"/>
        <v>-63682.7</v>
      </c>
      <c r="L39" s="67">
        <f t="shared" si="12"/>
        <v>-75565.3</v>
      </c>
      <c r="M39" s="67">
        <f t="shared" si="12"/>
        <v>-100362.8</v>
      </c>
      <c r="N39" s="67">
        <f t="shared" si="12"/>
        <v>-121100.8</v>
      </c>
      <c r="O39" s="67">
        <f t="shared" si="12"/>
        <v>-144250.6</v>
      </c>
      <c r="P39" s="67">
        <f t="shared" si="12"/>
        <v>-177223.40000000002</v>
      </c>
      <c r="Q39" s="70"/>
    </row>
    <row r="40" spans="2:17" x14ac:dyDescent="0.2">
      <c r="B40" s="70"/>
      <c r="C40" s="70"/>
      <c r="D40" s="70"/>
      <c r="E40" s="70"/>
      <c r="F40" s="70"/>
      <c r="G40" s="70"/>
      <c r="H40" s="70"/>
      <c r="I40" s="70"/>
      <c r="J40" s="70"/>
      <c r="K40" s="70"/>
      <c r="L40" s="70"/>
      <c r="M40" s="70"/>
      <c r="N40" s="70"/>
      <c r="O40" s="70"/>
      <c r="P40" s="70"/>
      <c r="Q40" s="70"/>
    </row>
    <row r="41" spans="2:17" x14ac:dyDescent="0.2">
      <c r="B41" s="182" t="s">
        <v>184</v>
      </c>
      <c r="C41" s="70"/>
      <c r="D41" s="78" t="s">
        <v>176</v>
      </c>
      <c r="E41" s="83">
        <f>'Personnel - Calculs auto'!B81</f>
        <v>8840</v>
      </c>
      <c r="F41" s="83">
        <f>'Personnel - Calculs auto'!C81</f>
        <v>8840</v>
      </c>
      <c r="G41" s="83">
        <f>'Personnel - Calculs auto'!D81</f>
        <v>12415</v>
      </c>
      <c r="H41" s="83">
        <f>'Personnel - Calculs auto'!E81</f>
        <v>12415</v>
      </c>
      <c r="I41" s="83">
        <f>'Personnel - Calculs auto'!F81</f>
        <v>12415</v>
      </c>
      <c r="J41" s="83">
        <f>'Personnel - Calculs auto'!G81</f>
        <v>13108</v>
      </c>
      <c r="K41" s="83">
        <f>'Personnel - Calculs auto'!H81</f>
        <v>13108</v>
      </c>
      <c r="L41" s="83">
        <f>'Personnel - Calculs auto'!I81</f>
        <v>13108</v>
      </c>
      <c r="M41" s="83">
        <f>'Personnel - Calculs auto'!J81</f>
        <v>12415</v>
      </c>
      <c r="N41" s="83">
        <f>'Personnel - Calculs auto'!K81</f>
        <v>12415</v>
      </c>
      <c r="O41" s="83">
        <f>'Personnel - Calculs auto'!L81</f>
        <v>12415</v>
      </c>
      <c r="P41" s="83">
        <f>'Personnel - Calculs auto'!M81</f>
        <v>13108</v>
      </c>
      <c r="Q41" s="70"/>
    </row>
    <row r="42" spans="2:17" x14ac:dyDescent="0.2">
      <c r="B42" s="173"/>
      <c r="C42" s="70"/>
      <c r="D42" s="55" t="s">
        <v>177</v>
      </c>
      <c r="E42" s="67">
        <f>E41</f>
        <v>8840</v>
      </c>
      <c r="F42" s="67">
        <f t="shared" ref="F42:P42" si="13">F41+E42</f>
        <v>17680</v>
      </c>
      <c r="G42" s="67">
        <f t="shared" si="13"/>
        <v>30095</v>
      </c>
      <c r="H42" s="67">
        <f t="shared" si="13"/>
        <v>42510</v>
      </c>
      <c r="I42" s="67">
        <f t="shared" si="13"/>
        <v>54925</v>
      </c>
      <c r="J42" s="67">
        <f t="shared" si="13"/>
        <v>68033</v>
      </c>
      <c r="K42" s="67">
        <f t="shared" si="13"/>
        <v>81141</v>
      </c>
      <c r="L42" s="67">
        <f t="shared" si="13"/>
        <v>94249</v>
      </c>
      <c r="M42" s="67">
        <f t="shared" si="13"/>
        <v>106664</v>
      </c>
      <c r="N42" s="67">
        <f t="shared" si="13"/>
        <v>119079</v>
      </c>
      <c r="O42" s="67">
        <f t="shared" si="13"/>
        <v>131494</v>
      </c>
      <c r="P42" s="67">
        <f t="shared" si="13"/>
        <v>144602</v>
      </c>
      <c r="Q42" s="70"/>
    </row>
    <row r="43" spans="2:17" x14ac:dyDescent="0.2">
      <c r="B43" s="173"/>
      <c r="C43" s="70"/>
      <c r="D43" s="114"/>
      <c r="E43" s="70"/>
      <c r="F43" s="70"/>
      <c r="G43" s="70"/>
      <c r="H43" s="70"/>
      <c r="I43" s="70"/>
      <c r="J43" s="70"/>
      <c r="K43" s="70"/>
      <c r="L43" s="70"/>
      <c r="M43" s="70"/>
      <c r="N43" s="70"/>
      <c r="O43" s="70"/>
      <c r="P43" s="70"/>
      <c r="Q43" s="70"/>
    </row>
    <row r="44" spans="2:17" x14ac:dyDescent="0.2">
      <c r="B44" s="173"/>
      <c r="C44" s="70"/>
      <c r="D44" s="78" t="s">
        <v>178</v>
      </c>
      <c r="E44" s="119"/>
      <c r="F44" s="119"/>
      <c r="G44" s="119"/>
      <c r="H44" s="119"/>
      <c r="I44" s="119"/>
      <c r="J44" s="119"/>
      <c r="K44" s="119"/>
      <c r="L44" s="119"/>
      <c r="M44" s="119"/>
      <c r="N44" s="119"/>
      <c r="O44" s="119"/>
      <c r="P44" s="119"/>
      <c r="Q44" s="70"/>
    </row>
    <row r="45" spans="2:17" x14ac:dyDescent="0.2">
      <c r="B45" s="173"/>
      <c r="C45" s="70"/>
      <c r="D45" s="55" t="s">
        <v>179</v>
      </c>
      <c r="E45" s="67">
        <f>E44</f>
        <v>0</v>
      </c>
      <c r="F45" s="67">
        <f t="shared" ref="F45:P45" si="14">F44+E45</f>
        <v>0</v>
      </c>
      <c r="G45" s="67">
        <f t="shared" si="14"/>
        <v>0</v>
      </c>
      <c r="H45" s="67">
        <f t="shared" si="14"/>
        <v>0</v>
      </c>
      <c r="I45" s="67">
        <f t="shared" si="14"/>
        <v>0</v>
      </c>
      <c r="J45" s="67">
        <f t="shared" si="14"/>
        <v>0</v>
      </c>
      <c r="K45" s="67">
        <f t="shared" si="14"/>
        <v>0</v>
      </c>
      <c r="L45" s="67">
        <f t="shared" si="14"/>
        <v>0</v>
      </c>
      <c r="M45" s="67">
        <f t="shared" si="14"/>
        <v>0</v>
      </c>
      <c r="N45" s="67">
        <f t="shared" si="14"/>
        <v>0</v>
      </c>
      <c r="O45" s="67">
        <f t="shared" si="14"/>
        <v>0</v>
      </c>
      <c r="P45" s="67">
        <f t="shared" si="14"/>
        <v>0</v>
      </c>
      <c r="Q45" s="70"/>
    </row>
    <row r="46" spans="2:17" x14ac:dyDescent="0.2">
      <c r="B46" s="173"/>
      <c r="C46" s="70"/>
      <c r="D46" s="114"/>
      <c r="E46" s="70"/>
      <c r="F46" s="70"/>
      <c r="G46" s="70"/>
      <c r="H46" s="70"/>
      <c r="I46" s="70"/>
      <c r="J46" s="70"/>
      <c r="K46" s="70"/>
      <c r="L46" s="70"/>
      <c r="M46" s="70"/>
      <c r="N46" s="70"/>
      <c r="O46" s="70"/>
      <c r="P46" s="70"/>
      <c r="Q46" s="70"/>
    </row>
    <row r="47" spans="2:17" x14ac:dyDescent="0.2">
      <c r="B47" s="169"/>
      <c r="C47" s="70"/>
      <c r="D47" s="55" t="s">
        <v>180</v>
      </c>
      <c r="E47" s="67">
        <f t="shared" ref="E47:P47" si="15">E45-E42</f>
        <v>-8840</v>
      </c>
      <c r="F47" s="67">
        <f t="shared" si="15"/>
        <v>-17680</v>
      </c>
      <c r="G47" s="67">
        <f t="shared" si="15"/>
        <v>-30095</v>
      </c>
      <c r="H47" s="67">
        <f t="shared" si="15"/>
        <v>-42510</v>
      </c>
      <c r="I47" s="67">
        <f t="shared" si="15"/>
        <v>-54925</v>
      </c>
      <c r="J47" s="67">
        <f t="shared" si="15"/>
        <v>-68033</v>
      </c>
      <c r="K47" s="67">
        <f t="shared" si="15"/>
        <v>-81141</v>
      </c>
      <c r="L47" s="67">
        <f t="shared" si="15"/>
        <v>-94249</v>
      </c>
      <c r="M47" s="67">
        <f t="shared" si="15"/>
        <v>-106664</v>
      </c>
      <c r="N47" s="67">
        <f t="shared" si="15"/>
        <v>-119079</v>
      </c>
      <c r="O47" s="67">
        <f t="shared" si="15"/>
        <v>-131494</v>
      </c>
      <c r="P47" s="67">
        <f t="shared" si="15"/>
        <v>-144602</v>
      </c>
      <c r="Q47" s="70"/>
    </row>
    <row r="48" spans="2:17" x14ac:dyDescent="0.2">
      <c r="B48" s="70"/>
      <c r="C48" s="70"/>
      <c r="D48" s="70"/>
      <c r="E48" s="70"/>
      <c r="F48" s="70"/>
      <c r="G48" s="70"/>
      <c r="H48" s="70"/>
      <c r="I48" s="70"/>
      <c r="J48" s="70"/>
      <c r="K48" s="70"/>
      <c r="L48" s="70"/>
      <c r="M48" s="70"/>
      <c r="N48" s="70"/>
      <c r="O48" s="70"/>
      <c r="P48" s="70"/>
      <c r="Q48" s="70"/>
    </row>
    <row r="49" spans="2:17" x14ac:dyDescent="0.2">
      <c r="B49" s="182" t="s">
        <v>185</v>
      </c>
      <c r="C49" s="70"/>
      <c r="D49" s="78" t="s">
        <v>176</v>
      </c>
      <c r="E49" s="120">
        <f>INDEX(SUMPRODUCT((Personnel!$B$10:$B$29&lt;&gt;1)*(Personnel!D$10:D$29&lt;&gt;0)),0,1)</f>
        <v>2</v>
      </c>
      <c r="F49" s="120">
        <f>INDEX(SUMPRODUCT((Personnel!$B$10:$B$29&lt;&gt;1)*(Personnel!E$10:E$29&lt;&gt;0)),0,1)</f>
        <v>2</v>
      </c>
      <c r="G49" s="120">
        <f>INDEX(SUMPRODUCT((Personnel!$B$10:$B$29&lt;&gt;1)*(Personnel!F$10:F$29&lt;&gt;0)),0,1)</f>
        <v>3</v>
      </c>
      <c r="H49" s="120">
        <f>INDEX(SUMPRODUCT((Personnel!$B$10:$B$29&lt;&gt;1)*(Personnel!G$10:G$29&lt;&gt;0)),0,1)</f>
        <v>3</v>
      </c>
      <c r="I49" s="120">
        <f>INDEX(SUMPRODUCT((Personnel!$B$10:$B$29&lt;&gt;1)*(Personnel!H$10:H$29&lt;&gt;0)),0,1)</f>
        <v>3</v>
      </c>
      <c r="J49" s="120">
        <f>INDEX(SUMPRODUCT((Personnel!$B$10:$B$29&lt;&gt;1)*(Personnel!I$10:I$29&lt;&gt;0)),0,1)</f>
        <v>4</v>
      </c>
      <c r="K49" s="120">
        <f>INDEX(SUMPRODUCT((Personnel!$B$10:$B$29&lt;&gt;1)*(Personnel!J$10:J$29&lt;&gt;0)),0,1)</f>
        <v>4</v>
      </c>
      <c r="L49" s="120">
        <f>INDEX(SUMPRODUCT((Personnel!$B$10:$B$29&lt;&gt;1)*(Personnel!K$10:K$29&lt;&gt;0)),0,1)</f>
        <v>4</v>
      </c>
      <c r="M49" s="120">
        <f>INDEX(SUMPRODUCT((Personnel!$B$10:$B$29&lt;&gt;1)*(Personnel!L$10:L$29&lt;&gt;0)),0,1)</f>
        <v>3</v>
      </c>
      <c r="N49" s="120">
        <f>INDEX(SUMPRODUCT((Personnel!$B$10:$B$29&lt;&gt;1)*(Personnel!M$10:M$29&lt;&gt;0)),0,1)</f>
        <v>3</v>
      </c>
      <c r="O49" s="120">
        <f>INDEX(SUMPRODUCT((Personnel!$B$10:$B$29&lt;&gt;1)*(Personnel!N$10:N$29&lt;&gt;0)),0,1)</f>
        <v>3</v>
      </c>
      <c r="P49" s="120">
        <f>INDEX(SUMPRODUCT((Personnel!$B$10:$B$29&lt;&gt;1)*(Personnel!O$10:O$29&lt;&gt;0)),0,1)</f>
        <v>4</v>
      </c>
      <c r="Q49" s="70"/>
    </row>
    <row r="50" spans="2:17" x14ac:dyDescent="0.2">
      <c r="B50" s="173"/>
      <c r="C50" s="70"/>
      <c r="D50" s="114"/>
      <c r="E50" s="70"/>
      <c r="F50" s="70"/>
      <c r="G50" s="70"/>
      <c r="H50" s="70"/>
      <c r="I50" s="70"/>
      <c r="J50" s="70"/>
      <c r="K50" s="70"/>
      <c r="L50" s="70"/>
      <c r="M50" s="70"/>
      <c r="N50" s="70"/>
      <c r="O50" s="70"/>
      <c r="P50" s="70"/>
      <c r="Q50" s="70"/>
    </row>
    <row r="51" spans="2:17" x14ac:dyDescent="0.2">
      <c r="B51" s="169"/>
      <c r="C51" s="70"/>
      <c r="D51" s="78" t="s">
        <v>178</v>
      </c>
      <c r="E51" s="121"/>
      <c r="F51" s="121"/>
      <c r="G51" s="121"/>
      <c r="H51" s="121"/>
      <c r="I51" s="121"/>
      <c r="J51" s="121"/>
      <c r="K51" s="121"/>
      <c r="L51" s="121"/>
      <c r="M51" s="121"/>
      <c r="N51" s="121"/>
      <c r="O51" s="121"/>
      <c r="P51" s="121"/>
      <c r="Q51" s="70"/>
    </row>
    <row r="52" spans="2:17" x14ac:dyDescent="0.2">
      <c r="B52" s="70"/>
      <c r="C52" s="70"/>
      <c r="D52" s="70"/>
      <c r="E52" s="70"/>
      <c r="F52" s="70"/>
      <c r="G52" s="70"/>
      <c r="H52" s="70"/>
      <c r="I52" s="70"/>
      <c r="J52" s="70"/>
      <c r="K52" s="70"/>
      <c r="L52" s="70"/>
      <c r="M52" s="70"/>
      <c r="N52" s="70"/>
      <c r="O52" s="70"/>
      <c r="P52" s="70"/>
      <c r="Q52" s="70"/>
    </row>
    <row r="53" spans="2:17" x14ac:dyDescent="0.2">
      <c r="B53" s="182" t="s">
        <v>186</v>
      </c>
      <c r="C53" s="70"/>
      <c r="D53" s="78" t="s">
        <v>176</v>
      </c>
      <c r="E53" s="83">
        <f>Trésorerie!C71</f>
        <v>-3646.4897777777805</v>
      </c>
      <c r="F53" s="83">
        <f>Trésorerie!D71</f>
        <v>85953.563644444439</v>
      </c>
      <c r="G53" s="83">
        <f>Trésorerie!E71</f>
        <v>67449.785066666664</v>
      </c>
      <c r="H53" s="83">
        <f>Trésorerie!F71</f>
        <v>53307.905988888888</v>
      </c>
      <c r="I53" s="83">
        <f>Trésorerie!G71</f>
        <v>42905.486411111109</v>
      </c>
      <c r="J53" s="83">
        <f>Trésorerie!H71</f>
        <v>35092.271833333332</v>
      </c>
      <c r="K53" s="83">
        <f>Trésorerie!I71</f>
        <v>24164.176255555554</v>
      </c>
      <c r="L53" s="83">
        <f>Trésorerie!J71</f>
        <v>11219.060677777787</v>
      </c>
      <c r="M53" s="83">
        <f>Trésorerie!K71</f>
        <v>12754.700100000016</v>
      </c>
      <c r="N53" s="83">
        <f>Trésorerie!L71</f>
        <v>8844.9525222222292</v>
      </c>
      <c r="O53" s="83">
        <f>Trésorerie!M71</f>
        <v>8084.9214444444515</v>
      </c>
      <c r="P53" s="83">
        <f>Trésorerie!N71</f>
        <v>16784.036366666682</v>
      </c>
      <c r="Q53" s="70"/>
    </row>
    <row r="54" spans="2:17" x14ac:dyDescent="0.2">
      <c r="B54" s="173"/>
      <c r="C54" s="70"/>
      <c r="D54" s="114"/>
      <c r="E54" s="70"/>
      <c r="F54" s="70"/>
      <c r="G54" s="70"/>
      <c r="H54" s="70"/>
      <c r="I54" s="70"/>
      <c r="J54" s="70"/>
      <c r="K54" s="70"/>
      <c r="L54" s="70"/>
      <c r="M54" s="70"/>
      <c r="N54" s="70"/>
      <c r="O54" s="70"/>
      <c r="P54" s="70"/>
      <c r="Q54" s="70"/>
    </row>
    <row r="55" spans="2:17" x14ac:dyDescent="0.2">
      <c r="B55" s="173"/>
      <c r="C55" s="70"/>
      <c r="D55" s="78" t="s">
        <v>178</v>
      </c>
      <c r="E55" s="119"/>
      <c r="F55" s="119"/>
      <c r="G55" s="119"/>
      <c r="H55" s="119"/>
      <c r="I55" s="119"/>
      <c r="J55" s="119"/>
      <c r="K55" s="119"/>
      <c r="L55" s="119"/>
      <c r="M55" s="119"/>
      <c r="N55" s="119"/>
      <c r="O55" s="119"/>
      <c r="P55" s="119"/>
      <c r="Q55" s="70"/>
    </row>
    <row r="56" spans="2:17" x14ac:dyDescent="0.2">
      <c r="B56" s="173"/>
      <c r="C56" s="70"/>
      <c r="D56" s="114"/>
      <c r="E56" s="70"/>
      <c r="F56" s="70"/>
      <c r="G56" s="70"/>
      <c r="H56" s="70"/>
      <c r="I56" s="70"/>
      <c r="J56" s="70"/>
      <c r="K56" s="70"/>
      <c r="L56" s="70"/>
      <c r="M56" s="70"/>
      <c r="N56" s="70"/>
      <c r="O56" s="70"/>
      <c r="P56" s="70"/>
      <c r="Q56" s="70"/>
    </row>
    <row r="57" spans="2:17" x14ac:dyDescent="0.2">
      <c r="B57" s="169"/>
      <c r="C57" s="70"/>
      <c r="D57" s="55" t="s">
        <v>180</v>
      </c>
      <c r="E57" s="67">
        <f t="shared" ref="E57:P57" si="16">E55-E53</f>
        <v>3646.4897777777805</v>
      </c>
      <c r="F57" s="67">
        <f t="shared" si="16"/>
        <v>-85953.563644444439</v>
      </c>
      <c r="G57" s="67">
        <f t="shared" si="16"/>
        <v>-67449.785066666664</v>
      </c>
      <c r="H57" s="67">
        <f t="shared" si="16"/>
        <v>-53307.905988888888</v>
      </c>
      <c r="I57" s="67">
        <f t="shared" si="16"/>
        <v>-42905.486411111109</v>
      </c>
      <c r="J57" s="67">
        <f t="shared" si="16"/>
        <v>-35092.271833333332</v>
      </c>
      <c r="K57" s="67">
        <f t="shared" si="16"/>
        <v>-24164.176255555554</v>
      </c>
      <c r="L57" s="67">
        <f t="shared" si="16"/>
        <v>-11219.060677777787</v>
      </c>
      <c r="M57" s="67">
        <f t="shared" si="16"/>
        <v>-12754.700100000016</v>
      </c>
      <c r="N57" s="67">
        <f t="shared" si="16"/>
        <v>-8844.9525222222292</v>
      </c>
      <c r="O57" s="67">
        <f t="shared" si="16"/>
        <v>-8084.9214444444515</v>
      </c>
      <c r="P57" s="67">
        <f t="shared" si="16"/>
        <v>-16784.036366666682</v>
      </c>
      <c r="Q57" s="70"/>
    </row>
    <row r="58" spans="2:17" x14ac:dyDescent="0.2">
      <c r="B58" s="70"/>
      <c r="C58" s="70"/>
      <c r="D58" s="70"/>
      <c r="E58" s="70"/>
      <c r="F58" s="70"/>
      <c r="G58" s="70"/>
      <c r="H58" s="70"/>
      <c r="I58" s="70"/>
      <c r="J58" s="70"/>
      <c r="K58" s="70"/>
      <c r="L58" s="70"/>
      <c r="M58" s="70"/>
      <c r="N58" s="70"/>
      <c r="O58" s="70"/>
      <c r="P58" s="70"/>
      <c r="Q58" s="70"/>
    </row>
    <row r="59" spans="2:17" x14ac:dyDescent="0.2">
      <c r="B59" s="182" t="s">
        <v>187</v>
      </c>
      <c r="C59" s="70"/>
      <c r="D59" s="78" t="s">
        <v>188</v>
      </c>
      <c r="E59" s="67">
        <f t="shared" ref="E59:P59" si="17">IF(E49&lt;&gt;0,E25/E49,0)</f>
        <v>869.7</v>
      </c>
      <c r="F59" s="67">
        <f t="shared" si="17"/>
        <v>1809.0499999999997</v>
      </c>
      <c r="G59" s="67">
        <f t="shared" si="17"/>
        <v>2083.1333333333337</v>
      </c>
      <c r="H59" s="67">
        <f t="shared" si="17"/>
        <v>3778.8666666666668</v>
      </c>
      <c r="I59" s="67">
        <f t="shared" si="17"/>
        <v>5627.2333333333336</v>
      </c>
      <c r="J59" s="67">
        <f t="shared" si="17"/>
        <v>5465.7</v>
      </c>
      <c r="K59" s="67">
        <f t="shared" si="17"/>
        <v>5274.9250000000002</v>
      </c>
      <c r="L59" s="67">
        <f t="shared" si="17"/>
        <v>4670.6500000000005</v>
      </c>
      <c r="M59" s="67">
        <f t="shared" si="17"/>
        <v>10325.5</v>
      </c>
      <c r="N59" s="67">
        <f t="shared" si="17"/>
        <v>10352.333333333332</v>
      </c>
      <c r="O59" s="67">
        <f t="shared" si="17"/>
        <v>11195.933333333334</v>
      </c>
      <c r="P59" s="67">
        <f t="shared" si="17"/>
        <v>11088.95</v>
      </c>
      <c r="Q59" s="70"/>
    </row>
    <row r="60" spans="2:17" x14ac:dyDescent="0.2">
      <c r="B60" s="169"/>
      <c r="C60" s="70"/>
      <c r="D60" s="55" t="s">
        <v>189</v>
      </c>
      <c r="E60" s="67">
        <f t="shared" ref="E60:P60" si="18">IF(E49&lt;&gt;0,E26/E49,0)</f>
        <v>869.7</v>
      </c>
      <c r="F60" s="67">
        <f t="shared" si="18"/>
        <v>2678.75</v>
      </c>
      <c r="G60" s="67">
        <f t="shared" si="18"/>
        <v>3868.9666666666672</v>
      </c>
      <c r="H60" s="67">
        <f t="shared" si="18"/>
        <v>7647.833333333333</v>
      </c>
      <c r="I60" s="67">
        <f t="shared" si="18"/>
        <v>13275.066666666666</v>
      </c>
      <c r="J60" s="67">
        <f t="shared" si="18"/>
        <v>15422</v>
      </c>
      <c r="K60" s="67">
        <f t="shared" si="18"/>
        <v>20696.924999999999</v>
      </c>
      <c r="L60" s="67">
        <f t="shared" si="18"/>
        <v>25367.575000000001</v>
      </c>
      <c r="M60" s="67">
        <f t="shared" si="18"/>
        <v>44148.933333333327</v>
      </c>
      <c r="N60" s="67">
        <f t="shared" si="18"/>
        <v>54501.266666666663</v>
      </c>
      <c r="O60" s="67">
        <f t="shared" si="18"/>
        <v>65697.2</v>
      </c>
      <c r="P60" s="67">
        <f t="shared" si="18"/>
        <v>60361.849999999991</v>
      </c>
      <c r="Q60" s="70"/>
    </row>
    <row r="61" spans="2:17" x14ac:dyDescent="0.2">
      <c r="B61" s="70"/>
      <c r="C61" s="70"/>
      <c r="D61" s="70"/>
      <c r="E61" s="70"/>
      <c r="F61" s="70"/>
      <c r="G61" s="70"/>
      <c r="H61" s="70"/>
      <c r="I61" s="70"/>
      <c r="J61" s="70"/>
      <c r="K61" s="70"/>
      <c r="L61" s="70"/>
      <c r="M61" s="70"/>
      <c r="N61" s="70"/>
      <c r="O61" s="70"/>
      <c r="P61" s="70"/>
      <c r="Q61" s="70"/>
    </row>
  </sheetData>
  <sheetProtection sheet="1" objects="1" scenarios="1"/>
  <mergeCells count="11">
    <mergeCell ref="B59:B60"/>
    <mergeCell ref="B2:D3"/>
    <mergeCell ref="B53:B57"/>
    <mergeCell ref="B49:B51"/>
    <mergeCell ref="B5:P5"/>
    <mergeCell ref="B17:B23"/>
    <mergeCell ref="B9:B15"/>
    <mergeCell ref="B25:B31"/>
    <mergeCell ref="B33:B39"/>
    <mergeCell ref="B41:B47"/>
    <mergeCell ref="B7:D7"/>
  </mergeCells>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5">
    <tabColor rgb="FF008BD0"/>
  </sheetPr>
  <dimension ref="B2:W75"/>
  <sheetViews>
    <sheetView showGridLines="0" showRowColHeaders="0" tabSelected="1" zoomScale="75" zoomScaleNormal="80" workbookViewId="0">
      <selection activeCell="H62" sqref="H62"/>
    </sheetView>
  </sheetViews>
  <sheetFormatPr baseColWidth="10" defaultColWidth="11.5" defaultRowHeight="15" x14ac:dyDescent="0.2"/>
  <cols>
    <col min="1" max="1" width="3.5" customWidth="1"/>
    <col min="2" max="3" width="8.83203125" customWidth="1"/>
    <col min="4" max="8" width="13.83203125" customWidth="1"/>
    <col min="9" max="9" width="3.5" customWidth="1"/>
    <col min="10" max="10" width="7.5" customWidth="1"/>
    <col min="11" max="11" width="13.5" customWidth="1"/>
    <col min="12" max="12" width="11.5" customWidth="1"/>
    <col min="13" max="13" width="12.5" customWidth="1"/>
    <col min="14" max="14" width="15.33203125" customWidth="1"/>
    <col min="15" max="15" width="12" customWidth="1"/>
    <col min="16" max="16" width="7.83203125" customWidth="1"/>
    <col min="17" max="17" width="7.33203125" customWidth="1"/>
    <col min="18" max="18" width="6.6640625" customWidth="1"/>
    <col min="19" max="19" width="7.33203125" customWidth="1"/>
    <col min="20" max="20" width="5.1640625" customWidth="1"/>
    <col min="21" max="21" width="7.33203125" customWidth="1"/>
    <col min="22" max="22" width="3.5" customWidth="1"/>
  </cols>
  <sheetData>
    <row r="2" spans="2:22" x14ac:dyDescent="0.2">
      <c r="B2" s="172" t="s">
        <v>190</v>
      </c>
      <c r="C2" s="176"/>
      <c r="D2" s="176"/>
      <c r="E2" s="177"/>
      <c r="F2" s="70"/>
      <c r="G2" s="70"/>
      <c r="H2" s="70"/>
      <c r="I2" s="70"/>
      <c r="J2" s="70"/>
      <c r="K2" s="70"/>
      <c r="L2" s="70"/>
      <c r="M2" s="70"/>
      <c r="N2" s="70"/>
      <c r="O2" s="70"/>
      <c r="P2" s="70"/>
      <c r="Q2" s="70"/>
      <c r="R2" s="70"/>
      <c r="S2" s="70"/>
      <c r="T2" s="70"/>
      <c r="U2" s="70"/>
      <c r="V2" s="70"/>
    </row>
    <row r="3" spans="2:22" x14ac:dyDescent="0.2">
      <c r="B3" s="161"/>
      <c r="C3" s="178"/>
      <c r="D3" s="178"/>
      <c r="E3" s="179"/>
      <c r="F3" s="70"/>
      <c r="G3" s="70"/>
      <c r="H3" s="70"/>
      <c r="I3" s="70"/>
      <c r="J3" s="70"/>
      <c r="K3" s="70"/>
      <c r="L3" s="70"/>
      <c r="M3" s="70"/>
      <c r="N3" s="70"/>
      <c r="O3" s="70"/>
      <c r="P3" s="70"/>
      <c r="Q3" s="70"/>
      <c r="R3" s="98"/>
      <c r="S3" s="98"/>
      <c r="T3" s="70"/>
      <c r="U3" s="70"/>
      <c r="V3" s="70"/>
    </row>
    <row r="4" spans="2:22" x14ac:dyDescent="0.2">
      <c r="B4" s="70"/>
      <c r="C4" s="70"/>
      <c r="D4" s="70"/>
      <c r="E4" s="70"/>
      <c r="F4" s="70"/>
      <c r="G4" s="70"/>
      <c r="H4" s="70"/>
      <c r="I4" s="70"/>
      <c r="J4" s="70"/>
      <c r="K4" s="70"/>
      <c r="L4" s="70"/>
      <c r="M4" s="70"/>
      <c r="N4" s="70"/>
      <c r="O4" s="70"/>
      <c r="P4" s="70"/>
      <c r="Q4" s="70"/>
      <c r="R4" s="70"/>
      <c r="S4" s="70"/>
      <c r="T4" s="70"/>
      <c r="U4" s="70"/>
      <c r="V4" s="70"/>
    </row>
    <row r="5" spans="2:22" x14ac:dyDescent="0.2">
      <c r="B5" s="185" t="s">
        <v>191</v>
      </c>
      <c r="C5" s="157"/>
      <c r="D5" s="157"/>
      <c r="E5" s="157"/>
      <c r="F5" s="157"/>
      <c r="G5" s="157"/>
      <c r="H5" s="157"/>
      <c r="I5" s="157"/>
      <c r="J5" s="157"/>
      <c r="K5" s="157"/>
      <c r="L5" s="157"/>
      <c r="M5" s="157"/>
      <c r="N5" s="157"/>
      <c r="O5" s="157"/>
      <c r="P5" s="157"/>
      <c r="Q5" s="157"/>
      <c r="R5" s="157"/>
      <c r="S5" s="157"/>
      <c r="T5" s="157"/>
      <c r="U5" s="158"/>
      <c r="V5" s="70"/>
    </row>
    <row r="6" spans="2:22" x14ac:dyDescent="0.2">
      <c r="B6" s="70"/>
      <c r="C6" s="70"/>
      <c r="D6" s="70"/>
      <c r="E6" s="70"/>
      <c r="F6" s="70"/>
      <c r="G6" s="70"/>
      <c r="H6" s="70"/>
      <c r="I6" s="70"/>
      <c r="J6" s="70"/>
      <c r="K6" s="70"/>
      <c r="L6" s="70"/>
      <c r="M6" s="70"/>
      <c r="N6" s="70"/>
      <c r="O6" s="70"/>
      <c r="P6" s="70"/>
      <c r="Q6" s="70"/>
      <c r="R6" s="70"/>
      <c r="S6" s="70"/>
      <c r="T6" s="70"/>
      <c r="U6" s="70"/>
      <c r="V6" s="70"/>
    </row>
    <row r="7" spans="2:22" x14ac:dyDescent="0.2">
      <c r="B7" s="170" t="s">
        <v>192</v>
      </c>
      <c r="C7" s="157"/>
      <c r="D7" s="157"/>
      <c r="E7" s="157"/>
      <c r="F7" s="157"/>
      <c r="G7" s="157"/>
      <c r="H7" s="158"/>
      <c r="I7" s="70"/>
      <c r="J7" s="170" t="s">
        <v>193</v>
      </c>
      <c r="K7" s="157"/>
      <c r="L7" s="157"/>
      <c r="M7" s="157"/>
      <c r="N7" s="157"/>
      <c r="O7" s="157"/>
      <c r="P7" s="157"/>
      <c r="Q7" s="157"/>
      <c r="R7" s="157"/>
      <c r="S7" s="157"/>
      <c r="T7" s="157"/>
      <c r="U7" s="158"/>
      <c r="V7" s="70"/>
    </row>
    <row r="8" spans="2:22" x14ac:dyDescent="0.2">
      <c r="B8" s="70"/>
      <c r="C8" s="70"/>
      <c r="D8" s="70"/>
      <c r="E8" s="70"/>
      <c r="F8" s="70"/>
      <c r="G8" s="70"/>
      <c r="H8" s="70"/>
      <c r="I8" s="70"/>
      <c r="J8" s="70"/>
      <c r="K8" s="70"/>
      <c r="L8" s="70"/>
      <c r="M8" s="70"/>
      <c r="N8" s="70"/>
      <c r="O8" s="70"/>
      <c r="P8" s="70"/>
      <c r="Q8" s="70"/>
      <c r="R8" s="70"/>
      <c r="S8" s="70"/>
      <c r="T8" s="70"/>
      <c r="U8" s="70"/>
      <c r="V8" s="70"/>
    </row>
    <row r="9" spans="2:22" x14ac:dyDescent="0.2">
      <c r="B9" s="70"/>
      <c r="C9" s="70"/>
      <c r="D9" s="70"/>
      <c r="E9" s="70"/>
      <c r="F9" s="70"/>
      <c r="G9" s="70"/>
      <c r="H9" s="70"/>
      <c r="I9" s="70"/>
      <c r="J9" s="70"/>
      <c r="K9" s="70"/>
      <c r="L9" s="70"/>
      <c r="M9" s="70"/>
      <c r="N9" s="70"/>
      <c r="O9" s="70"/>
      <c r="P9" s="70"/>
      <c r="Q9" s="70"/>
      <c r="R9" s="70"/>
      <c r="S9" s="70"/>
      <c r="T9" s="70"/>
      <c r="U9" s="70"/>
      <c r="V9" s="70"/>
    </row>
    <row r="10" spans="2:22" x14ac:dyDescent="0.2">
      <c r="B10" s="70"/>
      <c r="C10" s="70"/>
      <c r="D10" s="70"/>
      <c r="E10" s="70"/>
      <c r="F10" s="70"/>
      <c r="G10" s="70"/>
      <c r="H10" s="70"/>
      <c r="I10" s="70"/>
      <c r="J10" s="70"/>
      <c r="K10" s="70"/>
      <c r="L10" s="70"/>
      <c r="M10" s="70"/>
      <c r="N10" s="70"/>
      <c r="O10" s="70"/>
      <c r="P10" s="70"/>
      <c r="Q10" s="70"/>
      <c r="R10" s="70"/>
      <c r="S10" s="70"/>
      <c r="T10" s="70"/>
      <c r="U10" s="70"/>
      <c r="V10" s="70"/>
    </row>
    <row r="11" spans="2:22" x14ac:dyDescent="0.2">
      <c r="B11" s="70"/>
      <c r="C11" s="70"/>
      <c r="D11" s="70"/>
      <c r="E11" s="70"/>
      <c r="F11" s="70"/>
      <c r="G11" s="70"/>
      <c r="H11" s="70"/>
      <c r="I11" s="70"/>
      <c r="J11" s="70"/>
      <c r="K11" s="70"/>
      <c r="L11" s="70"/>
      <c r="M11" s="70"/>
      <c r="N11" s="70"/>
      <c r="O11" s="70"/>
      <c r="P11" s="70"/>
      <c r="Q11" s="70"/>
      <c r="R11" s="70"/>
      <c r="S11" s="70"/>
      <c r="T11" s="70"/>
      <c r="U11" s="70"/>
      <c r="V11" s="70"/>
    </row>
    <row r="12" spans="2:22" x14ac:dyDescent="0.2">
      <c r="B12" s="70"/>
      <c r="C12" s="70"/>
      <c r="D12" s="70"/>
      <c r="E12" s="70"/>
      <c r="F12" s="70"/>
      <c r="G12" s="70"/>
      <c r="H12" s="70"/>
      <c r="I12" s="70"/>
      <c r="J12" s="70"/>
      <c r="K12" s="70"/>
      <c r="L12" s="70"/>
      <c r="M12" s="70"/>
      <c r="N12" s="70"/>
      <c r="O12" s="70"/>
      <c r="P12" s="70"/>
      <c r="Q12" s="70"/>
      <c r="R12" s="70"/>
      <c r="S12" s="70"/>
      <c r="T12" s="70"/>
      <c r="U12" s="70"/>
      <c r="V12" s="70"/>
    </row>
    <row r="13" spans="2:22" x14ac:dyDescent="0.2">
      <c r="B13" s="70"/>
      <c r="C13" s="70"/>
      <c r="D13" s="70"/>
      <c r="E13" s="70"/>
      <c r="F13" s="70"/>
      <c r="G13" s="70"/>
      <c r="H13" s="70"/>
      <c r="I13" s="70"/>
      <c r="J13" s="70"/>
      <c r="K13" s="70"/>
      <c r="L13" s="70"/>
      <c r="M13" s="70"/>
      <c r="N13" s="70"/>
      <c r="O13" s="70"/>
      <c r="P13" s="70"/>
      <c r="Q13" s="70"/>
      <c r="R13" s="70"/>
      <c r="S13" s="70"/>
      <c r="T13" s="70"/>
      <c r="U13" s="70"/>
      <c r="V13" s="70"/>
    </row>
    <row r="14" spans="2:22" x14ac:dyDescent="0.2">
      <c r="B14" s="70"/>
      <c r="C14" s="70"/>
      <c r="D14" s="70"/>
      <c r="E14" s="70"/>
      <c r="F14" s="70"/>
      <c r="G14" s="70"/>
      <c r="H14" s="70"/>
      <c r="I14" s="70"/>
      <c r="J14" s="70"/>
      <c r="K14" s="70"/>
      <c r="L14" s="70"/>
      <c r="M14" s="70"/>
      <c r="N14" s="70"/>
      <c r="O14" s="70"/>
      <c r="P14" s="70"/>
      <c r="Q14" s="70"/>
      <c r="R14" s="70"/>
      <c r="S14" s="70"/>
      <c r="T14" s="70"/>
      <c r="U14" s="70"/>
      <c r="V14" s="70"/>
    </row>
    <row r="15" spans="2:22" x14ac:dyDescent="0.2">
      <c r="B15" s="70"/>
      <c r="C15" s="70"/>
      <c r="D15" s="70"/>
      <c r="E15" s="70"/>
      <c r="F15" s="70"/>
      <c r="G15" s="70"/>
      <c r="H15" s="70"/>
      <c r="I15" s="70"/>
      <c r="J15" s="70"/>
      <c r="K15" s="70"/>
      <c r="L15" s="70"/>
      <c r="M15" s="70"/>
      <c r="N15" s="70"/>
      <c r="O15" s="70"/>
      <c r="P15" s="70"/>
      <c r="Q15" s="70"/>
      <c r="R15" s="70"/>
      <c r="S15" s="70"/>
      <c r="T15" s="70"/>
      <c r="U15" s="70"/>
      <c r="V15" s="70"/>
    </row>
    <row r="16" spans="2:22" x14ac:dyDescent="0.2">
      <c r="B16" s="70"/>
      <c r="C16" s="70"/>
      <c r="D16" s="70"/>
      <c r="E16" s="70"/>
      <c r="F16" s="70"/>
      <c r="G16" s="70"/>
      <c r="H16" s="70"/>
      <c r="I16" s="70"/>
      <c r="J16" s="70"/>
      <c r="K16" s="70"/>
      <c r="L16" s="70"/>
      <c r="M16" s="70"/>
      <c r="N16" s="70"/>
      <c r="O16" s="70"/>
      <c r="P16" s="70"/>
      <c r="Q16" s="70"/>
      <c r="R16" s="70"/>
      <c r="S16" s="70"/>
      <c r="T16" s="70"/>
      <c r="U16" s="70"/>
      <c r="V16" s="70"/>
    </row>
    <row r="17" spans="2:23" x14ac:dyDescent="0.2">
      <c r="B17" s="70"/>
      <c r="C17" s="70"/>
      <c r="D17" s="70"/>
      <c r="E17" s="70"/>
      <c r="F17" s="70"/>
      <c r="G17" s="70"/>
      <c r="H17" s="70"/>
      <c r="I17" s="70"/>
      <c r="J17" s="70"/>
      <c r="K17" s="70"/>
      <c r="L17" s="70"/>
      <c r="M17" s="70"/>
      <c r="N17" s="70"/>
      <c r="O17" s="70"/>
      <c r="P17" s="70"/>
      <c r="Q17" s="70"/>
      <c r="R17" s="70"/>
      <c r="S17" s="70"/>
      <c r="T17" s="70"/>
      <c r="U17" s="70"/>
      <c r="V17" s="70"/>
    </row>
    <row r="18" spans="2:23" x14ac:dyDescent="0.2">
      <c r="B18" s="70"/>
      <c r="C18" s="70"/>
      <c r="D18" s="70"/>
      <c r="E18" s="70"/>
      <c r="F18" s="70"/>
      <c r="G18" s="70"/>
      <c r="H18" s="70"/>
      <c r="I18" s="70"/>
      <c r="J18" s="70"/>
      <c r="K18" s="70"/>
      <c r="L18" s="70"/>
      <c r="M18" s="70"/>
      <c r="N18" s="70"/>
      <c r="O18" s="70"/>
      <c r="P18" s="70"/>
      <c r="Q18" s="70"/>
      <c r="R18" s="70"/>
      <c r="S18" s="70"/>
      <c r="T18" s="70"/>
      <c r="U18" s="70"/>
      <c r="V18" s="70"/>
    </row>
    <row r="19" spans="2:23" x14ac:dyDescent="0.2">
      <c r="B19" s="70"/>
      <c r="C19" s="70"/>
      <c r="D19" s="70"/>
      <c r="E19" s="70"/>
      <c r="F19" s="70"/>
      <c r="G19" s="70"/>
      <c r="H19" s="70"/>
      <c r="I19" s="70"/>
      <c r="J19" s="70"/>
      <c r="K19" s="70"/>
      <c r="L19" s="70"/>
      <c r="M19" s="70"/>
      <c r="N19" s="70"/>
      <c r="O19" s="70"/>
      <c r="P19" s="70"/>
      <c r="Q19" s="70"/>
      <c r="R19" s="70"/>
      <c r="S19" s="70"/>
      <c r="T19" s="70"/>
      <c r="U19" s="70"/>
      <c r="V19" s="70"/>
    </row>
    <row r="20" spans="2:23" x14ac:dyDescent="0.2">
      <c r="B20" s="70"/>
      <c r="C20" s="70"/>
      <c r="D20" s="70"/>
      <c r="E20" s="70"/>
      <c r="F20" s="70"/>
      <c r="G20" s="70"/>
      <c r="H20" s="70"/>
      <c r="I20" s="70"/>
      <c r="J20" s="70"/>
      <c r="K20" s="70"/>
      <c r="L20" s="70"/>
      <c r="M20" s="70"/>
      <c r="N20" s="70"/>
      <c r="O20" s="70"/>
      <c r="P20" s="70"/>
      <c r="Q20" s="70"/>
      <c r="R20" s="70"/>
      <c r="S20" s="70"/>
      <c r="T20" s="70"/>
      <c r="U20" s="70"/>
      <c r="V20" s="70"/>
    </row>
    <row r="21" spans="2:23" ht="15" customHeight="1" x14ac:dyDescent="0.2">
      <c r="B21" s="170" t="s">
        <v>194</v>
      </c>
      <c r="C21" s="157"/>
      <c r="D21" s="157"/>
      <c r="E21" s="157"/>
      <c r="F21" s="157"/>
      <c r="G21" s="157"/>
      <c r="H21" s="158"/>
      <c r="I21" s="70"/>
      <c r="J21" s="99"/>
      <c r="K21" s="99"/>
      <c r="L21" s="99"/>
      <c r="M21" s="99"/>
      <c r="N21" s="99"/>
      <c r="O21" s="99"/>
      <c r="P21" s="99"/>
      <c r="Q21" s="99"/>
      <c r="R21" s="99"/>
      <c r="S21" s="99"/>
      <c r="T21" s="99"/>
      <c r="U21" s="99"/>
      <c r="V21" s="70"/>
    </row>
    <row r="22" spans="2:23" ht="15" customHeight="1" x14ac:dyDescent="0.2">
      <c r="B22" s="70"/>
      <c r="C22" s="70"/>
      <c r="D22" s="70"/>
      <c r="E22" s="70"/>
      <c r="F22" s="70"/>
      <c r="G22" s="70"/>
      <c r="H22" s="70"/>
      <c r="I22" s="70"/>
      <c r="J22" s="99"/>
      <c r="K22" s="99"/>
      <c r="L22" s="99"/>
      <c r="M22" s="99"/>
      <c r="N22" s="99"/>
      <c r="O22" s="99"/>
      <c r="P22" s="99"/>
      <c r="Q22" s="99"/>
      <c r="R22" s="99"/>
      <c r="S22" s="99"/>
      <c r="T22" s="99"/>
      <c r="U22" s="99"/>
      <c r="V22" s="100"/>
      <c r="W22" s="7"/>
    </row>
    <row r="23" spans="2:23" x14ac:dyDescent="0.2">
      <c r="B23" s="70"/>
      <c r="C23" s="70"/>
      <c r="D23" s="139" t="s">
        <v>77</v>
      </c>
      <c r="E23" s="139" t="s">
        <v>78</v>
      </c>
      <c r="F23" s="139" t="s">
        <v>79</v>
      </c>
      <c r="G23" s="139" t="s">
        <v>80</v>
      </c>
      <c r="H23" s="139" t="s">
        <v>81</v>
      </c>
      <c r="I23" s="70"/>
      <c r="J23" s="99"/>
      <c r="K23" s="99"/>
      <c r="L23" s="99"/>
      <c r="M23" s="99"/>
      <c r="N23" s="99"/>
      <c r="O23" s="99"/>
      <c r="P23" s="99"/>
      <c r="Q23" s="99"/>
      <c r="R23" s="99"/>
      <c r="S23" s="99"/>
      <c r="T23" s="99"/>
      <c r="U23" s="99"/>
      <c r="V23" s="100"/>
      <c r="W23" s="7"/>
    </row>
    <row r="24" spans="2:23" ht="18" customHeight="1" x14ac:dyDescent="0.2">
      <c r="B24" s="166" t="s">
        <v>195</v>
      </c>
      <c r="C24" s="158"/>
      <c r="D24" s="123">
        <f>IF('Comptes de résultats'!C9&lt;&gt;0,IF('Comptes de résultats'!C12/'Comptes de résultats'!C9&lt;&gt;0,('Comptes de résultats'!C15+'Comptes de résultats'!C19+'Comptes de résultats'!C21+'Comptes de résultats'!C25+'Comptes de résultats'!C29-'Comptes de résultats'!C20)/('Comptes de résultats'!C12/'Comptes de résultats'!C9),0),0)</f>
        <v>413130.42689000966</v>
      </c>
      <c r="E24" s="123">
        <f>IF('Comptes de résultats'!D9&lt;&gt;0,IF('Comptes de résultats'!D12/'Comptes de résultats'!D9&lt;&gt;0,('Comptes de résultats'!D15+'Comptes de résultats'!D19+'Comptes de résultats'!D21+'Comptes de résultats'!D25+'Comptes de résultats'!D29-'Comptes de résultats'!D20)/('Comptes de résultats'!D12/'Comptes de résultats'!D9),0),0)</f>
        <v>666375.69537471607</v>
      </c>
      <c r="F24" s="123">
        <f>IF('Comptes de résultats'!E9&lt;&gt;0,IF('Comptes de résultats'!E12/'Comptes de résultats'!E9&lt;&gt;0,('Comptes de résultats'!E15+'Comptes de résultats'!E19+'Comptes de résultats'!E21+'Comptes de résultats'!E25+'Comptes de résultats'!E29-'Comptes de résultats'!E20)/('Comptes de résultats'!E12/'Comptes de résultats'!E9),0),0)</f>
        <v>1042279.2671344955</v>
      </c>
      <c r="G24" s="123">
        <f>IF('Comptes de résultats'!F9&lt;&gt;0,IF('Comptes de résultats'!F12/'Comptes de résultats'!F9&lt;&gt;0,('Comptes de résultats'!F15+'Comptes de résultats'!F19+'Comptes de résultats'!F21+'Comptes de résultats'!F25+'Comptes de résultats'!F29-'Comptes de résultats'!F20)/('Comptes de résultats'!F12/'Comptes de résultats'!F9),0),0)</f>
        <v>1503930.5886797197</v>
      </c>
      <c r="H24" s="123">
        <f>IF('Comptes de résultats'!G9&lt;&gt;0,IF('Comptes de résultats'!G12/'Comptes de résultats'!G9&lt;&gt;0,('Comptes de résultats'!G15+'Comptes de résultats'!G19+'Comptes de résultats'!G21+'Comptes de résultats'!G25+'Comptes de résultats'!G29-'Comptes de résultats'!G20)/('Comptes de résultats'!G12/'Comptes de résultats'!G9),0),0)</f>
        <v>2204064.3577929107</v>
      </c>
      <c r="I24" s="70"/>
      <c r="J24" s="99"/>
      <c r="K24" s="99"/>
      <c r="L24" s="99"/>
      <c r="M24" s="99"/>
      <c r="N24" s="99"/>
      <c r="O24" s="99"/>
      <c r="P24" s="99"/>
      <c r="Q24" s="99"/>
      <c r="R24" s="99"/>
      <c r="S24" s="99"/>
      <c r="T24" s="99"/>
      <c r="U24" s="99"/>
      <c r="V24" s="100"/>
      <c r="W24" s="7"/>
    </row>
    <row r="25" spans="2:23" x14ac:dyDescent="0.2">
      <c r="B25" s="70"/>
      <c r="C25" s="70"/>
      <c r="D25" s="70"/>
      <c r="E25" s="70"/>
      <c r="F25" s="70"/>
      <c r="G25" s="70"/>
      <c r="H25" s="70"/>
      <c r="I25" s="70"/>
      <c r="J25" s="101"/>
      <c r="K25" s="101"/>
      <c r="L25" s="102"/>
      <c r="M25" s="103"/>
      <c r="N25" s="102"/>
      <c r="O25" s="103"/>
      <c r="P25" s="102"/>
      <c r="Q25" s="103"/>
      <c r="R25" s="102"/>
      <c r="S25" s="103"/>
      <c r="T25" s="102"/>
      <c r="U25" s="103"/>
      <c r="V25" s="70"/>
    </row>
    <row r="26" spans="2:23" ht="49.5" customHeight="1" x14ac:dyDescent="0.2">
      <c r="B26" s="175" t="s">
        <v>196</v>
      </c>
      <c r="C26" s="157"/>
      <c r="D26" s="157"/>
      <c r="E26" s="157"/>
      <c r="F26" s="157"/>
      <c r="G26" s="157"/>
      <c r="H26" s="157"/>
      <c r="I26" s="157"/>
      <c r="J26" s="157"/>
      <c r="K26" s="157"/>
      <c r="L26" s="157"/>
      <c r="M26" s="157"/>
      <c r="N26" s="157"/>
      <c r="O26" s="157"/>
      <c r="P26" s="157"/>
      <c r="Q26" s="157"/>
      <c r="R26" s="157"/>
      <c r="S26" s="157"/>
      <c r="T26" s="157"/>
      <c r="U26" s="158"/>
      <c r="V26" s="70"/>
    </row>
    <row r="27" spans="2:23" x14ac:dyDescent="0.2">
      <c r="B27" s="70"/>
      <c r="C27" s="70"/>
      <c r="D27" s="70"/>
      <c r="E27" s="70"/>
      <c r="F27" s="70"/>
      <c r="G27" s="70"/>
      <c r="H27" s="70"/>
      <c r="I27" s="70"/>
      <c r="J27" s="101"/>
      <c r="K27" s="101"/>
      <c r="L27" s="102"/>
      <c r="M27" s="103"/>
      <c r="N27" s="102"/>
      <c r="O27" s="103"/>
      <c r="P27" s="102"/>
      <c r="Q27" s="103"/>
      <c r="R27" s="102"/>
      <c r="S27" s="103"/>
      <c r="T27" s="102"/>
      <c r="U27" s="103"/>
      <c r="V27" s="70"/>
    </row>
    <row r="28" spans="2:23" ht="15" customHeight="1" x14ac:dyDescent="0.2">
      <c r="B28" s="6"/>
      <c r="C28" s="6"/>
      <c r="D28" s="6"/>
      <c r="E28" s="6"/>
      <c r="F28" s="6"/>
      <c r="G28" s="6"/>
      <c r="H28" s="6"/>
      <c r="J28" s="8"/>
      <c r="K28" s="8"/>
      <c r="L28" s="15"/>
      <c r="M28" s="16"/>
      <c r="N28" s="15"/>
      <c r="O28" s="16"/>
      <c r="P28" s="15"/>
      <c r="Q28" s="16"/>
      <c r="R28" s="15"/>
      <c r="S28" s="16"/>
      <c r="T28" s="15"/>
      <c r="U28" s="16"/>
    </row>
    <row r="29" spans="2:23" x14ac:dyDescent="0.2">
      <c r="J29" s="8"/>
      <c r="K29" s="8"/>
      <c r="L29" s="15"/>
      <c r="M29" s="16"/>
      <c r="N29" s="15"/>
      <c r="O29" s="16"/>
      <c r="P29" s="15"/>
      <c r="Q29" s="16"/>
      <c r="R29" s="15"/>
      <c r="S29" s="16"/>
      <c r="T29" s="15"/>
      <c r="U29" s="16"/>
    </row>
    <row r="30" spans="2:23" x14ac:dyDescent="0.2">
      <c r="D30" s="14"/>
      <c r="E30" s="14"/>
      <c r="F30" s="14"/>
      <c r="G30" s="14"/>
      <c r="H30" s="14"/>
      <c r="J30" s="8"/>
      <c r="K30" s="8"/>
      <c r="L30" s="15"/>
      <c r="M30" s="16"/>
      <c r="N30" s="15"/>
      <c r="O30" s="16"/>
      <c r="P30" s="15"/>
      <c r="Q30" s="16"/>
      <c r="R30" s="15"/>
      <c r="S30" s="16"/>
      <c r="T30" s="15"/>
      <c r="U30" s="16"/>
    </row>
    <row r="31" spans="2:23" x14ac:dyDescent="0.2">
      <c r="B31" s="10"/>
      <c r="C31" s="10"/>
      <c r="D31" s="2"/>
      <c r="E31" s="2"/>
      <c r="F31" s="2"/>
      <c r="G31" s="2"/>
      <c r="H31" s="2"/>
      <c r="J31" s="8"/>
      <c r="K31" s="8"/>
      <c r="L31" s="15"/>
      <c r="M31" s="16"/>
      <c r="N31" s="15"/>
      <c r="O31" s="16"/>
      <c r="P31" s="15"/>
      <c r="Q31" s="16"/>
      <c r="R31" s="15"/>
      <c r="S31" s="16"/>
      <c r="T31" s="15"/>
      <c r="U31" s="16"/>
    </row>
    <row r="32" spans="2:23" x14ac:dyDescent="0.2">
      <c r="B32" s="10"/>
      <c r="C32" s="10"/>
      <c r="D32" s="2"/>
      <c r="E32" s="2"/>
      <c r="F32" s="2"/>
      <c r="G32" s="2"/>
      <c r="H32" s="2"/>
      <c r="J32" s="8"/>
      <c r="K32" s="8"/>
      <c r="L32" s="15"/>
      <c r="M32" s="16"/>
      <c r="N32" s="15"/>
      <c r="O32" s="16"/>
      <c r="P32" s="15"/>
      <c r="Q32" s="16"/>
      <c r="R32" s="15"/>
      <c r="S32" s="16"/>
      <c r="T32" s="15"/>
      <c r="U32" s="16"/>
    </row>
    <row r="33" spans="2:21" x14ac:dyDescent="0.2">
      <c r="B33" s="10"/>
      <c r="C33" s="10"/>
      <c r="D33" s="2"/>
      <c r="E33" s="2"/>
      <c r="F33" s="2"/>
      <c r="G33" s="2"/>
      <c r="H33" s="2"/>
      <c r="J33" s="8"/>
      <c r="K33" s="8"/>
      <c r="L33" s="15"/>
      <c r="M33" s="16"/>
      <c r="N33" s="15"/>
      <c r="O33" s="16"/>
      <c r="P33" s="15"/>
      <c r="Q33" s="16"/>
      <c r="R33" s="15"/>
      <c r="S33" s="16"/>
      <c r="T33" s="15"/>
      <c r="U33" s="16"/>
    </row>
    <row r="34" spans="2:21" x14ac:dyDescent="0.2">
      <c r="B34" s="10"/>
      <c r="C34" s="10"/>
      <c r="D34" s="2"/>
      <c r="E34" s="2"/>
      <c r="F34" s="2"/>
      <c r="G34" s="2"/>
      <c r="H34" s="2"/>
      <c r="J34" s="8"/>
      <c r="K34" s="8"/>
      <c r="L34" s="15"/>
      <c r="M34" s="16"/>
      <c r="N34" s="15"/>
      <c r="O34" s="16"/>
      <c r="P34" s="15"/>
      <c r="Q34" s="16"/>
      <c r="R34" s="15"/>
      <c r="S34" s="16"/>
      <c r="T34" s="15"/>
      <c r="U34" s="16"/>
    </row>
    <row r="35" spans="2:21" x14ac:dyDescent="0.2">
      <c r="B35" s="10"/>
      <c r="C35" s="10"/>
      <c r="D35" s="2"/>
      <c r="E35" s="2"/>
      <c r="F35" s="2"/>
      <c r="G35" s="2"/>
      <c r="H35" s="2"/>
      <c r="J35" s="8"/>
      <c r="K35" s="8"/>
      <c r="L35" s="15"/>
      <c r="M35" s="16"/>
      <c r="N35" s="15"/>
      <c r="O35" s="16"/>
      <c r="P35" s="15"/>
      <c r="Q35" s="16"/>
      <c r="R35" s="15"/>
      <c r="S35" s="16"/>
      <c r="T35" s="15"/>
      <c r="U35" s="16"/>
    </row>
    <row r="36" spans="2:21" x14ac:dyDescent="0.2">
      <c r="B36" s="10"/>
      <c r="C36" s="10"/>
      <c r="D36" s="2"/>
      <c r="E36" s="2"/>
      <c r="F36" s="2"/>
      <c r="G36" s="2"/>
      <c r="H36" s="2"/>
      <c r="J36" s="6"/>
      <c r="K36" s="6"/>
      <c r="L36" s="15"/>
      <c r="M36" s="17"/>
      <c r="N36" s="15"/>
      <c r="O36" s="17"/>
      <c r="P36" s="15"/>
      <c r="Q36" s="17"/>
      <c r="R36" s="15"/>
      <c r="S36" s="17"/>
      <c r="T36" s="15"/>
      <c r="U36" s="17"/>
    </row>
    <row r="37" spans="2:21" ht="15" customHeight="1" x14ac:dyDescent="0.2">
      <c r="B37" s="10"/>
      <c r="C37" s="10"/>
      <c r="D37" s="2"/>
      <c r="E37" s="2"/>
      <c r="F37" s="2"/>
      <c r="G37" s="2"/>
      <c r="H37" s="2"/>
      <c r="J37" s="8"/>
      <c r="K37" s="8"/>
      <c r="L37" s="15"/>
      <c r="M37" s="16"/>
      <c r="N37" s="15"/>
      <c r="O37" s="16"/>
      <c r="P37" s="15"/>
      <c r="Q37" s="16"/>
      <c r="R37" s="15"/>
      <c r="S37" s="16"/>
      <c r="T37" s="15"/>
      <c r="U37" s="16"/>
    </row>
    <row r="38" spans="2:21" x14ac:dyDescent="0.2">
      <c r="B38" s="10"/>
      <c r="C38" s="10"/>
      <c r="D38" s="2"/>
      <c r="E38" s="2"/>
      <c r="F38" s="2"/>
      <c r="G38" s="2"/>
      <c r="H38" s="2"/>
      <c r="J38" s="8"/>
      <c r="K38" s="8"/>
      <c r="L38" s="15"/>
      <c r="M38" s="16"/>
      <c r="N38" s="15"/>
      <c r="O38" s="16"/>
      <c r="P38" s="15"/>
      <c r="Q38" s="16"/>
      <c r="R38" s="15"/>
      <c r="S38" s="16"/>
      <c r="T38" s="15"/>
      <c r="U38" s="16"/>
    </row>
    <row r="39" spans="2:21" x14ac:dyDescent="0.2">
      <c r="B39" s="1"/>
      <c r="C39" s="1"/>
      <c r="D39" s="2"/>
      <c r="E39" s="2"/>
      <c r="F39" s="2"/>
      <c r="G39" s="2"/>
      <c r="H39" s="2"/>
      <c r="J39" s="8"/>
      <c r="K39" s="8"/>
      <c r="L39" s="15"/>
      <c r="M39" s="16"/>
      <c r="N39" s="15"/>
      <c r="O39" s="16"/>
      <c r="P39" s="15"/>
      <c r="Q39" s="16"/>
      <c r="R39" s="15"/>
      <c r="S39" s="16"/>
      <c r="T39" s="15"/>
      <c r="U39" s="16"/>
    </row>
    <row r="40" spans="2:21" x14ac:dyDescent="0.2">
      <c r="J40" s="8"/>
      <c r="K40" s="8"/>
      <c r="L40" s="15"/>
      <c r="M40" s="16"/>
      <c r="N40" s="15"/>
      <c r="O40" s="16"/>
      <c r="P40" s="15"/>
      <c r="Q40" s="16"/>
      <c r="R40" s="15"/>
      <c r="S40" s="16"/>
      <c r="T40" s="15"/>
      <c r="U40" s="16"/>
    </row>
    <row r="41" spans="2:21" ht="15" customHeight="1" x14ac:dyDescent="0.2">
      <c r="B41" s="6"/>
      <c r="C41" s="6"/>
      <c r="D41" s="6"/>
      <c r="E41" s="6"/>
      <c r="F41" s="6"/>
      <c r="G41" s="6"/>
      <c r="H41" s="6"/>
      <c r="J41" s="8"/>
      <c r="K41" s="8"/>
      <c r="L41" s="15"/>
      <c r="M41" s="16"/>
      <c r="N41" s="15"/>
      <c r="O41" s="16"/>
      <c r="P41" s="15"/>
      <c r="Q41" s="16"/>
      <c r="R41" s="15"/>
      <c r="S41" s="16"/>
      <c r="T41" s="15"/>
      <c r="U41" s="16"/>
    </row>
    <row r="42" spans="2:21" ht="15" customHeight="1" x14ac:dyDescent="0.2">
      <c r="J42" s="8"/>
      <c r="K42" s="8"/>
      <c r="L42" s="15"/>
      <c r="M42" s="16"/>
      <c r="N42" s="15"/>
      <c r="O42" s="16"/>
      <c r="P42" s="15"/>
      <c r="Q42" s="16"/>
      <c r="R42" s="15"/>
      <c r="S42" s="16"/>
      <c r="T42" s="15"/>
      <c r="U42" s="16"/>
    </row>
    <row r="43" spans="2:21" x14ac:dyDescent="0.2">
      <c r="D43" s="14"/>
      <c r="E43" s="14"/>
      <c r="F43" s="14"/>
      <c r="G43" s="14"/>
      <c r="H43" s="14"/>
      <c r="J43" s="8"/>
      <c r="K43" s="8"/>
      <c r="L43" s="15"/>
      <c r="M43" s="16"/>
      <c r="N43" s="15"/>
      <c r="O43" s="16"/>
      <c r="P43" s="15"/>
      <c r="Q43" s="16"/>
      <c r="R43" s="15"/>
      <c r="S43" s="16"/>
      <c r="T43" s="15"/>
      <c r="U43" s="16"/>
    </row>
    <row r="44" spans="2:21" x14ac:dyDescent="0.2">
      <c r="B44" s="10"/>
      <c r="C44" s="10"/>
      <c r="D44" s="11"/>
      <c r="E44" s="11"/>
      <c r="F44" s="11"/>
      <c r="G44" s="11"/>
      <c r="H44" s="11"/>
      <c r="J44" s="8"/>
      <c r="K44" s="8"/>
      <c r="L44" s="15"/>
      <c r="M44" s="16"/>
      <c r="N44" s="15"/>
      <c r="O44" s="16"/>
      <c r="P44" s="15"/>
      <c r="Q44" s="16"/>
      <c r="R44" s="15"/>
      <c r="S44" s="16"/>
      <c r="T44" s="15"/>
      <c r="U44" s="16"/>
    </row>
    <row r="45" spans="2:21" x14ac:dyDescent="0.2">
      <c r="B45" s="10"/>
      <c r="C45" s="10"/>
      <c r="D45" s="11"/>
      <c r="E45" s="11"/>
      <c r="F45" s="11"/>
      <c r="G45" s="11"/>
      <c r="H45" s="11"/>
      <c r="J45" s="13"/>
      <c r="K45" s="13"/>
      <c r="L45" s="13"/>
      <c r="M45" s="13"/>
      <c r="N45" s="13"/>
      <c r="O45" s="13"/>
      <c r="P45" s="13"/>
    </row>
    <row r="46" spans="2:21" x14ac:dyDescent="0.2">
      <c r="B46" s="10"/>
      <c r="C46" s="10"/>
      <c r="D46" s="11"/>
      <c r="E46" s="11"/>
      <c r="F46" s="11"/>
      <c r="G46" s="11"/>
      <c r="H46" s="11"/>
      <c r="J46" s="13"/>
      <c r="K46" s="13"/>
      <c r="L46" s="13"/>
      <c r="M46" s="13"/>
      <c r="N46" s="13"/>
      <c r="O46" s="13"/>
      <c r="P46" s="13"/>
    </row>
    <row r="47" spans="2:21" x14ac:dyDescent="0.2">
      <c r="B47" s="10"/>
      <c r="C47" s="10"/>
      <c r="D47" s="11"/>
      <c r="E47" s="11"/>
      <c r="F47" s="11"/>
      <c r="G47" s="11"/>
      <c r="H47" s="11"/>
      <c r="J47" s="13"/>
      <c r="K47" s="13"/>
      <c r="L47" s="13"/>
      <c r="M47" s="13"/>
      <c r="N47" s="13"/>
      <c r="O47" s="13"/>
      <c r="P47" s="13"/>
    </row>
    <row r="48" spans="2:21" x14ac:dyDescent="0.2">
      <c r="B48" s="10"/>
      <c r="C48" s="10"/>
      <c r="D48" s="11"/>
      <c r="E48" s="11"/>
      <c r="F48" s="11"/>
      <c r="G48" s="11"/>
      <c r="H48" s="11"/>
      <c r="J48" s="13"/>
      <c r="K48" s="13"/>
      <c r="L48" s="13"/>
      <c r="M48" s="13"/>
      <c r="N48" s="13"/>
      <c r="O48" s="13"/>
      <c r="P48" s="13"/>
    </row>
    <row r="49" spans="2:21" x14ac:dyDescent="0.2">
      <c r="B49" s="10"/>
      <c r="C49" s="10"/>
      <c r="D49" s="11"/>
      <c r="E49" s="11"/>
      <c r="F49" s="11"/>
      <c r="G49" s="11"/>
      <c r="H49" s="11"/>
      <c r="J49" s="13"/>
      <c r="K49" s="13"/>
      <c r="L49" s="13"/>
      <c r="M49" s="13"/>
      <c r="N49" s="13"/>
      <c r="O49" s="13"/>
      <c r="P49" s="13"/>
    </row>
    <row r="50" spans="2:21" x14ac:dyDescent="0.2">
      <c r="B50" s="10"/>
      <c r="C50" s="10"/>
      <c r="D50" s="11"/>
      <c r="E50" s="11"/>
      <c r="F50" s="11"/>
      <c r="G50" s="11"/>
      <c r="H50" s="11"/>
      <c r="J50" s="13"/>
      <c r="K50" s="13"/>
      <c r="L50" s="13"/>
      <c r="M50" s="13"/>
      <c r="N50" s="13"/>
      <c r="O50" s="13"/>
      <c r="P50" s="13"/>
    </row>
    <row r="51" spans="2:21" x14ac:dyDescent="0.2">
      <c r="B51" s="10"/>
      <c r="C51" s="10"/>
      <c r="D51" s="11"/>
      <c r="E51" s="11"/>
      <c r="F51" s="11"/>
      <c r="G51" s="11"/>
      <c r="H51" s="11"/>
      <c r="J51" s="13"/>
      <c r="K51" s="13"/>
      <c r="L51" s="13"/>
      <c r="M51" s="13"/>
      <c r="N51" s="13"/>
      <c r="O51" s="13"/>
      <c r="P51" s="13"/>
    </row>
    <row r="53" spans="2:21" ht="15" customHeight="1" x14ac:dyDescent="0.2">
      <c r="B53" s="13"/>
      <c r="C53" s="13"/>
      <c r="D53" s="13"/>
      <c r="E53" s="13"/>
      <c r="F53" s="13"/>
      <c r="G53" s="13"/>
      <c r="H53" s="13"/>
      <c r="J53" s="13"/>
      <c r="K53" s="13"/>
      <c r="L53" s="13"/>
      <c r="M53" s="13"/>
      <c r="N53" s="13"/>
      <c r="O53" s="13"/>
      <c r="P53" s="13"/>
      <c r="Q53" s="13"/>
      <c r="R53" s="13"/>
      <c r="S53" s="13"/>
      <c r="T53" s="13"/>
      <c r="U53" s="13"/>
    </row>
    <row r="54" spans="2:21" x14ac:dyDescent="0.2">
      <c r="B54" s="13"/>
      <c r="C54" s="13"/>
      <c r="D54" s="13"/>
      <c r="E54" s="13"/>
      <c r="F54" s="13"/>
      <c r="G54" s="13"/>
      <c r="H54" s="13"/>
      <c r="J54" s="13"/>
      <c r="K54" s="13"/>
      <c r="L54" s="13"/>
      <c r="M54" s="13"/>
      <c r="N54" s="13"/>
      <c r="O54" s="13"/>
      <c r="P54" s="13"/>
      <c r="Q54" s="13"/>
      <c r="R54" s="13"/>
      <c r="S54" s="13"/>
      <c r="T54" s="13"/>
      <c r="U54" s="13"/>
    </row>
    <row r="55" spans="2:21" x14ac:dyDescent="0.2">
      <c r="B55" s="13"/>
      <c r="C55" s="13"/>
      <c r="D55" s="13"/>
      <c r="E55" s="13"/>
      <c r="F55" s="13"/>
      <c r="G55" s="13"/>
      <c r="H55" s="13"/>
      <c r="J55" s="13"/>
      <c r="K55" s="13"/>
      <c r="L55" s="13"/>
      <c r="M55" s="13"/>
      <c r="N55" s="13"/>
      <c r="O55" s="13"/>
      <c r="P55" s="13"/>
      <c r="Q55" s="13"/>
      <c r="R55" s="13"/>
      <c r="S55" s="13"/>
      <c r="T55" s="13"/>
      <c r="U55" s="13"/>
    </row>
    <row r="56" spans="2:21" x14ac:dyDescent="0.2">
      <c r="B56" s="13"/>
      <c r="C56" s="13"/>
      <c r="D56" s="13"/>
      <c r="E56" s="13"/>
      <c r="F56" s="13"/>
      <c r="G56" s="13"/>
      <c r="H56" s="13"/>
      <c r="J56" s="13"/>
      <c r="K56" s="13"/>
      <c r="L56" s="13"/>
      <c r="M56" s="13"/>
      <c r="N56" s="13"/>
      <c r="O56" s="13"/>
      <c r="P56" s="13"/>
      <c r="Q56" s="13"/>
      <c r="R56" s="13"/>
      <c r="S56" s="13"/>
      <c r="T56" s="13"/>
      <c r="U56" s="13"/>
    </row>
    <row r="57" spans="2:21" x14ac:dyDescent="0.2">
      <c r="B57" s="13"/>
      <c r="C57" s="13"/>
      <c r="D57" s="13"/>
      <c r="E57" s="13"/>
      <c r="F57" s="13"/>
      <c r="G57" s="13"/>
      <c r="H57" s="13"/>
      <c r="J57" s="13"/>
      <c r="K57" s="13"/>
      <c r="L57" s="13"/>
      <c r="M57" s="13"/>
      <c r="N57" s="13"/>
      <c r="O57" s="13"/>
      <c r="P57" s="13"/>
      <c r="Q57" s="13"/>
      <c r="R57" s="13"/>
      <c r="S57" s="13"/>
      <c r="T57" s="13"/>
      <c r="U57" s="13"/>
    </row>
    <row r="58" spans="2:21" x14ac:dyDescent="0.2">
      <c r="B58" s="13"/>
      <c r="C58" s="13"/>
      <c r="D58" s="13"/>
      <c r="E58" s="13"/>
      <c r="F58" s="13"/>
      <c r="G58" s="13"/>
      <c r="H58" s="13"/>
    </row>
    <row r="59" spans="2:21" x14ac:dyDescent="0.2">
      <c r="B59" s="13"/>
      <c r="C59" s="13"/>
      <c r="D59" s="13"/>
      <c r="E59" s="13"/>
      <c r="F59" s="13"/>
      <c r="G59" s="13"/>
      <c r="H59" s="13"/>
    </row>
    <row r="60" spans="2:21" x14ac:dyDescent="0.2">
      <c r="B60" s="13"/>
      <c r="C60" s="13"/>
      <c r="D60" s="13"/>
      <c r="E60" s="13"/>
      <c r="F60" s="13"/>
      <c r="G60" s="13"/>
      <c r="H60" s="13"/>
    </row>
    <row r="61" spans="2:21" x14ac:dyDescent="0.2">
      <c r="B61" s="13"/>
      <c r="C61" s="13"/>
      <c r="D61" s="13"/>
      <c r="E61" s="13"/>
      <c r="F61" s="13"/>
      <c r="G61" s="13"/>
      <c r="H61" s="13"/>
    </row>
    <row r="62" spans="2:21" x14ac:dyDescent="0.2">
      <c r="B62" s="13"/>
      <c r="C62" s="13"/>
      <c r="D62" s="13"/>
      <c r="E62" s="13"/>
      <c r="F62" s="13"/>
      <c r="G62" s="13"/>
      <c r="H62" s="13"/>
    </row>
    <row r="63" spans="2:21" x14ac:dyDescent="0.2">
      <c r="B63" s="13"/>
      <c r="C63" s="13"/>
      <c r="D63" s="13"/>
      <c r="E63" s="13"/>
      <c r="F63" s="13"/>
      <c r="G63" s="13"/>
      <c r="H63" s="13"/>
    </row>
    <row r="64" spans="2:21" x14ac:dyDescent="0.2">
      <c r="B64" s="13"/>
      <c r="C64" s="13"/>
      <c r="D64" s="13"/>
      <c r="E64" s="13"/>
      <c r="F64" s="13"/>
      <c r="G64" s="13"/>
      <c r="H64" s="13"/>
    </row>
    <row r="65" spans="2:8" x14ac:dyDescent="0.2">
      <c r="B65" s="13"/>
      <c r="C65" s="13"/>
      <c r="D65" s="13"/>
      <c r="E65" s="13"/>
      <c r="F65" s="13"/>
      <c r="G65" s="13"/>
      <c r="H65" s="13"/>
    </row>
    <row r="66" spans="2:8" x14ac:dyDescent="0.2">
      <c r="B66" s="13"/>
      <c r="C66" s="13"/>
      <c r="D66" s="13"/>
      <c r="E66" s="13"/>
      <c r="F66" s="13"/>
      <c r="G66" s="13"/>
      <c r="H66" s="13"/>
    </row>
    <row r="67" spans="2:8" x14ac:dyDescent="0.2">
      <c r="B67" s="13"/>
      <c r="C67" s="13"/>
      <c r="D67" s="13"/>
      <c r="E67" s="13"/>
      <c r="F67" s="13"/>
      <c r="G67" s="13"/>
      <c r="H67" s="13"/>
    </row>
    <row r="68" spans="2:8" x14ac:dyDescent="0.2">
      <c r="B68" s="13"/>
      <c r="C68" s="13"/>
      <c r="D68" s="13"/>
      <c r="E68" s="13"/>
      <c r="F68" s="13"/>
      <c r="G68" s="13"/>
      <c r="H68" s="13"/>
    </row>
    <row r="69" spans="2:8" x14ac:dyDescent="0.2">
      <c r="B69" s="13"/>
      <c r="C69" s="13"/>
      <c r="D69" s="13"/>
      <c r="E69" s="13"/>
      <c r="F69" s="13"/>
      <c r="G69" s="13"/>
      <c r="H69" s="13"/>
    </row>
    <row r="70" spans="2:8" x14ac:dyDescent="0.2">
      <c r="B70" s="13"/>
      <c r="C70" s="13"/>
      <c r="D70" s="13"/>
      <c r="E70" s="13"/>
      <c r="F70" s="13"/>
      <c r="G70" s="13"/>
      <c r="H70" s="13"/>
    </row>
    <row r="71" spans="2:8" x14ac:dyDescent="0.2">
      <c r="B71" s="13"/>
      <c r="C71" s="13"/>
      <c r="D71" s="13"/>
      <c r="E71" s="13"/>
      <c r="F71" s="13"/>
      <c r="G71" s="13"/>
      <c r="H71" s="13"/>
    </row>
    <row r="72" spans="2:8" x14ac:dyDescent="0.2">
      <c r="B72" s="187"/>
      <c r="C72" s="150"/>
      <c r="D72" s="150"/>
      <c r="E72" s="150"/>
      <c r="F72" s="150"/>
      <c r="G72" s="150"/>
      <c r="H72" s="150"/>
    </row>
    <row r="73" spans="2:8" x14ac:dyDescent="0.2">
      <c r="B73" s="150"/>
      <c r="C73" s="150"/>
      <c r="D73" s="150"/>
      <c r="E73" s="150"/>
      <c r="F73" s="150"/>
      <c r="G73" s="150"/>
      <c r="H73" s="150"/>
    </row>
    <row r="74" spans="2:8" x14ac:dyDescent="0.2">
      <c r="B74" s="150"/>
      <c r="C74" s="150"/>
      <c r="D74" s="150"/>
      <c r="E74" s="150"/>
      <c r="F74" s="150"/>
      <c r="G74" s="150"/>
      <c r="H74" s="150"/>
    </row>
    <row r="75" spans="2:8" x14ac:dyDescent="0.2">
      <c r="B75" s="150"/>
      <c r="C75" s="150"/>
      <c r="D75" s="150"/>
      <c r="E75" s="150"/>
      <c r="F75" s="150"/>
      <c r="G75" s="150"/>
      <c r="H75" s="150"/>
    </row>
  </sheetData>
  <mergeCells count="8">
    <mergeCell ref="B2:E3"/>
    <mergeCell ref="B5:U5"/>
    <mergeCell ref="B24:C24"/>
    <mergeCell ref="J7:U7"/>
    <mergeCell ref="B26:U26"/>
    <mergeCell ref="B21:H21"/>
    <mergeCell ref="B72:H75"/>
    <mergeCell ref="B7:H7"/>
  </mergeCells>
  <pageMargins left="0.7" right="0.7" top="0.75" bottom="0.75" header="0.3" footer="0.3"/>
  <pageSetup paperSize="9" orientation="portrait"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tabColor rgb="FF008BD0"/>
  </sheetPr>
  <dimension ref="B2:K37"/>
  <sheetViews>
    <sheetView showGridLines="0" showRowColHeaders="0" zoomScale="85" zoomScaleNormal="85" workbookViewId="0">
      <selection activeCell="E73" sqref="E73"/>
    </sheetView>
  </sheetViews>
  <sheetFormatPr baseColWidth="10" defaultColWidth="11.5" defaultRowHeight="15" x14ac:dyDescent="0.2"/>
  <cols>
    <col min="1" max="1" width="3.1640625" customWidth="1"/>
    <col min="2" max="2" width="31.33203125" customWidth="1"/>
    <col min="3" max="7" width="16.5" customWidth="1"/>
    <col min="8" max="8" width="3.6640625" customWidth="1"/>
  </cols>
  <sheetData>
    <row r="2" spans="2:10" x14ac:dyDescent="0.2">
      <c r="B2" s="172" t="s">
        <v>197</v>
      </c>
      <c r="C2" s="177"/>
      <c r="D2" s="70"/>
      <c r="E2" s="70"/>
      <c r="F2" s="70"/>
      <c r="G2" s="70"/>
      <c r="H2" s="70"/>
      <c r="J2" s="18"/>
    </row>
    <row r="3" spans="2:10" x14ac:dyDescent="0.2">
      <c r="B3" s="161"/>
      <c r="C3" s="179"/>
      <c r="D3" s="85"/>
      <c r="E3" s="70"/>
      <c r="F3" s="70"/>
      <c r="G3" s="70"/>
      <c r="H3" s="70"/>
    </row>
    <row r="4" spans="2:10" x14ac:dyDescent="0.2">
      <c r="B4" s="70"/>
      <c r="C4" s="70"/>
      <c r="D4" s="70"/>
      <c r="E4" s="70"/>
      <c r="F4" s="70"/>
      <c r="G4" s="70"/>
      <c r="H4" s="70"/>
    </row>
    <row r="5" spans="2:10" x14ac:dyDescent="0.2">
      <c r="B5" s="185" t="s">
        <v>198</v>
      </c>
      <c r="C5" s="157"/>
      <c r="D5" s="157"/>
      <c r="E5" s="157"/>
      <c r="F5" s="157"/>
      <c r="G5" s="158"/>
      <c r="H5" s="70"/>
    </row>
    <row r="6" spans="2:10" x14ac:dyDescent="0.2">
      <c r="B6" s="70"/>
      <c r="C6" s="70"/>
      <c r="D6" s="70"/>
      <c r="E6" s="70"/>
      <c r="F6" s="70"/>
      <c r="G6" s="70"/>
      <c r="H6" s="70"/>
    </row>
    <row r="7" spans="2:10" x14ac:dyDescent="0.2">
      <c r="B7" s="70"/>
      <c r="C7" s="139" t="s">
        <v>77</v>
      </c>
      <c r="D7" s="139" t="s">
        <v>78</v>
      </c>
      <c r="E7" s="139" t="s">
        <v>79</v>
      </c>
      <c r="F7" s="139" t="s">
        <v>80</v>
      </c>
      <c r="G7" s="139" t="s">
        <v>81</v>
      </c>
      <c r="H7" s="70"/>
    </row>
    <row r="9" spans="2:10" x14ac:dyDescent="0.2">
      <c r="B9" s="54" t="s">
        <v>199</v>
      </c>
      <c r="C9" s="69">
        <f>'Commandes - Calculs auto'!N43</f>
        <v>241447.39999999997</v>
      </c>
      <c r="D9" s="69">
        <f>'Commandes - Calculs auto'!Z43</f>
        <v>824080.6</v>
      </c>
      <c r="E9" s="69">
        <f>'Commandes - Calculs auto'!AL43</f>
        <v>1560812.2</v>
      </c>
      <c r="F9" s="69">
        <f>'Commandes - Calculs auto'!AX43</f>
        <v>2541116.5</v>
      </c>
      <c r="G9" s="69">
        <f>'Commandes - Calculs auto'!BJ43</f>
        <v>4057449.9</v>
      </c>
      <c r="H9" s="70"/>
    </row>
    <row r="10" spans="2:10" x14ac:dyDescent="0.2">
      <c r="B10" s="70"/>
      <c r="C10" s="70"/>
      <c r="D10" s="70"/>
      <c r="E10" s="70"/>
      <c r="F10" s="70"/>
      <c r="G10" s="70"/>
      <c r="H10" s="70"/>
    </row>
    <row r="11" spans="2:10" x14ac:dyDescent="0.2">
      <c r="B11" s="93" t="s">
        <v>200</v>
      </c>
      <c r="C11" s="124">
        <f>'Charges variables'!N41</f>
        <v>79356.5</v>
      </c>
      <c r="D11" s="124">
        <f>'Charges variables'!Z41</f>
        <v>283622</v>
      </c>
      <c r="E11" s="125">
        <f>'Charges variables'!AL41</f>
        <v>540650</v>
      </c>
      <c r="F11" s="124">
        <f>'Charges variables'!AX41</f>
        <v>874514</v>
      </c>
      <c r="G11" s="124">
        <f>'Charges variables'!BJ41</f>
        <v>1400248</v>
      </c>
      <c r="H11" s="70"/>
    </row>
    <row r="12" spans="2:10" x14ac:dyDescent="0.2">
      <c r="B12" s="143" t="s">
        <v>201</v>
      </c>
      <c r="C12" s="69">
        <f>C9-C11</f>
        <v>162090.89999999997</v>
      </c>
      <c r="D12" s="69">
        <f>D9-D11</f>
        <v>540458.6</v>
      </c>
      <c r="E12" s="69">
        <f>E9-E11</f>
        <v>1020162.2</v>
      </c>
      <c r="F12" s="69">
        <f>F9-F11</f>
        <v>1666602.5</v>
      </c>
      <c r="G12" s="69">
        <f>G9-G11</f>
        <v>2657201.9</v>
      </c>
      <c r="H12" s="70"/>
    </row>
    <row r="13" spans="2:10" x14ac:dyDescent="0.2">
      <c r="B13" s="70"/>
      <c r="C13" s="104">
        <f>IF(C$9&lt;&gt;0,C12/C$9,)</f>
        <v>0.67133007023475921</v>
      </c>
      <c r="D13" s="104">
        <f>IF(D$9&lt;&gt;0,D12/D$9,)</f>
        <v>0.65583220864561065</v>
      </c>
      <c r="E13" s="104">
        <f>IF(E$9&lt;&gt;0,E12/E$9,)</f>
        <v>0.65360983211176849</v>
      </c>
      <c r="F13" s="104">
        <f>IF(F$9&lt;&gt;0,F12/F$9,)</f>
        <v>0.65585442462004395</v>
      </c>
      <c r="G13" s="104">
        <f>IF(G$9&lt;&gt;0,G12/G$9,)</f>
        <v>0.65489456813748947</v>
      </c>
      <c r="H13" s="70"/>
    </row>
    <row r="14" spans="2:10" x14ac:dyDescent="0.2">
      <c r="B14" s="70"/>
      <c r="C14" s="70"/>
      <c r="D14" s="70"/>
      <c r="E14" s="70"/>
      <c r="F14" s="70"/>
      <c r="G14" s="70"/>
      <c r="H14" s="70"/>
    </row>
    <row r="15" spans="2:10" x14ac:dyDescent="0.2">
      <c r="B15" s="93" t="s">
        <v>202</v>
      </c>
      <c r="C15" s="124">
        <f>'Charges externes'!C29+'Plan de financement'!C28</f>
        <v>118642.90199999999</v>
      </c>
      <c r="D15" s="124">
        <f>'Charges externes'!D29+'Plan de financement'!D28</f>
        <v>254923.538</v>
      </c>
      <c r="E15" s="124">
        <f>'Charges externes'!E29+'Plan de financement'!E28</f>
        <v>428046.80599999998</v>
      </c>
      <c r="F15" s="124">
        <f>'Charges externes'!F29+'Plan de financement'!F28</f>
        <v>655616.79500000016</v>
      </c>
      <c r="G15" s="124">
        <f>'Charges externes'!G29+'Plan de financement'!G28</f>
        <v>1006473.477</v>
      </c>
      <c r="H15" s="70"/>
    </row>
    <row r="16" spans="2:10" x14ac:dyDescent="0.2">
      <c r="B16" s="143" t="s">
        <v>203</v>
      </c>
      <c r="C16" s="69">
        <f>C12-C15</f>
        <v>43447.997999999978</v>
      </c>
      <c r="D16" s="69">
        <f>D12-D15</f>
        <v>285535.06199999998</v>
      </c>
      <c r="E16" s="69">
        <f>E12-E15</f>
        <v>592115.39399999997</v>
      </c>
      <c r="F16" s="69">
        <f>F12-F15</f>
        <v>1010985.7049999998</v>
      </c>
      <c r="G16" s="69">
        <f>G12-G15</f>
        <v>1650728.423</v>
      </c>
      <c r="H16" s="70"/>
    </row>
    <row r="17" spans="2:11" x14ac:dyDescent="0.2">
      <c r="B17" s="70"/>
      <c r="C17" s="104">
        <f>IF(C$9&lt;&gt;0,C16/C$9,)</f>
        <v>0.1799480880721846</v>
      </c>
      <c r="D17" s="104">
        <f>IF(D$9&lt;&gt;0,D16/D$9,)</f>
        <v>0.34648924146497317</v>
      </c>
      <c r="E17" s="104">
        <f>IF(E$9&lt;&gt;0,E16/E$9,)</f>
        <v>0.37936363772656312</v>
      </c>
      <c r="F17" s="104">
        <f>IF(F$9&lt;&gt;0,F16/F$9,)</f>
        <v>0.39785098597407864</v>
      </c>
      <c r="G17" s="104">
        <f>IF(G$9&lt;&gt;0,G16/G$9,)</f>
        <v>0.40683889232988435</v>
      </c>
      <c r="H17" s="70"/>
    </row>
    <row r="18" spans="2:11" x14ac:dyDescent="0.2">
      <c r="B18" s="70"/>
      <c r="C18" s="70"/>
      <c r="D18" s="70"/>
      <c r="E18" s="70"/>
      <c r="F18" s="70"/>
      <c r="G18" s="70"/>
      <c r="H18" s="70"/>
    </row>
    <row r="19" spans="2:11" x14ac:dyDescent="0.2">
      <c r="B19" s="93" t="s">
        <v>164</v>
      </c>
      <c r="C19" s="124">
        <f>'Impôts et taxes'!C14</f>
        <v>2127.1989333333331</v>
      </c>
      <c r="D19" s="124">
        <f>'Impôts et taxes'!D14</f>
        <v>5076.4017699999995</v>
      </c>
      <c r="E19" s="124">
        <f>'Impôts et taxes'!E14</f>
        <v>8427.7164900000007</v>
      </c>
      <c r="F19" s="124">
        <f>'Impôts et taxes'!F14</f>
        <v>12806.614925</v>
      </c>
      <c r="G19" s="124">
        <f>'Impôts et taxes'!G14</f>
        <v>34090.177761999999</v>
      </c>
      <c r="H19" s="70"/>
      <c r="K19" s="11"/>
    </row>
    <row r="20" spans="2:11" x14ac:dyDescent="0.2">
      <c r="B20" s="93" t="s">
        <v>204</v>
      </c>
      <c r="C20" s="124">
        <f>SUM(Trésorerie!C24:N24)</f>
        <v>0</v>
      </c>
      <c r="D20" s="124">
        <f>SUM(Trésorerie!O24:Z24)</f>
        <v>0</v>
      </c>
      <c r="E20" s="124">
        <f>SUM(Trésorerie!AA24:AL24)</f>
        <v>0</v>
      </c>
      <c r="F20" s="124">
        <f>SUM(Trésorerie!AM24:AX24)</f>
        <v>0</v>
      </c>
      <c r="G20" s="124">
        <f>SUM(Trésorerie!AY24:BJ24)</f>
        <v>0</v>
      </c>
      <c r="H20" s="70"/>
      <c r="K20" s="11"/>
    </row>
    <row r="21" spans="2:11" x14ac:dyDescent="0.2">
      <c r="B21" s="93" t="s">
        <v>163</v>
      </c>
      <c r="C21" s="124">
        <f>'Personnel - Calculs auto'!N81</f>
        <v>144602</v>
      </c>
      <c r="D21" s="124">
        <f>'Personnel - Calculs auto'!AA81</f>
        <v>161661.25</v>
      </c>
      <c r="E21" s="124">
        <f>'Personnel - Calculs auto'!AD81</f>
        <v>227900</v>
      </c>
      <c r="F21" s="124">
        <f>'Personnel - Calculs auto'!AG81</f>
        <v>305400</v>
      </c>
      <c r="G21" s="124">
        <f>'Personnel - Calculs auto'!AJ81</f>
        <v>390330</v>
      </c>
      <c r="H21" s="70"/>
      <c r="K21" s="12"/>
    </row>
    <row r="22" spans="2:11" x14ac:dyDescent="0.2">
      <c r="B22" s="143" t="s">
        <v>205</v>
      </c>
      <c r="C22" s="69">
        <f>C16+C20-C19-C21</f>
        <v>-103281.20093333336</v>
      </c>
      <c r="D22" s="69">
        <f>D16+D20-D19-D21</f>
        <v>118797.41022999998</v>
      </c>
      <c r="E22" s="69">
        <f>E16+E20-E19-E21</f>
        <v>355787.67750999995</v>
      </c>
      <c r="F22" s="69">
        <f>F16+F20-F19-F21</f>
        <v>692779.09007499984</v>
      </c>
      <c r="G22" s="69">
        <f>G16+G20-G19-G21</f>
        <v>1226308.2452380001</v>
      </c>
      <c r="H22" s="70"/>
      <c r="K22" s="12"/>
    </row>
    <row r="23" spans="2:11" x14ac:dyDescent="0.2">
      <c r="B23" s="70"/>
      <c r="C23" s="104">
        <f>IF(C$9&lt;&gt;0,C22/C$9,)</f>
        <v>-0.42775859642031089</v>
      </c>
      <c r="D23" s="104">
        <f>IF(D$9&lt;&gt;0,D22/D$9,)</f>
        <v>0.14415751351263453</v>
      </c>
      <c r="E23" s="104">
        <f>IF(E$9&lt;&gt;0,E22/E$9,)</f>
        <v>0.22795034374410961</v>
      </c>
      <c r="F23" s="104">
        <f>IF(F$9&lt;&gt;0,F22/F$9,)</f>
        <v>0.27262783507761246</v>
      </c>
      <c r="G23" s="104">
        <f>IF(G$9&lt;&gt;0,G22/G$9,)</f>
        <v>0.30223620142247476</v>
      </c>
      <c r="H23" s="70"/>
      <c r="K23" s="12"/>
    </row>
    <row r="24" spans="2:11" x14ac:dyDescent="0.2">
      <c r="B24" s="70"/>
      <c r="C24" s="70"/>
      <c r="D24" s="70"/>
      <c r="E24" s="70"/>
      <c r="F24" s="70"/>
      <c r="G24" s="70"/>
      <c r="H24" s="70"/>
    </row>
    <row r="25" spans="2:11" x14ac:dyDescent="0.2">
      <c r="B25" s="93" t="s">
        <v>206</v>
      </c>
      <c r="C25" s="124">
        <f>Investissements!AN28</f>
        <v>10933.333333333334</v>
      </c>
      <c r="D25" s="124">
        <f>Investissements!AO28</f>
        <v>14233.333333333334</v>
      </c>
      <c r="E25" s="124">
        <f>Investissements!AP28</f>
        <v>15733.333333333334</v>
      </c>
      <c r="F25" s="124">
        <f>Investissements!AQ28</f>
        <v>11400</v>
      </c>
      <c r="G25" s="124">
        <f>Investissements!AR28</f>
        <v>11400</v>
      </c>
      <c r="H25" s="70"/>
    </row>
    <row r="26" spans="2:11" x14ac:dyDescent="0.2">
      <c r="B26" s="143" t="s">
        <v>207</v>
      </c>
      <c r="C26" s="69">
        <f>C22-C25</f>
        <v>-114214.53426666668</v>
      </c>
      <c r="D26" s="69">
        <f>D22-D25</f>
        <v>104564.07689666665</v>
      </c>
      <c r="E26" s="69">
        <f>E22-E25</f>
        <v>340054.34417666664</v>
      </c>
      <c r="F26" s="69">
        <f>F22-F25</f>
        <v>681379.09007499984</v>
      </c>
      <c r="G26" s="69">
        <f>G22-G25</f>
        <v>1214908.2452380001</v>
      </c>
      <c r="H26" s="70"/>
    </row>
    <row r="27" spans="2:11" x14ac:dyDescent="0.2">
      <c r="B27" s="70"/>
      <c r="C27" s="104">
        <f>IF(C$9&lt;&gt;0,C26/C$9,)</f>
        <v>-0.47304106097918924</v>
      </c>
      <c r="D27" s="104">
        <f>IF(D$9&lt;&gt;0,D26/D$9,)</f>
        <v>0.12688574017719462</v>
      </c>
      <c r="E27" s="104">
        <f>IF(E$9&lt;&gt;0,E26/E$9,)</f>
        <v>0.21787012183571261</v>
      </c>
      <c r="F27" s="104">
        <f>IF(F$9&lt;&gt;0,F26/F$9,)</f>
        <v>0.2681416180938575</v>
      </c>
      <c r="G27" s="104">
        <f>IF(G$9&lt;&gt;0,G26/G$9,)</f>
        <v>0.29942655490040682</v>
      </c>
      <c r="H27" s="70"/>
    </row>
    <row r="28" spans="2:11" x14ac:dyDescent="0.2">
      <c r="B28" s="70"/>
      <c r="C28" s="70"/>
      <c r="D28" s="70"/>
      <c r="E28" s="70"/>
      <c r="F28" s="70"/>
      <c r="G28" s="70"/>
      <c r="H28" s="70"/>
    </row>
    <row r="29" spans="2:11" x14ac:dyDescent="0.2">
      <c r="B29" s="93" t="s">
        <v>208</v>
      </c>
      <c r="C29" s="124">
        <f>SUM(Trésorerie!C$56:N$56)*(1-1/(1+Config!$C$100))+SUM(Trésorerie!C$57:N$57)*(1-1/(1+Config!$D$100))</f>
        <v>1041.4442335195797</v>
      </c>
      <c r="D29" s="124">
        <f>SUM(Trésorerie!O$56:Z$56)*(1-1/(1+Config!$C$100))+SUM(Trésorerie!O$57:Z$57)*(1-1/(1+Config!$D$100))</f>
        <v>1136.1209820213596</v>
      </c>
      <c r="E29" s="124">
        <f>SUM(Trésorerie!AA$56:AL$56)*(1-1/(1+Config!$C$100))+SUM(Trésorerie!AA$57:AL$57)*(1-1/(1+Config!$D$100))</f>
        <v>1136.1209820213596</v>
      </c>
      <c r="F29" s="124">
        <f>SUM(Trésorerie!AM$56:AX$56)*(1-1/(1+Config!$C$100))+SUM(Trésorerie!AM$57:AX$57)*(1-1/(1+Config!$D$100))</f>
        <v>1136.1209820213596</v>
      </c>
      <c r="G29" s="124">
        <f>SUM(Trésorerie!AY$56:BJ$56)*(1-1/(1+Config!$C$100))+SUM(Trésorerie!AY$57:BJ$57)*(1-1/(1+Config!$D$100))</f>
        <v>1136.1209820213596</v>
      </c>
      <c r="H29" s="70"/>
    </row>
    <row r="30" spans="2:11" x14ac:dyDescent="0.2">
      <c r="B30" s="143" t="s">
        <v>209</v>
      </c>
      <c r="C30" s="69">
        <f>C26-C29</f>
        <v>-115255.97850018626</v>
      </c>
      <c r="D30" s="69">
        <f>D26-D29</f>
        <v>103427.9559146453</v>
      </c>
      <c r="E30" s="69">
        <f>E26-E29</f>
        <v>338918.22319464525</v>
      </c>
      <c r="F30" s="69">
        <f>F26-F29</f>
        <v>680242.96909297851</v>
      </c>
      <c r="G30" s="69">
        <f>G26-G29</f>
        <v>1213772.1242559787</v>
      </c>
      <c r="H30" s="70"/>
    </row>
    <row r="31" spans="2:11" x14ac:dyDescent="0.2">
      <c r="B31" s="70"/>
      <c r="C31" s="104">
        <f>IF(C$9&lt;&gt;0,C30/C$9,)</f>
        <v>-0.47735439892989645</v>
      </c>
      <c r="D31" s="104">
        <f>IF(D$9&lt;&gt;0,D30/D$9,)</f>
        <v>0.12550708743130867</v>
      </c>
      <c r="E31" s="104">
        <f>IF(E$9&lt;&gt;0,E30/E$9,)</f>
        <v>0.21714221813146084</v>
      </c>
      <c r="F31" s="104">
        <f>IF(F$9&lt;&gt;0,F30/F$9,)</f>
        <v>0.26769452289691498</v>
      </c>
      <c r="G31" s="104">
        <f>IF(G$9&lt;&gt;0,G30/G$9,)</f>
        <v>0.29914654627182918</v>
      </c>
      <c r="H31" s="70"/>
    </row>
    <row r="32" spans="2:11" x14ac:dyDescent="0.2">
      <c r="B32" s="70"/>
      <c r="C32" s="70"/>
      <c r="D32" s="70"/>
      <c r="E32" s="70"/>
      <c r="F32" s="70"/>
      <c r="G32" s="70"/>
      <c r="H32" s="70"/>
    </row>
    <row r="33" spans="2:8" x14ac:dyDescent="0.2">
      <c r="B33" s="93" t="s">
        <v>210</v>
      </c>
      <c r="C33" s="124">
        <v>0</v>
      </c>
      <c r="D33" s="124">
        <f>IF(C30&lt;0,C30,0)</f>
        <v>-115255.97850018626</v>
      </c>
      <c r="E33" s="124">
        <f>IF(D30+D33&lt;0,D30+D33,0)</f>
        <v>-11828.022585540966</v>
      </c>
      <c r="F33" s="124">
        <f>IF(E30+E33&lt;0,E30+E33,0)</f>
        <v>0</v>
      </c>
      <c r="G33" s="124">
        <f>IF(F30+F33&lt;0,F30+F33,0)</f>
        <v>0</v>
      </c>
      <c r="H33" s="70"/>
    </row>
    <row r="34" spans="2:8" x14ac:dyDescent="0.2">
      <c r="B34" s="93" t="s">
        <v>211</v>
      </c>
      <c r="C34" s="124">
        <f>IF((C30)&gt;0,IF((C30)&lt;38120,(C30)*0.15,5718+(C30-38120)/3),0)</f>
        <v>0</v>
      </c>
      <c r="D34" s="124">
        <f>IF((D30+D33)&gt;0,IF((D30+D33)&lt;38120,(D30+D33)*0.15,5718+(D30+D33-38120)/3),0)</f>
        <v>0</v>
      </c>
      <c r="E34" s="124">
        <f>IF((E30+E33)&gt;0,IF((E30+E33)&lt;38120,(E30+E33)*0.15,5718+(E30+E33-38120)/3),0)</f>
        <v>102041.40020303476</v>
      </c>
      <c r="F34" s="124">
        <f>IF((F30+F33)&gt;0,IF((F30+F33)&lt;38120,(F30+F33)*0.15,5718+(F30+F33-38120)/3),0)</f>
        <v>219758.9896976595</v>
      </c>
      <c r="G34" s="124">
        <f>IF((G30+G33)&gt;0,IF((G30+G33)&lt;38120,(G30+G33)*0.15,5718+(G30+G33-38120)/3),0)</f>
        <v>397602.04141865956</v>
      </c>
      <c r="H34" s="70"/>
    </row>
    <row r="35" spans="2:8" x14ac:dyDescent="0.2">
      <c r="B35" s="143" t="s">
        <v>212</v>
      </c>
      <c r="C35" s="69">
        <f>C30-C34</f>
        <v>-115255.97850018626</v>
      </c>
      <c r="D35" s="69">
        <f>D30-D34</f>
        <v>103427.9559146453</v>
      </c>
      <c r="E35" s="69">
        <f>E30-E34</f>
        <v>236876.8229916105</v>
      </c>
      <c r="F35" s="69">
        <f>F30-F34</f>
        <v>460483.97939531901</v>
      </c>
      <c r="G35" s="69">
        <f>G30-G34</f>
        <v>816170.08283731923</v>
      </c>
      <c r="H35" s="70"/>
    </row>
    <row r="36" spans="2:8" x14ac:dyDescent="0.2">
      <c r="B36" s="70"/>
      <c r="C36" s="104">
        <f>IF(C$9&lt;&gt;0,C35/C$9,)</f>
        <v>-0.47735439892989645</v>
      </c>
      <c r="D36" s="104">
        <f>IF(D$9&lt;&gt;0,D35/D$9,)</f>
        <v>0.12550708743130867</v>
      </c>
      <c r="E36" s="104">
        <f>IF(E$9&lt;&gt;0,E35/E$9,)</f>
        <v>0.15176510216386732</v>
      </c>
      <c r="F36" s="104">
        <f>IF(F$9&lt;&gt;0,F35/F$9,)</f>
        <v>0.18121324992196108</v>
      </c>
      <c r="G36" s="104">
        <f>IF(G$9&lt;&gt;0,G35/G$9,)</f>
        <v>0.20115345918068372</v>
      </c>
      <c r="H36" s="70"/>
    </row>
    <row r="37" spans="2:8" x14ac:dyDescent="0.2">
      <c r="B37" s="70"/>
      <c r="C37" s="70"/>
      <c r="D37" s="70"/>
      <c r="E37" s="70"/>
      <c r="F37" s="70"/>
      <c r="G37" s="70"/>
      <c r="H37" s="70"/>
    </row>
  </sheetData>
  <mergeCells count="2">
    <mergeCell ref="B5:G5"/>
    <mergeCell ref="B2:C3"/>
  </mergeCells>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8">
    <tabColor rgb="FF008BD0"/>
  </sheetPr>
  <dimension ref="B2:H38"/>
  <sheetViews>
    <sheetView showGridLines="0" showRowColHeaders="0" zoomScale="85" zoomScaleNormal="85" workbookViewId="0">
      <selection activeCell="E63" sqref="E63"/>
    </sheetView>
  </sheetViews>
  <sheetFormatPr baseColWidth="10" defaultColWidth="11.5" defaultRowHeight="15" x14ac:dyDescent="0.2"/>
  <cols>
    <col min="1" max="1" width="3.5" customWidth="1"/>
    <col min="2" max="2" width="43.5" bestFit="1" customWidth="1"/>
    <col min="3" max="7" width="18.33203125" customWidth="1"/>
    <col min="8" max="8" width="3.5" customWidth="1"/>
  </cols>
  <sheetData>
    <row r="2" spans="2:8" x14ac:dyDescent="0.2">
      <c r="B2" s="172" t="s">
        <v>213</v>
      </c>
      <c r="C2" s="105"/>
      <c r="D2" s="105"/>
      <c r="E2" s="105"/>
      <c r="F2" s="105"/>
      <c r="G2" s="105"/>
      <c r="H2" s="105"/>
    </row>
    <row r="3" spans="2:8" x14ac:dyDescent="0.2">
      <c r="B3" s="169"/>
      <c r="C3" s="105"/>
      <c r="D3" s="105"/>
      <c r="E3" s="105"/>
      <c r="F3" s="105"/>
      <c r="G3" s="105"/>
      <c r="H3" s="105"/>
    </row>
    <row r="4" spans="2:8" x14ac:dyDescent="0.2">
      <c r="B4" s="105"/>
      <c r="C4" s="105"/>
      <c r="D4" s="105"/>
      <c r="E4" s="105"/>
      <c r="F4" s="105"/>
      <c r="G4" s="105"/>
      <c r="H4" s="105"/>
    </row>
    <row r="5" spans="2:8" x14ac:dyDescent="0.2">
      <c r="B5" s="185" t="s">
        <v>214</v>
      </c>
      <c r="C5" s="157"/>
      <c r="D5" s="157"/>
      <c r="E5" s="157"/>
      <c r="F5" s="157"/>
      <c r="G5" s="158"/>
      <c r="H5" s="105"/>
    </row>
    <row r="6" spans="2:8" x14ac:dyDescent="0.2">
      <c r="B6" s="105"/>
      <c r="C6" s="105"/>
      <c r="D6" s="105"/>
      <c r="E6" s="105"/>
      <c r="F6" s="105"/>
      <c r="G6" s="105"/>
      <c r="H6" s="105"/>
    </row>
    <row r="7" spans="2:8" x14ac:dyDescent="0.2">
      <c r="B7" s="105"/>
      <c r="C7" s="139" t="s">
        <v>77</v>
      </c>
      <c r="D7" s="139" t="s">
        <v>78</v>
      </c>
      <c r="E7" s="139" t="s">
        <v>79</v>
      </c>
      <c r="F7" s="139" t="s">
        <v>80</v>
      </c>
      <c r="G7" s="139" t="s">
        <v>81</v>
      </c>
      <c r="H7" s="105"/>
    </row>
    <row r="9" spans="2:8" x14ac:dyDescent="0.2">
      <c r="B9" s="183" t="s">
        <v>215</v>
      </c>
      <c r="C9" s="157"/>
      <c r="D9" s="157"/>
      <c r="E9" s="157"/>
      <c r="F9" s="157"/>
      <c r="G9" s="158"/>
      <c r="H9" s="105"/>
    </row>
    <row r="10" spans="2:8" x14ac:dyDescent="0.2">
      <c r="B10" s="93" t="s">
        <v>216</v>
      </c>
      <c r="C10" s="123">
        <f>BFR!N22</f>
        <v>-13887.237300000001</v>
      </c>
      <c r="D10" s="123">
        <f>BFR!Z22-BFR!N22</f>
        <v>-19952.237066666661</v>
      </c>
      <c r="E10" s="123">
        <f>BFR!AL22-BFR!Z22</f>
        <v>-20666.227200000008</v>
      </c>
      <c r="F10" s="123">
        <f>BFR!AX22-BFR!AL22</f>
        <v>-34611.889349999998</v>
      </c>
      <c r="G10" s="123">
        <f>BFR!BJ22-BFR!AX22</f>
        <v>-55323.218633333337</v>
      </c>
      <c r="H10" s="105"/>
    </row>
    <row r="11" spans="2:8" x14ac:dyDescent="0.2">
      <c r="B11" s="93" t="s">
        <v>217</v>
      </c>
      <c r="C11" s="123">
        <f>Investissements!O28-Investissements!O9-C13</f>
        <v>33000</v>
      </c>
      <c r="D11" s="123">
        <f>Investissements!AB28-Investissements!AB9-D13</f>
        <v>19500</v>
      </c>
      <c r="E11" s="123">
        <f>Investissements!AE28-Investissements!AE9-E13</f>
        <v>15000</v>
      </c>
      <c r="F11" s="123">
        <f>Investissements!AH28-Investissements!AH9-F13</f>
        <v>0</v>
      </c>
      <c r="G11" s="123">
        <f>Investissements!AK28-Investissements!AK9-G13</f>
        <v>0</v>
      </c>
      <c r="H11" s="105"/>
    </row>
    <row r="12" spans="2:8" x14ac:dyDescent="0.2">
      <c r="B12" s="93" t="s">
        <v>218</v>
      </c>
      <c r="C12" s="123">
        <f>Investissements!O9</f>
        <v>22000</v>
      </c>
      <c r="D12" s="123">
        <f>Investissements!AB9</f>
        <v>0</v>
      </c>
      <c r="E12" s="123">
        <f>Investissements!AE9</f>
        <v>0</v>
      </c>
      <c r="F12" s="123">
        <f>Investissements!AH9</f>
        <v>0</v>
      </c>
      <c r="G12" s="123">
        <f>Investissements!AK9</f>
        <v>0</v>
      </c>
      <c r="H12" s="105"/>
    </row>
    <row r="13" spans="2:8" x14ac:dyDescent="0.2">
      <c r="B13" s="93" t="s">
        <v>166</v>
      </c>
      <c r="C13" s="123">
        <f>C28</f>
        <v>0</v>
      </c>
      <c r="D13" s="123">
        <f>D28</f>
        <v>0</v>
      </c>
      <c r="E13" s="123">
        <f>E28</f>
        <v>0</v>
      </c>
      <c r="F13" s="123">
        <f>F28</f>
        <v>0</v>
      </c>
      <c r="G13" s="123">
        <f>G28</f>
        <v>0</v>
      </c>
      <c r="H13" s="105"/>
    </row>
    <row r="14" spans="2:8" x14ac:dyDescent="0.2">
      <c r="B14" s="93" t="s">
        <v>219</v>
      </c>
      <c r="C14" s="123">
        <f>SUM(Trésorerie!C56:N57)-'Comptes de résultats'!C29</f>
        <v>13280.55576648042</v>
      </c>
      <c r="D14" s="123">
        <f>SUM(Trésorerie!O56:Z57)-'Comptes de résultats'!D29</f>
        <v>14487.879017978641</v>
      </c>
      <c r="E14" s="123">
        <f>SUM(Trésorerie!AA56:AL57)-'Comptes de résultats'!E29</f>
        <v>14487.879017978641</v>
      </c>
      <c r="F14" s="123">
        <f>SUM(Trésorerie!AM56:AX57)-'Comptes de résultats'!F29</f>
        <v>14487.879017978641</v>
      </c>
      <c r="G14" s="123">
        <f>SUM(Trésorerie!AY56:BJ57)-'Comptes de résultats'!G29</f>
        <v>14487.879017978641</v>
      </c>
      <c r="H14" s="105"/>
    </row>
    <row r="15" spans="2:8" x14ac:dyDescent="0.2">
      <c r="B15" s="93" t="s">
        <v>220</v>
      </c>
      <c r="C15" s="123">
        <f>SUM(Trésorerie!C58:N58)</f>
        <v>0</v>
      </c>
      <c r="D15" s="123">
        <f>SUM(Trésorerie!O58:Z58)</f>
        <v>0</v>
      </c>
      <c r="E15" s="123">
        <f>SUM(Trésorerie!AA58:AL58)</f>
        <v>0</v>
      </c>
      <c r="F15" s="123">
        <f>SUM(Trésorerie!AM58:AX58)</f>
        <v>0</v>
      </c>
      <c r="G15" s="123">
        <f>SUM(Trésorerie!AY58:BJ58)</f>
        <v>0</v>
      </c>
      <c r="H15" s="105"/>
    </row>
    <row r="16" spans="2:8" x14ac:dyDescent="0.2">
      <c r="B16" s="93" t="s">
        <v>221</v>
      </c>
      <c r="C16" s="123">
        <f>SUM(Trésorerie!C63:N63)</f>
        <v>1500</v>
      </c>
      <c r="D16" s="123">
        <f>SUM(Trésorerie!O63:Z63)</f>
        <v>3000</v>
      </c>
      <c r="E16" s="123">
        <f>SUM(Trésorerie!AA63:AL63)</f>
        <v>3000</v>
      </c>
      <c r="F16" s="123">
        <f>SUM(Trésorerie!AM63:AX63)</f>
        <v>3000</v>
      </c>
      <c r="G16" s="123">
        <f>SUM(Trésorerie!AY63:BJ63)</f>
        <v>3000</v>
      </c>
      <c r="H16" s="105"/>
    </row>
    <row r="17" spans="2:8" x14ac:dyDescent="0.2">
      <c r="B17" s="93" t="s">
        <v>222</v>
      </c>
      <c r="C17" s="123">
        <f>IF(('Comptes de résultats'!C35+'Comptes de résultats'!C25-'Comptes de résultats'!C20)&lt;0,-('Comptes de résultats'!C35+'Comptes de résultats'!C25-'Comptes de résultats'!C20),0)</f>
        <v>104322.64516685293</v>
      </c>
      <c r="D17" s="123">
        <f>IF(('Comptes de résultats'!D35+'Comptes de résultats'!D25-'Comptes de résultats'!D20)&lt;0,-('Comptes de résultats'!D35+'Comptes de résultats'!D25-'Comptes de résultats'!D20),0)</f>
        <v>0</v>
      </c>
      <c r="E17" s="123">
        <f>IF(('Comptes de résultats'!E35+'Comptes de résultats'!E25-'Comptes de résultats'!E20)&lt;0,-('Comptes de résultats'!E35+'Comptes de résultats'!E25-'Comptes de résultats'!E20),0)</f>
        <v>0</v>
      </c>
      <c r="F17" s="123">
        <f>IF(('Comptes de résultats'!F35+'Comptes de résultats'!F25-'Comptes de résultats'!F20)&lt;0,-('Comptes de résultats'!F35+'Comptes de résultats'!F25-'Comptes de résultats'!F20),0)</f>
        <v>0</v>
      </c>
      <c r="G17" s="123">
        <f>IF(('Comptes de résultats'!G35+'Comptes de résultats'!G25-'Comptes de résultats'!G20)&lt;0,-('Comptes de résultats'!G35+'Comptes de résultats'!G25-'Comptes de résultats'!G20),0)</f>
        <v>0</v>
      </c>
      <c r="H17" s="105"/>
    </row>
    <row r="18" spans="2:8" x14ac:dyDescent="0.2">
      <c r="B18" s="106" t="s">
        <v>223</v>
      </c>
      <c r="C18" s="83">
        <f>SUM(C10:C17)</f>
        <v>160215.96363333336</v>
      </c>
      <c r="D18" s="83">
        <f>SUM(D10:D17)</f>
        <v>17035.64195131198</v>
      </c>
      <c r="E18" s="83">
        <f>SUM(E10:E17)</f>
        <v>11821.651817978633</v>
      </c>
      <c r="F18" s="83">
        <f>SUM(F10:F17)</f>
        <v>-17124.010332021357</v>
      </c>
      <c r="G18" s="83">
        <f>SUM(G10:G17)</f>
        <v>-37835.339615354693</v>
      </c>
      <c r="H18" s="105"/>
    </row>
    <row r="19" spans="2:8" x14ac:dyDescent="0.2">
      <c r="B19" s="105"/>
      <c r="C19" s="105"/>
      <c r="D19" s="105"/>
      <c r="E19" s="105"/>
      <c r="F19" s="105"/>
      <c r="G19" s="105"/>
      <c r="H19" s="105"/>
    </row>
    <row r="20" spans="2:8" x14ac:dyDescent="0.2">
      <c r="B20" s="183" t="s">
        <v>224</v>
      </c>
      <c r="C20" s="157"/>
      <c r="D20" s="157"/>
      <c r="E20" s="157"/>
      <c r="F20" s="157"/>
      <c r="G20" s="158"/>
      <c r="H20" s="105"/>
    </row>
    <row r="21" spans="2:8" x14ac:dyDescent="0.2">
      <c r="B21" s="93" t="s">
        <v>137</v>
      </c>
      <c r="C21" s="123">
        <f>SUM(Trésorerie!C20:N20)</f>
        <v>80000</v>
      </c>
      <c r="D21" s="123">
        <f>SUM(Trésorerie!O20:Z20)</f>
        <v>0</v>
      </c>
      <c r="E21" s="123">
        <f>SUM(Trésorerie!AA20:AL20)</f>
        <v>0</v>
      </c>
      <c r="F21" s="123">
        <f>SUM(Trésorerie!AM20:AX20)</f>
        <v>0</v>
      </c>
      <c r="G21" s="123">
        <f>SUM(Trésorerie!AY20:BJ20)</f>
        <v>0</v>
      </c>
      <c r="H21" s="105"/>
    </row>
    <row r="22" spans="2:8" x14ac:dyDescent="0.2">
      <c r="B22" s="93" t="s">
        <v>138</v>
      </c>
      <c r="C22" s="123">
        <f>SUM(Trésorerie!C21:N21)</f>
        <v>0</v>
      </c>
      <c r="D22" s="123">
        <f>SUM(Trésorerie!O21:Z21)</f>
        <v>0</v>
      </c>
      <c r="E22" s="123">
        <f>SUM(Trésorerie!AA21:AL21)</f>
        <v>0</v>
      </c>
      <c r="F22" s="123">
        <f>SUM(Trésorerie!AM21:AX21)</f>
        <v>0</v>
      </c>
      <c r="G22" s="123">
        <f>SUM(Trésorerie!AY21:BJ21)</f>
        <v>0</v>
      </c>
      <c r="H22" s="105"/>
    </row>
    <row r="23" spans="2:8" x14ac:dyDescent="0.2">
      <c r="B23" s="93" t="s">
        <v>225</v>
      </c>
      <c r="C23" s="123">
        <f>C12</f>
        <v>22000</v>
      </c>
      <c r="D23" s="123">
        <f>D12</f>
        <v>0</v>
      </c>
      <c r="E23" s="123">
        <f>E12</f>
        <v>0</v>
      </c>
      <c r="F23" s="123">
        <f>F12</f>
        <v>0</v>
      </c>
      <c r="G23" s="123">
        <f>G12</f>
        <v>0</v>
      </c>
      <c r="H23" s="105"/>
    </row>
    <row r="24" spans="2:8" x14ac:dyDescent="0.2">
      <c r="B24" s="146" t="s">
        <v>226</v>
      </c>
      <c r="C24" s="123">
        <f>SUM(Trésorerie!C29:N29)</f>
        <v>20000</v>
      </c>
      <c r="D24" s="123">
        <f>SUM(Trésorerie!O29:Z29)</f>
        <v>0</v>
      </c>
      <c r="E24" s="123">
        <f>SUM(Trésorerie!AA29:AL29)</f>
        <v>0</v>
      </c>
      <c r="F24" s="123">
        <f>SUM(Trésorerie!AM29:AX29)</f>
        <v>0</v>
      </c>
      <c r="G24" s="123">
        <f>SUM(Trésorerie!AY29:BJ29)</f>
        <v>0</v>
      </c>
      <c r="H24" s="105"/>
    </row>
    <row r="25" spans="2:8" x14ac:dyDescent="0.2">
      <c r="B25" s="106" t="s">
        <v>227</v>
      </c>
      <c r="C25" s="126">
        <f>SUM(C21:C24)</f>
        <v>122000</v>
      </c>
      <c r="D25" s="126">
        <f>SUM(D21:D24)</f>
        <v>0</v>
      </c>
      <c r="E25" s="126">
        <f>SUM(E21:E24)</f>
        <v>0</v>
      </c>
      <c r="F25" s="126">
        <f>SUM(F21:F24)</f>
        <v>0</v>
      </c>
      <c r="G25" s="126">
        <f>SUM(G21:G24)</f>
        <v>0</v>
      </c>
      <c r="H25" s="105"/>
    </row>
    <row r="26" spans="2:8" x14ac:dyDescent="0.2">
      <c r="B26" s="93" t="s">
        <v>228</v>
      </c>
      <c r="C26" s="123">
        <f>SUM(Trésorerie!C22:N22)</f>
        <v>0</v>
      </c>
      <c r="D26" s="123">
        <f>SUM(Trésorerie!O22:Z22)</f>
        <v>0</v>
      </c>
      <c r="E26" s="123">
        <f>SUM(Trésorerie!AA22:AL22)</f>
        <v>0</v>
      </c>
      <c r="F26" s="123">
        <f>SUM(Trésorerie!AM22:AX22)</f>
        <v>0</v>
      </c>
      <c r="G26" s="123">
        <f>SUM(Trésorerie!AY22:BJ22)</f>
        <v>0</v>
      </c>
      <c r="H26" s="105"/>
    </row>
    <row r="27" spans="2:8" x14ac:dyDescent="0.2">
      <c r="B27" s="93" t="s">
        <v>229</v>
      </c>
      <c r="C27" s="123">
        <f>SUM(Trésorerie!C23:N23)</f>
        <v>40000</v>
      </c>
      <c r="D27" s="123">
        <f>SUM(Trésorerie!O23:Z23)</f>
        <v>0</v>
      </c>
      <c r="E27" s="123">
        <f>SUM(Trésorerie!AA23:AL23)</f>
        <v>0</v>
      </c>
      <c r="F27" s="123">
        <f>SUM(Trésorerie!AM23:AX23)</f>
        <v>0</v>
      </c>
      <c r="G27" s="123">
        <f>SUM(Trésorerie!AY23:BJ23)</f>
        <v>0</v>
      </c>
      <c r="H27" s="105"/>
    </row>
    <row r="28" spans="2:8" x14ac:dyDescent="0.2">
      <c r="B28" s="93" t="s">
        <v>230</v>
      </c>
      <c r="C28" s="123">
        <f>SUM(Trésorerie!C55:N55)</f>
        <v>0</v>
      </c>
      <c r="D28" s="123">
        <f>SUM(Trésorerie!O55:Z55)</f>
        <v>0</v>
      </c>
      <c r="E28" s="123">
        <f>SUM(Trésorerie!AA55:AL55)</f>
        <v>0</v>
      </c>
      <c r="F28" s="123">
        <f>SUM(Trésorerie!AM55:AX55)</f>
        <v>0</v>
      </c>
      <c r="G28" s="123">
        <f>SUM(Trésorerie!AY55:BJ55)</f>
        <v>0</v>
      </c>
      <c r="H28" s="105"/>
    </row>
    <row r="29" spans="2:8" x14ac:dyDescent="0.2">
      <c r="B29" s="93" t="s">
        <v>231</v>
      </c>
      <c r="C29" s="123">
        <f>SUM(Trésorerie!C34:N34)</f>
        <v>15000</v>
      </c>
      <c r="D29" s="123">
        <f>SUM(Trésorerie!O34:Z34)</f>
        <v>0</v>
      </c>
      <c r="E29" s="123">
        <f>SUM(Trésorerie!AA34:AL34)</f>
        <v>0</v>
      </c>
      <c r="F29" s="123">
        <f>SUM(Trésorerie!AM34:AX34)</f>
        <v>0</v>
      </c>
      <c r="G29" s="123">
        <f>SUM(Trésorerie!AY34:BJ34)</f>
        <v>0</v>
      </c>
      <c r="H29" s="105"/>
    </row>
    <row r="30" spans="2:8" x14ac:dyDescent="0.2">
      <c r="B30" s="93" t="s">
        <v>232</v>
      </c>
      <c r="C30" s="123">
        <f>'Comptes de résultats'!C20</f>
        <v>0</v>
      </c>
      <c r="D30" s="123">
        <f>'Comptes de résultats'!D20</f>
        <v>0</v>
      </c>
      <c r="E30" s="123">
        <f>'Comptes de résultats'!E20</f>
        <v>0</v>
      </c>
      <c r="F30" s="123">
        <f>'Comptes de résultats'!F20</f>
        <v>0</v>
      </c>
      <c r="G30" s="123">
        <f>'Comptes de résultats'!G20</f>
        <v>0</v>
      </c>
      <c r="H30" s="105"/>
    </row>
    <row r="31" spans="2:8" x14ac:dyDescent="0.2">
      <c r="B31" s="93" t="s">
        <v>233</v>
      </c>
      <c r="C31" s="123">
        <f>IF(('Comptes de résultats'!C35+'Comptes de résultats'!C25-'Comptes de résultats'!C20)&gt;0,'Comptes de résultats'!C35+'Comptes de résultats'!C25-'Comptes de résultats'!C20,0)</f>
        <v>0</v>
      </c>
      <c r="D31" s="123">
        <f>IF(('Comptes de résultats'!D35+'Comptes de résultats'!D25-'Comptes de résultats'!D20)&gt;0,'Comptes de résultats'!D35+'Comptes de résultats'!D25-'Comptes de résultats'!D20,0)</f>
        <v>117661.28924797862</v>
      </c>
      <c r="E31" s="123">
        <f>IF(('Comptes de résultats'!E35+'Comptes de résultats'!E25-'Comptes de résultats'!E20)&gt;0,'Comptes de résultats'!E35+'Comptes de résultats'!E25-'Comptes de résultats'!E20,0)</f>
        <v>252610.15632494385</v>
      </c>
      <c r="F31" s="123">
        <f>IF(('Comptes de résultats'!F35+'Comptes de résultats'!F25-'Comptes de résultats'!F20)&gt;0,'Comptes de résultats'!F35+'Comptes de résultats'!F25-'Comptes de résultats'!F20,0)</f>
        <v>471883.97939531901</v>
      </c>
      <c r="G31" s="123">
        <f>IF(('Comptes de résultats'!G35+'Comptes de résultats'!G25-'Comptes de résultats'!G20)&gt;0,'Comptes de résultats'!G35+'Comptes de résultats'!G25-'Comptes de résultats'!G20,0)</f>
        <v>827570.08283731923</v>
      </c>
      <c r="H31" s="105"/>
    </row>
    <row r="32" spans="2:8" x14ac:dyDescent="0.2">
      <c r="B32" s="93" t="s">
        <v>234</v>
      </c>
      <c r="C32" s="123">
        <f>'Comptes de résultats'!C34</f>
        <v>0</v>
      </c>
      <c r="D32" s="123">
        <f>'Comptes de résultats'!D34-(SUM(Trésorerie!O51:Z51)-'Impôts et taxes'!D14)</f>
        <v>-9.0949470177292824E-13</v>
      </c>
      <c r="E32" s="123">
        <f>'Comptes de résultats'!E34-(SUM(Trésorerie!AA51:AL51)-'Impôts et taxes'!E14)</f>
        <v>102041.40020303476</v>
      </c>
      <c r="F32" s="123">
        <f>'Comptes de résultats'!F34-(SUM(Trésorerie!AM51:AX51)-'Impôts et taxes'!F14)</f>
        <v>15676.189291590068</v>
      </c>
      <c r="G32" s="123">
        <f>'Comptes de résultats'!G34-(SUM(Trésorerie!AY51:BJ51)-'Impôts et taxes'!G14)</f>
        <v>60125.462226375355</v>
      </c>
      <c r="H32" s="105"/>
    </row>
    <row r="33" spans="2:8" x14ac:dyDescent="0.2">
      <c r="B33" s="106" t="s">
        <v>235</v>
      </c>
      <c r="C33" s="83">
        <f>C25+SUM(C26:C32)</f>
        <v>177000</v>
      </c>
      <c r="D33" s="83">
        <f>D25+SUM(D26:D32)</f>
        <v>117661.28924797862</v>
      </c>
      <c r="E33" s="83">
        <f>E25+SUM(E26:E32)</f>
        <v>354651.55652797862</v>
      </c>
      <c r="F33" s="83">
        <f>F25+SUM(F26:F32)</f>
        <v>487560.16868690908</v>
      </c>
      <c r="G33" s="83">
        <f>G25+SUM(G26:G32)</f>
        <v>887695.54506369459</v>
      </c>
      <c r="H33" s="105"/>
    </row>
    <row r="34" spans="2:8" x14ac:dyDescent="0.2">
      <c r="B34" s="105"/>
      <c r="C34" s="105"/>
      <c r="D34" s="105"/>
      <c r="E34" s="105"/>
      <c r="F34" s="105"/>
      <c r="G34" s="105"/>
      <c r="H34" s="105"/>
    </row>
    <row r="35" spans="2:8" x14ac:dyDescent="0.2">
      <c r="B35" s="93" t="s">
        <v>236</v>
      </c>
      <c r="C35" s="67">
        <f>C33-C18</f>
        <v>16784.036366666638</v>
      </c>
      <c r="D35" s="67">
        <f>D33-D18</f>
        <v>100625.64729666665</v>
      </c>
      <c r="E35" s="67">
        <f>E33-E18</f>
        <v>342829.90470999997</v>
      </c>
      <c r="F35" s="67">
        <f>F33-F18</f>
        <v>504684.17901893042</v>
      </c>
      <c r="G35" s="67">
        <f>G33-G18</f>
        <v>925530.88467904925</v>
      </c>
      <c r="H35" s="105"/>
    </row>
    <row r="36" spans="2:8" x14ac:dyDescent="0.2">
      <c r="B36" s="93" t="s">
        <v>237</v>
      </c>
      <c r="C36" s="67">
        <v>0</v>
      </c>
      <c r="D36" s="67">
        <f>C37</f>
        <v>16784.036366666638</v>
      </c>
      <c r="E36" s="67">
        <f>D37</f>
        <v>117409.68366333329</v>
      </c>
      <c r="F36" s="67">
        <f>E37</f>
        <v>460239.58837333327</v>
      </c>
      <c r="G36" s="67">
        <f>F37</f>
        <v>964923.76739226375</v>
      </c>
      <c r="H36" s="105"/>
    </row>
    <row r="37" spans="2:8" x14ac:dyDescent="0.2">
      <c r="B37" s="143" t="s">
        <v>238</v>
      </c>
      <c r="C37" s="83">
        <f>C36+C35</f>
        <v>16784.036366666638</v>
      </c>
      <c r="D37" s="83">
        <f>D36+D35</f>
        <v>117409.68366333329</v>
      </c>
      <c r="E37" s="83">
        <f>E36+E35</f>
        <v>460239.58837333327</v>
      </c>
      <c r="F37" s="83">
        <f>F36+F35</f>
        <v>964923.76739226375</v>
      </c>
      <c r="G37" s="83">
        <f>G36+G35</f>
        <v>1890454.652071313</v>
      </c>
      <c r="H37" s="105"/>
    </row>
    <row r="38" spans="2:8" x14ac:dyDescent="0.2">
      <c r="B38" s="105"/>
      <c r="C38" s="105"/>
      <c r="D38" s="105"/>
      <c r="E38" s="105"/>
      <c r="F38" s="105"/>
      <c r="G38" s="105"/>
      <c r="H38" s="105"/>
    </row>
  </sheetData>
  <mergeCells count="4">
    <mergeCell ref="B5:G5"/>
    <mergeCell ref="B20:G20"/>
    <mergeCell ref="B2:B3"/>
    <mergeCell ref="B9:G9"/>
  </mergeCells>
  <pageMargins left="0.7" right="0.7" top="0.75" bottom="0.75" header="0.3" footer="0.3"/>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1">
    <tabColor theme="3" tint="0.39997558519241921"/>
  </sheetPr>
  <dimension ref="B2:BK44"/>
  <sheetViews>
    <sheetView showGridLines="0" showRowColHeaders="0" zoomScale="85" zoomScaleNormal="85" workbookViewId="0">
      <selection activeCell="F81" sqref="F81"/>
    </sheetView>
  </sheetViews>
  <sheetFormatPr baseColWidth="10" defaultColWidth="11.5" defaultRowHeight="15" x14ac:dyDescent="0.2"/>
  <cols>
    <col min="1" max="1" width="3.1640625" customWidth="1"/>
    <col min="2" max="2" width="35.6640625" customWidth="1"/>
    <col min="63" max="63" width="3.5" customWidth="1"/>
  </cols>
  <sheetData>
    <row r="2" spans="2:63" x14ac:dyDescent="0.2">
      <c r="B2" s="168" t="s">
        <v>239</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row>
    <row r="3" spans="2:63" x14ac:dyDescent="0.2">
      <c r="B3" s="169"/>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row>
    <row r="4" spans="2:63" x14ac:dyDescent="0.2">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row>
    <row r="5" spans="2:63" ht="16" customHeight="1" x14ac:dyDescent="0.2">
      <c r="B5" s="145" t="s">
        <v>240</v>
      </c>
      <c r="C5" s="116"/>
      <c r="D5" s="70"/>
      <c r="E5" s="117"/>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row>
    <row r="6" spans="2:63" x14ac:dyDescent="0.2">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row>
    <row r="7" spans="2:63" x14ac:dyDescent="0.2">
      <c r="B7" s="86"/>
      <c r="C7" s="174" t="s">
        <v>77</v>
      </c>
      <c r="D7" s="157"/>
      <c r="E7" s="157"/>
      <c r="F7" s="157"/>
      <c r="G7" s="157"/>
      <c r="H7" s="157"/>
      <c r="I7" s="157"/>
      <c r="J7" s="157"/>
      <c r="K7" s="157"/>
      <c r="L7" s="157"/>
      <c r="M7" s="157"/>
      <c r="N7" s="158"/>
      <c r="O7" s="174" t="s">
        <v>78</v>
      </c>
      <c r="P7" s="157"/>
      <c r="Q7" s="157"/>
      <c r="R7" s="157"/>
      <c r="S7" s="157"/>
      <c r="T7" s="157"/>
      <c r="U7" s="157"/>
      <c r="V7" s="157"/>
      <c r="W7" s="157"/>
      <c r="X7" s="157"/>
      <c r="Y7" s="157"/>
      <c r="Z7" s="158"/>
      <c r="AA7" s="174" t="s">
        <v>79</v>
      </c>
      <c r="AB7" s="157"/>
      <c r="AC7" s="157"/>
      <c r="AD7" s="157"/>
      <c r="AE7" s="157"/>
      <c r="AF7" s="157"/>
      <c r="AG7" s="157"/>
      <c r="AH7" s="157"/>
      <c r="AI7" s="157"/>
      <c r="AJ7" s="157"/>
      <c r="AK7" s="157"/>
      <c r="AL7" s="158"/>
      <c r="AM7" s="174" t="s">
        <v>80</v>
      </c>
      <c r="AN7" s="157"/>
      <c r="AO7" s="157"/>
      <c r="AP7" s="157"/>
      <c r="AQ7" s="157"/>
      <c r="AR7" s="157"/>
      <c r="AS7" s="157"/>
      <c r="AT7" s="157"/>
      <c r="AU7" s="157"/>
      <c r="AV7" s="157"/>
      <c r="AW7" s="157"/>
      <c r="AX7" s="158"/>
      <c r="AY7" s="174" t="s">
        <v>81</v>
      </c>
      <c r="AZ7" s="157"/>
      <c r="BA7" s="157"/>
      <c r="BB7" s="157"/>
      <c r="BC7" s="157"/>
      <c r="BD7" s="157"/>
      <c r="BE7" s="157"/>
      <c r="BF7" s="157"/>
      <c r="BG7" s="157"/>
      <c r="BH7" s="157"/>
      <c r="BI7" s="157"/>
      <c r="BJ7" s="158"/>
      <c r="BK7" s="70"/>
    </row>
    <row r="8" spans="2:63" x14ac:dyDescent="0.2">
      <c r="B8" s="139" t="s">
        <v>241</v>
      </c>
      <c r="C8" s="55">
        <f>Config!$C$7</f>
        <v>46388</v>
      </c>
      <c r="D8" s="55">
        <f t="shared" ref="D8:AI8" si="0">DATE(YEAR(C8),MONTH(C8)+1,DAY(C8))</f>
        <v>46419</v>
      </c>
      <c r="E8" s="55">
        <f t="shared" si="0"/>
        <v>46447</v>
      </c>
      <c r="F8" s="55">
        <f t="shared" si="0"/>
        <v>46478</v>
      </c>
      <c r="G8" s="55">
        <f t="shared" si="0"/>
        <v>46508</v>
      </c>
      <c r="H8" s="55">
        <f t="shared" si="0"/>
        <v>46539</v>
      </c>
      <c r="I8" s="55">
        <f t="shared" si="0"/>
        <v>46569</v>
      </c>
      <c r="J8" s="55">
        <f t="shared" si="0"/>
        <v>46600</v>
      </c>
      <c r="K8" s="55">
        <f t="shared" si="0"/>
        <v>46631</v>
      </c>
      <c r="L8" s="55">
        <f t="shared" si="0"/>
        <v>46661</v>
      </c>
      <c r="M8" s="55">
        <f t="shared" si="0"/>
        <v>46692</v>
      </c>
      <c r="N8" s="55">
        <f t="shared" si="0"/>
        <v>46722</v>
      </c>
      <c r="O8" s="55">
        <f t="shared" si="0"/>
        <v>46753</v>
      </c>
      <c r="P8" s="55">
        <f t="shared" si="0"/>
        <v>46784</v>
      </c>
      <c r="Q8" s="55">
        <f t="shared" si="0"/>
        <v>46813</v>
      </c>
      <c r="R8" s="55">
        <f t="shared" si="0"/>
        <v>46844</v>
      </c>
      <c r="S8" s="55">
        <f t="shared" si="0"/>
        <v>46874</v>
      </c>
      <c r="T8" s="55">
        <f t="shared" si="0"/>
        <v>46905</v>
      </c>
      <c r="U8" s="55">
        <f t="shared" si="0"/>
        <v>46935</v>
      </c>
      <c r="V8" s="55">
        <f t="shared" si="0"/>
        <v>46966</v>
      </c>
      <c r="W8" s="55">
        <f t="shared" si="0"/>
        <v>46997</v>
      </c>
      <c r="X8" s="55">
        <f t="shared" si="0"/>
        <v>47027</v>
      </c>
      <c r="Y8" s="55">
        <f t="shared" si="0"/>
        <v>47058</v>
      </c>
      <c r="Z8" s="55">
        <f t="shared" si="0"/>
        <v>47088</v>
      </c>
      <c r="AA8" s="55">
        <f t="shared" si="0"/>
        <v>47119</v>
      </c>
      <c r="AB8" s="55">
        <f t="shared" si="0"/>
        <v>47150</v>
      </c>
      <c r="AC8" s="55">
        <f t="shared" si="0"/>
        <v>47178</v>
      </c>
      <c r="AD8" s="55">
        <f t="shared" si="0"/>
        <v>47209</v>
      </c>
      <c r="AE8" s="55">
        <f t="shared" si="0"/>
        <v>47239</v>
      </c>
      <c r="AF8" s="55">
        <f t="shared" si="0"/>
        <v>47270</v>
      </c>
      <c r="AG8" s="55">
        <f t="shared" si="0"/>
        <v>47300</v>
      </c>
      <c r="AH8" s="55">
        <f t="shared" si="0"/>
        <v>47331</v>
      </c>
      <c r="AI8" s="55">
        <f t="shared" si="0"/>
        <v>47362</v>
      </c>
      <c r="AJ8" s="55">
        <f t="shared" ref="AJ8:BJ8" si="1">DATE(YEAR(AI8),MONTH(AI8)+1,DAY(AI8))</f>
        <v>47392</v>
      </c>
      <c r="AK8" s="55">
        <f t="shared" si="1"/>
        <v>47423</v>
      </c>
      <c r="AL8" s="55">
        <f t="shared" si="1"/>
        <v>47453</v>
      </c>
      <c r="AM8" s="55">
        <f t="shared" si="1"/>
        <v>47484</v>
      </c>
      <c r="AN8" s="55">
        <f t="shared" si="1"/>
        <v>47515</v>
      </c>
      <c r="AO8" s="55">
        <f t="shared" si="1"/>
        <v>47543</v>
      </c>
      <c r="AP8" s="55">
        <f t="shared" si="1"/>
        <v>47574</v>
      </c>
      <c r="AQ8" s="55">
        <f t="shared" si="1"/>
        <v>47604</v>
      </c>
      <c r="AR8" s="55">
        <f t="shared" si="1"/>
        <v>47635</v>
      </c>
      <c r="AS8" s="55">
        <f t="shared" si="1"/>
        <v>47665</v>
      </c>
      <c r="AT8" s="55">
        <f t="shared" si="1"/>
        <v>47696</v>
      </c>
      <c r="AU8" s="55">
        <f t="shared" si="1"/>
        <v>47727</v>
      </c>
      <c r="AV8" s="55">
        <f t="shared" si="1"/>
        <v>47757</v>
      </c>
      <c r="AW8" s="55">
        <f t="shared" si="1"/>
        <v>47788</v>
      </c>
      <c r="AX8" s="55">
        <f t="shared" si="1"/>
        <v>47818</v>
      </c>
      <c r="AY8" s="55">
        <f t="shared" si="1"/>
        <v>47849</v>
      </c>
      <c r="AZ8" s="55">
        <f t="shared" si="1"/>
        <v>47880</v>
      </c>
      <c r="BA8" s="55">
        <f t="shared" si="1"/>
        <v>47908</v>
      </c>
      <c r="BB8" s="55">
        <f t="shared" si="1"/>
        <v>47939</v>
      </c>
      <c r="BC8" s="55">
        <f t="shared" si="1"/>
        <v>47969</v>
      </c>
      <c r="BD8" s="55">
        <f t="shared" si="1"/>
        <v>48000</v>
      </c>
      <c r="BE8" s="55">
        <f t="shared" si="1"/>
        <v>48030</v>
      </c>
      <c r="BF8" s="55">
        <f t="shared" si="1"/>
        <v>48061</v>
      </c>
      <c r="BG8" s="55">
        <f t="shared" si="1"/>
        <v>48092</v>
      </c>
      <c r="BH8" s="55">
        <f t="shared" si="1"/>
        <v>48122</v>
      </c>
      <c r="BI8" s="55">
        <f t="shared" si="1"/>
        <v>48153</v>
      </c>
      <c r="BJ8" s="55">
        <f t="shared" si="1"/>
        <v>48183</v>
      </c>
      <c r="BK8" s="70"/>
    </row>
    <row r="9" spans="2:63" x14ac:dyDescent="0.2">
      <c r="B9" s="46" t="str">
        <f>Config!$B$14</f>
        <v>Vente d'abonnement mensuel (30 Shots)</v>
      </c>
      <c r="C9" s="67">
        <f>((Config!$F14*Commandes!C9)+IF(ROUND((C$8-Config!$C$7)/31,0)&gt;=(Config!$D14+Config!$E14),INDEX(Commandes!$C9:$BJ9,,COLUMN(C$8)-COLUMN($C$8)+1-(Config!$D14+Config!$E14)),0)*Config!$G14)*Config!$C14</f>
        <v>0</v>
      </c>
      <c r="D9" s="67">
        <f>((Config!$F14*Commandes!D9)+IF(ROUND((D$8-Config!$C$7)/31,0)&gt;=(Config!$D14+Config!$E14),INDEX(Commandes!$C9:$BJ9,,COLUMN(D$8)-COLUMN($C$8)+1-(Config!$D14+Config!$E14)),0)*Config!$G14)*Config!$C14</f>
        <v>843.6</v>
      </c>
      <c r="E9" s="67">
        <f>((Config!$F14*Commandes!E9)+IF(ROUND((E$8-Config!$C$7)/31,0)&gt;=(Config!$D14+Config!$E14),INDEX(Commandes!$C9:$BJ9,,COLUMN(E$8)-COLUMN($C$8)+1-(Config!$D14+Config!$E14)),0)*Config!$G14)*Config!$C14</f>
        <v>2109</v>
      </c>
      <c r="F9" s="67">
        <f>((Config!$F14*Commandes!F9)+IF(ROUND((F$8-Config!$C$7)/31,0)&gt;=(Config!$D14+Config!$E14),INDEX(Commandes!$C9:$BJ9,,COLUMN(F$8)-COLUMN($C$8)+1-(Config!$D14+Config!$E14)),0)*Config!$G14)*Config!$C14</f>
        <v>3796.2</v>
      </c>
      <c r="G9" s="67">
        <f>((Config!$F14*Commandes!G9)+IF(ROUND((G$8-Config!$C$7)/31,0)&gt;=(Config!$D14+Config!$E14),INDEX(Commandes!$C9:$BJ9,,COLUMN(G$8)-COLUMN($C$8)+1-(Config!$D14+Config!$E14)),0)*Config!$G14)*Config!$C14</f>
        <v>5905.2</v>
      </c>
      <c r="H9" s="67">
        <f>((Config!$F14*Commandes!H9)+IF(ROUND((H$8-Config!$C$7)/31,0)&gt;=(Config!$D14+Config!$E14),INDEX(Commandes!$C9:$BJ9,,COLUMN(H$8)-COLUMN($C$8)+1-(Config!$D14+Config!$E14)),0)*Config!$G14)*Config!$C14</f>
        <v>8436</v>
      </c>
      <c r="I9" s="67">
        <f>((Config!$F14*Commandes!I9)+IF(ROUND((I$8-Config!$C$7)/31,0)&gt;=(Config!$D14+Config!$E14),INDEX(Commandes!$C9:$BJ9,,COLUMN(I$8)-COLUMN($C$8)+1-(Config!$D14+Config!$E14)),0)*Config!$G14)*Config!$C14</f>
        <v>10123.200000000001</v>
      </c>
      <c r="J9" s="67">
        <f>((Config!$F14*Commandes!J9)+IF(ROUND((J$8-Config!$C$7)/31,0)&gt;=(Config!$D14+Config!$E14),INDEX(Commandes!$C9:$BJ9,,COLUMN(J$8)-COLUMN($C$8)+1-(Config!$D14+Config!$E14)),0)*Config!$G14)*Config!$C14</f>
        <v>11810.4</v>
      </c>
      <c r="K9" s="67">
        <f>((Config!$F14*Commandes!K9)+IF(ROUND((K$8-Config!$C$7)/31,0)&gt;=(Config!$D14+Config!$E14),INDEX(Commandes!$C9:$BJ9,,COLUMN(K$8)-COLUMN($C$8)+1-(Config!$D14+Config!$E14)),0)*Config!$G14)*Config!$C14</f>
        <v>15184.8</v>
      </c>
      <c r="L9" s="67">
        <f>((Config!$F14*Commandes!L9)+IF(ROUND((L$8-Config!$C$7)/31,0)&gt;=(Config!$D14+Config!$E14),INDEX(Commandes!$C9:$BJ9,,COLUMN(L$8)-COLUMN($C$8)+1-(Config!$D14+Config!$E14)),0)*Config!$G14)*Config!$C14</f>
        <v>17715.599999999999</v>
      </c>
      <c r="M9" s="67">
        <f>((Config!$F14*Commandes!M9)+IF(ROUND((M$8-Config!$C$7)/31,0)&gt;=(Config!$D14+Config!$E14),INDEX(Commandes!$C9:$BJ9,,COLUMN(M$8)-COLUMN($C$8)+1-(Config!$D14+Config!$E14)),0)*Config!$G14)*Config!$C14</f>
        <v>20246.400000000001</v>
      </c>
      <c r="N9" s="67">
        <f>((Config!$F14*Commandes!N9)+IF(ROUND((N$8-Config!$C$7)/31,0)&gt;=(Config!$D14+Config!$E14),INDEX(Commandes!$C9:$BJ9,,COLUMN(N$8)-COLUMN($C$8)+1-(Config!$D14+Config!$E14)),0)*Config!$G14)*Config!$C14</f>
        <v>23620.799999999999</v>
      </c>
      <c r="O9" s="67">
        <f>((Config!$F14*Commandes!O9)+IF(ROUND((O$8-Config!$C$7)/31,0)&gt;=(Config!$D14+Config!$E14),INDEX(Commandes!$C9:$BJ9,,COLUMN(O$8)-COLUMN($C$8)+1-(Config!$D14+Config!$E14)),0)*Config!$G14)*Config!$C14</f>
        <v>25308</v>
      </c>
      <c r="P9" s="67">
        <f>((Config!$F14*Commandes!P9)+IF(ROUND((P$8-Config!$C$7)/31,0)&gt;=(Config!$D14+Config!$E14),INDEX(Commandes!$C9:$BJ9,,COLUMN(P$8)-COLUMN($C$8)+1-(Config!$D14+Config!$E14)),0)*Config!$G14)*Config!$C14</f>
        <v>27838.799999999999</v>
      </c>
      <c r="Q9" s="67">
        <f>((Config!$F14*Commandes!Q9)+IF(ROUND((Q$8-Config!$C$7)/31,0)&gt;=(Config!$D14+Config!$E14),INDEX(Commandes!$C9:$BJ9,,COLUMN(Q$8)-COLUMN($C$8)+1-(Config!$D14+Config!$E14)),0)*Config!$G14)*Config!$C14</f>
        <v>30369.599999999999</v>
      </c>
      <c r="R9" s="67">
        <f>((Config!$F14*Commandes!R9)+IF(ROUND((R$8-Config!$C$7)/31,0)&gt;=(Config!$D14+Config!$E14),INDEX(Commandes!$C9:$BJ9,,COLUMN(R$8)-COLUMN($C$8)+1-(Config!$D14+Config!$E14)),0)*Config!$G14)*Config!$C14</f>
        <v>33744</v>
      </c>
      <c r="S9" s="67">
        <f>((Config!$F14*Commandes!S9)+IF(ROUND((S$8-Config!$C$7)/31,0)&gt;=(Config!$D14+Config!$E14),INDEX(Commandes!$C9:$BJ9,,COLUMN(S$8)-COLUMN($C$8)+1-(Config!$D14+Config!$E14)),0)*Config!$G14)*Config!$C14</f>
        <v>37962</v>
      </c>
      <c r="T9" s="67">
        <f>((Config!$F14*Commandes!T9)+IF(ROUND((T$8-Config!$C$7)/31,0)&gt;=(Config!$D14+Config!$E14),INDEX(Commandes!$C9:$BJ9,,COLUMN(T$8)-COLUMN($C$8)+1-(Config!$D14+Config!$E14)),0)*Config!$G14)*Config!$C14</f>
        <v>42180</v>
      </c>
      <c r="U9" s="67">
        <f>((Config!$F14*Commandes!U9)+IF(ROUND((U$8-Config!$C$7)/31,0)&gt;=(Config!$D14+Config!$E14),INDEX(Commandes!$C9:$BJ9,,COLUMN(U$8)-COLUMN($C$8)+1-(Config!$D14+Config!$E14)),0)*Config!$G14)*Config!$C14</f>
        <v>45554.400000000001</v>
      </c>
      <c r="V9" s="67">
        <f>((Config!$F14*Commandes!V9)+IF(ROUND((V$8-Config!$C$7)/31,0)&gt;=(Config!$D14+Config!$E14),INDEX(Commandes!$C9:$BJ9,,COLUMN(V$8)-COLUMN($C$8)+1-(Config!$D14+Config!$E14)),0)*Config!$G14)*Config!$C14</f>
        <v>48085.2</v>
      </c>
      <c r="W9" s="67">
        <f>((Config!$F14*Commandes!W9)+IF(ROUND((W$8-Config!$C$7)/31,0)&gt;=(Config!$D14+Config!$E14),INDEX(Commandes!$C9:$BJ9,,COLUMN(W$8)-COLUMN($C$8)+1-(Config!$D14+Config!$E14)),0)*Config!$G14)*Config!$C14</f>
        <v>54834</v>
      </c>
      <c r="X9" s="67">
        <f>((Config!$F14*Commandes!X9)+IF(ROUND((X$8-Config!$C$7)/31,0)&gt;=(Config!$D14+Config!$E14),INDEX(Commandes!$C9:$BJ9,,COLUMN(X$8)-COLUMN($C$8)+1-(Config!$D14+Config!$E14)),0)*Config!$G14)*Config!$C14</f>
        <v>59052</v>
      </c>
      <c r="Y9" s="67">
        <f>((Config!$F14*Commandes!Y9)+IF(ROUND((Y$8-Config!$C$7)/31,0)&gt;=(Config!$D14+Config!$E14),INDEX(Commandes!$C9:$BJ9,,COLUMN(Y$8)-COLUMN($C$8)+1-(Config!$D14+Config!$E14)),0)*Config!$G14)*Config!$C14</f>
        <v>63270</v>
      </c>
      <c r="Z9" s="67">
        <f>((Config!$F14*Commandes!Z9)+IF(ROUND((Z$8-Config!$C$7)/31,0)&gt;=(Config!$D14+Config!$E14),INDEX(Commandes!$C9:$BJ9,,COLUMN(Z$8)-COLUMN($C$8)+1-(Config!$D14+Config!$E14)),0)*Config!$G14)*Config!$C14</f>
        <v>67488</v>
      </c>
      <c r="AA9" s="67">
        <f>((Config!$F14*Commandes!AA9)+IF(ROUND((AA$8-Config!$C$7)/31,0)&gt;=(Config!$D14+Config!$E14),INDEX(Commandes!$C9:$BJ9,,COLUMN(AA$8)-COLUMN($C$8)+1-(Config!$D14+Config!$E14)),0)*Config!$G14)*Config!$C14</f>
        <v>71706</v>
      </c>
      <c r="AB9" s="67">
        <f>((Config!$F14*Commandes!AB9)+IF(ROUND((AB$8-Config!$C$7)/31,0)&gt;=(Config!$D14+Config!$E14),INDEX(Commandes!$C9:$BJ9,,COLUMN(AB$8)-COLUMN($C$8)+1-(Config!$D14+Config!$E14)),0)*Config!$G14)*Config!$C14</f>
        <v>74236.800000000003</v>
      </c>
      <c r="AC9" s="67">
        <f>((Config!$F14*Commandes!AC9)+IF(ROUND((AC$8-Config!$C$7)/31,0)&gt;=(Config!$D14+Config!$E14),INDEX(Commandes!$C9:$BJ9,,COLUMN(AC$8)-COLUMN($C$8)+1-(Config!$D14+Config!$E14)),0)*Config!$G14)*Config!$C14</f>
        <v>76767.600000000006</v>
      </c>
      <c r="AD9" s="67">
        <f>((Config!$F14*Commandes!AD9)+IF(ROUND((AD$8-Config!$C$7)/31,0)&gt;=(Config!$D14+Config!$E14),INDEX(Commandes!$C9:$BJ9,,COLUMN(AD$8)-COLUMN($C$8)+1-(Config!$D14+Config!$E14)),0)*Config!$G14)*Config!$C14</f>
        <v>80142</v>
      </c>
      <c r="AE9" s="67">
        <f>((Config!$F14*Commandes!AE9)+IF(ROUND((AE$8-Config!$C$7)/31,0)&gt;=(Config!$D14+Config!$E14),INDEX(Commandes!$C9:$BJ9,,COLUMN(AE$8)-COLUMN($C$8)+1-(Config!$D14+Config!$E14)),0)*Config!$G14)*Config!$C14</f>
        <v>84360</v>
      </c>
      <c r="AF9" s="67">
        <f>((Config!$F14*Commandes!AF9)+IF(ROUND((AF$8-Config!$C$7)/31,0)&gt;=(Config!$D14+Config!$E14),INDEX(Commandes!$C9:$BJ9,,COLUMN(AF$8)-COLUMN($C$8)+1-(Config!$D14+Config!$E14)),0)*Config!$G14)*Config!$C14</f>
        <v>88578</v>
      </c>
      <c r="AG9" s="67">
        <f>((Config!$F14*Commandes!AG9)+IF(ROUND((AG$8-Config!$C$7)/31,0)&gt;=(Config!$D14+Config!$E14),INDEX(Commandes!$C9:$BJ9,,COLUMN(AG$8)-COLUMN($C$8)+1-(Config!$D14+Config!$E14)),0)*Config!$G14)*Config!$C14</f>
        <v>91108.800000000003</v>
      </c>
      <c r="AH9" s="67">
        <f>((Config!$F14*Commandes!AH9)+IF(ROUND((AH$8-Config!$C$7)/31,0)&gt;=(Config!$D14+Config!$E14),INDEX(Commandes!$C9:$BJ9,,COLUMN(AH$8)-COLUMN($C$8)+1-(Config!$D14+Config!$E14)),0)*Config!$G14)*Config!$C14</f>
        <v>92796</v>
      </c>
      <c r="AI9" s="67">
        <f>((Config!$F14*Commandes!AI9)+IF(ROUND((AI$8-Config!$C$7)/31,0)&gt;=(Config!$D14+Config!$E14),INDEX(Commandes!$C9:$BJ9,,COLUMN(AI$8)-COLUMN($C$8)+1-(Config!$D14+Config!$E14)),0)*Config!$G14)*Config!$C14</f>
        <v>97014</v>
      </c>
      <c r="AJ9" s="67">
        <f>((Config!$F14*Commandes!AJ9)+IF(ROUND((AJ$8-Config!$C$7)/31,0)&gt;=(Config!$D14+Config!$E14),INDEX(Commandes!$C9:$BJ9,,COLUMN(AJ$8)-COLUMN($C$8)+1-(Config!$D14+Config!$E14)),0)*Config!$G14)*Config!$C14</f>
        <v>101232</v>
      </c>
      <c r="AK9" s="67">
        <f>((Config!$F14*Commandes!AK9)+IF(ROUND((AK$8-Config!$C$7)/31,0)&gt;=(Config!$D14+Config!$E14),INDEX(Commandes!$C9:$BJ9,,COLUMN(AK$8)-COLUMN($C$8)+1-(Config!$D14+Config!$E14)),0)*Config!$G14)*Config!$C14</f>
        <v>105450</v>
      </c>
      <c r="AL9" s="67">
        <f>((Config!$F14*Commandes!AL9)+IF(ROUND((AL$8-Config!$C$7)/31,0)&gt;=(Config!$D14+Config!$E14),INDEX(Commandes!$C9:$BJ9,,COLUMN(AL$8)-COLUMN($C$8)+1-(Config!$D14+Config!$E14)),0)*Config!$G14)*Config!$C14</f>
        <v>109668</v>
      </c>
      <c r="AM9" s="67">
        <f>((Config!$F14*Commandes!AM9)+IF(ROUND((AM$8-Config!$C$7)/31,0)&gt;=(Config!$D14+Config!$E14),INDEX(Commandes!$C9:$BJ9,,COLUMN(AM$8)-COLUMN($C$8)+1-(Config!$D14+Config!$E14)),0)*Config!$G14)*Config!$C14</f>
        <v>113886</v>
      </c>
      <c r="AN9" s="67">
        <f>((Config!$F14*Commandes!AN9)+IF(ROUND((AN$8-Config!$C$7)/31,0)&gt;=(Config!$D14+Config!$E14),INDEX(Commandes!$C9:$BJ9,,COLUMN(AN$8)-COLUMN($C$8)+1-(Config!$D14+Config!$E14)),0)*Config!$G14)*Config!$C14</f>
        <v>116416.8</v>
      </c>
      <c r="AO9" s="67">
        <f>((Config!$F14*Commandes!AO9)+IF(ROUND((AO$8-Config!$C$7)/31,0)&gt;=(Config!$D14+Config!$E14),INDEX(Commandes!$C9:$BJ9,,COLUMN(AO$8)-COLUMN($C$8)+1-(Config!$D14+Config!$E14)),0)*Config!$G14)*Config!$C14</f>
        <v>119791.2</v>
      </c>
      <c r="AP9" s="67">
        <f>((Config!$F14*Commandes!AP9)+IF(ROUND((AP$8-Config!$C$7)/31,0)&gt;=(Config!$D14+Config!$E14),INDEX(Commandes!$C9:$BJ9,,COLUMN(AP$8)-COLUMN($C$8)+1-(Config!$D14+Config!$E14)),0)*Config!$G14)*Config!$C14</f>
        <v>124852.8</v>
      </c>
      <c r="AQ9" s="67">
        <f>((Config!$F14*Commandes!AQ9)+IF(ROUND((AQ$8-Config!$C$7)/31,0)&gt;=(Config!$D14+Config!$E14),INDEX(Commandes!$C9:$BJ9,,COLUMN(AQ$8)-COLUMN($C$8)+1-(Config!$D14+Config!$E14)),0)*Config!$G14)*Config!$C14</f>
        <v>130758</v>
      </c>
      <c r="AR9" s="67">
        <f>((Config!$F14*Commandes!AR9)+IF(ROUND((AR$8-Config!$C$7)/31,0)&gt;=(Config!$D14+Config!$E14),INDEX(Commandes!$C9:$BJ9,,COLUMN(AR$8)-COLUMN($C$8)+1-(Config!$D14+Config!$E14)),0)*Config!$G14)*Config!$C14</f>
        <v>139194</v>
      </c>
      <c r="AS9" s="67">
        <f>((Config!$F14*Commandes!AS9)+IF(ROUND((AS$8-Config!$C$7)/31,0)&gt;=(Config!$D14+Config!$E14),INDEX(Commandes!$C9:$BJ9,,COLUMN(AS$8)-COLUMN($C$8)+1-(Config!$D14+Config!$E14)),0)*Config!$G14)*Config!$C14</f>
        <v>143412</v>
      </c>
      <c r="AT9" s="67">
        <f>((Config!$F14*Commandes!AT9)+IF(ROUND((AT$8-Config!$C$7)/31,0)&gt;=(Config!$D14+Config!$E14),INDEX(Commandes!$C9:$BJ9,,COLUMN(AT$8)-COLUMN($C$8)+1-(Config!$D14+Config!$E14)),0)*Config!$G14)*Config!$C14</f>
        <v>147630</v>
      </c>
      <c r="AU9" s="67">
        <f>((Config!$F14*Commandes!AU9)+IF(ROUND((AU$8-Config!$C$7)/31,0)&gt;=(Config!$D14+Config!$E14),INDEX(Commandes!$C9:$BJ9,,COLUMN(AU$8)-COLUMN($C$8)+1-(Config!$D14+Config!$E14)),0)*Config!$G14)*Config!$C14</f>
        <v>156066</v>
      </c>
      <c r="AV9" s="67">
        <f>((Config!$F14*Commandes!AV9)+IF(ROUND((AV$8-Config!$C$7)/31,0)&gt;=(Config!$D14+Config!$E14),INDEX(Commandes!$C9:$BJ9,,COLUMN(AV$8)-COLUMN($C$8)+1-(Config!$D14+Config!$E14)),0)*Config!$G14)*Config!$C14</f>
        <v>164502</v>
      </c>
      <c r="AW9" s="67">
        <f>((Config!$F14*Commandes!AW9)+IF(ROUND((AW$8-Config!$C$7)/31,0)&gt;=(Config!$D14+Config!$E14),INDEX(Commandes!$C9:$BJ9,,COLUMN(AW$8)-COLUMN($C$8)+1-(Config!$D14+Config!$E14)),0)*Config!$G14)*Config!$C14</f>
        <v>172938</v>
      </c>
      <c r="AX9" s="67">
        <f>((Config!$F14*Commandes!AX9)+IF(ROUND((AX$8-Config!$C$7)/31,0)&gt;=(Config!$D14+Config!$E14),INDEX(Commandes!$C9:$BJ9,,COLUMN(AX$8)-COLUMN($C$8)+1-(Config!$D14+Config!$E14)),0)*Config!$G14)*Config!$C14</f>
        <v>181374</v>
      </c>
      <c r="AY9" s="67">
        <f>((Config!$F14*Commandes!AY9)+IF(ROUND((AY$8-Config!$C$7)/31,0)&gt;=(Config!$D14+Config!$E14),INDEX(Commandes!$C9:$BJ9,,COLUMN(AY$8)-COLUMN($C$8)+1-(Config!$D14+Config!$E14)),0)*Config!$G14)*Config!$C14</f>
        <v>185592</v>
      </c>
      <c r="AZ9" s="67">
        <f>((Config!$F14*Commandes!AZ9)+IF(ROUND((AZ$8-Config!$C$7)/31,0)&gt;=(Config!$D14+Config!$E14),INDEX(Commandes!$C9:$BJ9,,COLUMN(AZ$8)-COLUMN($C$8)+1-(Config!$D14+Config!$E14)),0)*Config!$G14)*Config!$C14</f>
        <v>189810</v>
      </c>
      <c r="BA9" s="67">
        <f>((Config!$F14*Commandes!BA9)+IF(ROUND((BA$8-Config!$C$7)/31,0)&gt;=(Config!$D14+Config!$E14),INDEX(Commandes!$C9:$BJ9,,COLUMN(BA$8)-COLUMN($C$8)+1-(Config!$D14+Config!$E14)),0)*Config!$G14)*Config!$C14</f>
        <v>194028</v>
      </c>
      <c r="BB9" s="67">
        <f>((Config!$F14*Commandes!BB9)+IF(ROUND((BB$8-Config!$C$7)/31,0)&gt;=(Config!$D14+Config!$E14),INDEX(Commandes!$C9:$BJ9,,COLUMN(BB$8)-COLUMN($C$8)+1-(Config!$D14+Config!$E14)),0)*Config!$G14)*Config!$C14</f>
        <v>202464</v>
      </c>
      <c r="BC9" s="67">
        <f>((Config!$F14*Commandes!BC9)+IF(ROUND((BC$8-Config!$C$7)/31,0)&gt;=(Config!$D14+Config!$E14),INDEX(Commandes!$C9:$BJ9,,COLUMN(BC$8)-COLUMN($C$8)+1-(Config!$D14+Config!$E14)),0)*Config!$G14)*Config!$C14</f>
        <v>210900</v>
      </c>
      <c r="BD9" s="67">
        <f>((Config!$F14*Commandes!BD9)+IF(ROUND((BD$8-Config!$C$7)/31,0)&gt;=(Config!$D14+Config!$E14),INDEX(Commandes!$C9:$BJ9,,COLUMN(BD$8)-COLUMN($C$8)+1-(Config!$D14+Config!$E14)),0)*Config!$G14)*Config!$C14</f>
        <v>223554</v>
      </c>
      <c r="BE9" s="67">
        <f>((Config!$F14*Commandes!BE9)+IF(ROUND((BE$8-Config!$C$7)/31,0)&gt;=(Config!$D14+Config!$E14),INDEX(Commandes!$C9:$BJ9,,COLUMN(BE$8)-COLUMN($C$8)+1-(Config!$D14+Config!$E14)),0)*Config!$G14)*Config!$C14</f>
        <v>231990</v>
      </c>
      <c r="BF9" s="67">
        <f>((Config!$F14*Commandes!BF9)+IF(ROUND((BF$8-Config!$C$7)/31,0)&gt;=(Config!$D14+Config!$E14),INDEX(Commandes!$C9:$BJ9,,COLUMN(BF$8)-COLUMN($C$8)+1-(Config!$D14+Config!$E14)),0)*Config!$G14)*Config!$C14</f>
        <v>240426</v>
      </c>
      <c r="BG9" s="67">
        <f>((Config!$F14*Commandes!BG9)+IF(ROUND((BG$8-Config!$C$7)/31,0)&gt;=(Config!$D14+Config!$E14),INDEX(Commandes!$C9:$BJ9,,COLUMN(BG$8)-COLUMN($C$8)+1-(Config!$D14+Config!$E14)),0)*Config!$G14)*Config!$C14</f>
        <v>253080</v>
      </c>
      <c r="BH9" s="67">
        <f>((Config!$F14*Commandes!BH9)+IF(ROUND((BH$8-Config!$C$7)/31,0)&gt;=(Config!$D14+Config!$E14),INDEX(Commandes!$C9:$BJ9,,COLUMN(BH$8)-COLUMN($C$8)+1-(Config!$D14+Config!$E14)),0)*Config!$G14)*Config!$C14</f>
        <v>265734</v>
      </c>
      <c r="BI9" s="67">
        <f>((Config!$F14*Commandes!BI9)+IF(ROUND((BI$8-Config!$C$7)/31,0)&gt;=(Config!$D14+Config!$E14),INDEX(Commandes!$C9:$BJ9,,COLUMN(BI$8)-COLUMN($C$8)+1-(Config!$D14+Config!$E14)),0)*Config!$G14)*Config!$C14</f>
        <v>278388</v>
      </c>
      <c r="BJ9" s="67">
        <f>((Config!$F14*Commandes!BJ9)+IF(ROUND((BJ$8-Config!$C$7)/31,0)&gt;=(Config!$D14+Config!$E14),INDEX(Commandes!$C9:$BJ9,,COLUMN(BJ$8)-COLUMN($C$8)+1-(Config!$D14+Config!$E14)),0)*Config!$G14)*Config!$C14</f>
        <v>295260</v>
      </c>
      <c r="BK9" s="70"/>
    </row>
    <row r="10" spans="2:63" x14ac:dyDescent="0.2">
      <c r="B10" s="46" t="str">
        <f>Config!$B$15</f>
        <v>Vente de pack découverte (9 Shots)</v>
      </c>
      <c r="C10" s="67">
        <f>((Config!$F15*Commandes!C10)+IF(ROUND((C$8-Config!$C$7)/31,0)&gt;=(Config!$D15+Config!$E15),INDEX(Commandes!$C10:$BJ10,,COLUMN(C$8)-COLUMN($C$8)+1-(Config!$D15+Config!$E15)),0)*Config!$G15)*Config!$C15</f>
        <v>1654</v>
      </c>
      <c r="D10" s="67">
        <f>((Config!$F15*Commandes!D10)+IF(ROUND((D$8-Config!$C$7)/31,0)&gt;=(Config!$D15+Config!$E15),INDEX(Commandes!$C10:$BJ10,,COLUMN(D$8)-COLUMN($C$8)+1-(Config!$D15+Config!$E15)),0)*Config!$G15)*Config!$C15</f>
        <v>2646.3999999999996</v>
      </c>
      <c r="E10" s="67">
        <f>((Config!$F15*Commandes!E10)+IF(ROUND((E$8-Config!$C$7)/31,0)&gt;=(Config!$D15+Config!$E15),INDEX(Commandes!$C10:$BJ10,,COLUMN(E$8)-COLUMN($C$8)+1-(Config!$D15+Config!$E15)),0)*Config!$G15)*Config!$C15</f>
        <v>3969.6</v>
      </c>
      <c r="F10" s="67">
        <f>((Config!$F15*Commandes!F10)+IF(ROUND((F$8-Config!$C$7)/31,0)&gt;=(Config!$D15+Config!$E15),INDEX(Commandes!$C10:$BJ10,,COLUMN(F$8)-COLUMN($C$8)+1-(Config!$D15+Config!$E15)),0)*Config!$G15)*Config!$C15</f>
        <v>6616</v>
      </c>
      <c r="G10" s="67">
        <f>((Config!$F15*Commandes!G10)+IF(ROUND((G$8-Config!$C$7)/31,0)&gt;=(Config!$D15+Config!$E15),INDEX(Commandes!$C10:$BJ10,,COLUMN(G$8)-COLUMN($C$8)+1-(Config!$D15+Config!$E15)),0)*Config!$G15)*Config!$C15</f>
        <v>9924</v>
      </c>
      <c r="H10" s="67">
        <f>((Config!$F15*Commandes!H10)+IF(ROUND((H$8-Config!$C$7)/31,0)&gt;=(Config!$D15+Config!$E15),INDEX(Commandes!$C10:$BJ10,,COLUMN(H$8)-COLUMN($C$8)+1-(Config!$D15+Config!$E15)),0)*Config!$G15)*Config!$C15</f>
        <v>11578</v>
      </c>
      <c r="I10" s="67">
        <f>((Config!$F15*Commandes!I10)+IF(ROUND((I$8-Config!$C$7)/31,0)&gt;=(Config!$D15+Config!$E15),INDEX(Commandes!$C10:$BJ10,,COLUMN(I$8)-COLUMN($C$8)+1-(Config!$D15+Config!$E15)),0)*Config!$G15)*Config!$C15</f>
        <v>9924</v>
      </c>
      <c r="J10" s="67">
        <f>((Config!$F15*Commandes!J10)+IF(ROUND((J$8-Config!$C$7)/31,0)&gt;=(Config!$D15+Config!$E15),INDEX(Commandes!$C10:$BJ10,,COLUMN(J$8)-COLUMN($C$8)+1-(Config!$D15+Config!$E15)),0)*Config!$G15)*Config!$C15</f>
        <v>6616</v>
      </c>
      <c r="K10" s="67">
        <f>((Config!$F15*Commandes!K10)+IF(ROUND((K$8-Config!$C$7)/31,0)&gt;=(Config!$D15+Config!$E15),INDEX(Commandes!$C10:$BJ10,,COLUMN(K$8)-COLUMN($C$8)+1-(Config!$D15+Config!$E15)),0)*Config!$G15)*Config!$C15</f>
        <v>13232</v>
      </c>
      <c r="L10" s="67">
        <f>((Config!$F15*Commandes!L10)+IF(ROUND((L$8-Config!$C$7)/31,0)&gt;=(Config!$D15+Config!$E15),INDEX(Commandes!$C10:$BJ10,,COLUMN(L$8)-COLUMN($C$8)+1-(Config!$D15+Config!$E15)),0)*Config!$G15)*Config!$C15</f>
        <v>11578</v>
      </c>
      <c r="M10" s="67">
        <f>((Config!$F15*Commandes!M10)+IF(ROUND((M$8-Config!$C$7)/31,0)&gt;=(Config!$D15+Config!$E15),INDEX(Commandes!$C10:$BJ10,,COLUMN(M$8)-COLUMN($C$8)+1-(Config!$D15+Config!$E15)),0)*Config!$G15)*Config!$C15</f>
        <v>11578</v>
      </c>
      <c r="N10" s="67">
        <f>((Config!$F15*Commandes!N10)+IF(ROUND((N$8-Config!$C$7)/31,0)&gt;=(Config!$D15+Config!$E15),INDEX(Commandes!$C10:$BJ10,,COLUMN(N$8)-COLUMN($C$8)+1-(Config!$D15+Config!$E15)),0)*Config!$G15)*Config!$C15</f>
        <v>16540</v>
      </c>
      <c r="O10" s="67">
        <f>((Config!$F15*Commandes!O10)+IF(ROUND((O$8-Config!$C$7)/31,0)&gt;=(Config!$D15+Config!$E15),INDEX(Commandes!$C10:$BJ10,,COLUMN(O$8)-COLUMN($C$8)+1-(Config!$D15+Config!$E15)),0)*Config!$G15)*Config!$C15</f>
        <v>14886</v>
      </c>
      <c r="P10" s="67">
        <f>((Config!$F15*Commandes!P10)+IF(ROUND((P$8-Config!$C$7)/31,0)&gt;=(Config!$D15+Config!$E15),INDEX(Commandes!$C10:$BJ10,,COLUMN(P$8)-COLUMN($C$8)+1-(Config!$D15+Config!$E15)),0)*Config!$G15)*Config!$C15</f>
        <v>13232</v>
      </c>
      <c r="Q10" s="67">
        <f>((Config!$F15*Commandes!Q10)+IF(ROUND((Q$8-Config!$C$7)/31,0)&gt;=(Config!$D15+Config!$E15),INDEX(Commandes!$C10:$BJ10,,COLUMN(Q$8)-COLUMN($C$8)+1-(Config!$D15+Config!$E15)),0)*Config!$G15)*Config!$C15</f>
        <v>14886</v>
      </c>
      <c r="R10" s="67">
        <f>((Config!$F15*Commandes!R10)+IF(ROUND((R$8-Config!$C$7)/31,0)&gt;=(Config!$D15+Config!$E15),INDEX(Commandes!$C10:$BJ10,,COLUMN(R$8)-COLUMN($C$8)+1-(Config!$D15+Config!$E15)),0)*Config!$G15)*Config!$C15</f>
        <v>18194</v>
      </c>
      <c r="S10" s="67">
        <f>((Config!$F15*Commandes!S10)+IF(ROUND((S$8-Config!$C$7)/31,0)&gt;=(Config!$D15+Config!$E15),INDEX(Commandes!$C10:$BJ10,,COLUMN(S$8)-COLUMN($C$8)+1-(Config!$D15+Config!$E15)),0)*Config!$G15)*Config!$C15</f>
        <v>21502</v>
      </c>
      <c r="T10" s="67">
        <f>((Config!$F15*Commandes!T10)+IF(ROUND((T$8-Config!$C$7)/31,0)&gt;=(Config!$D15+Config!$E15),INDEX(Commandes!$C10:$BJ10,,COLUMN(T$8)-COLUMN($C$8)+1-(Config!$D15+Config!$E15)),0)*Config!$G15)*Config!$C15</f>
        <v>23156</v>
      </c>
      <c r="U10" s="67">
        <f>((Config!$F15*Commandes!U10)+IF(ROUND((U$8-Config!$C$7)/31,0)&gt;=(Config!$D15+Config!$E15),INDEX(Commandes!$C10:$BJ10,,COLUMN(U$8)-COLUMN($C$8)+1-(Config!$D15+Config!$E15)),0)*Config!$G15)*Config!$C15</f>
        <v>19848</v>
      </c>
      <c r="V10" s="67">
        <f>((Config!$F15*Commandes!V10)+IF(ROUND((V$8-Config!$C$7)/31,0)&gt;=(Config!$D15+Config!$E15),INDEX(Commandes!$C10:$BJ10,,COLUMN(V$8)-COLUMN($C$8)+1-(Config!$D15+Config!$E15)),0)*Config!$G15)*Config!$C15</f>
        <v>16540</v>
      </c>
      <c r="W10" s="67">
        <f>((Config!$F15*Commandes!W10)+IF(ROUND((W$8-Config!$C$7)/31,0)&gt;=(Config!$D15+Config!$E15),INDEX(Commandes!$C10:$BJ10,,COLUMN(W$8)-COLUMN($C$8)+1-(Config!$D15+Config!$E15)),0)*Config!$G15)*Config!$C15</f>
        <v>26464</v>
      </c>
      <c r="X10" s="67">
        <f>((Config!$F15*Commandes!X10)+IF(ROUND((X$8-Config!$C$7)/31,0)&gt;=(Config!$D15+Config!$E15),INDEX(Commandes!$C10:$BJ10,,COLUMN(X$8)-COLUMN($C$8)+1-(Config!$D15+Config!$E15)),0)*Config!$G15)*Config!$C15</f>
        <v>23156</v>
      </c>
      <c r="Y10" s="67">
        <f>((Config!$F15*Commandes!Y10)+IF(ROUND((Y$8-Config!$C$7)/31,0)&gt;=(Config!$D15+Config!$E15),INDEX(Commandes!$C10:$BJ10,,COLUMN(Y$8)-COLUMN($C$8)+1-(Config!$D15+Config!$E15)),0)*Config!$G15)*Config!$C15</f>
        <v>23156</v>
      </c>
      <c r="Z10" s="67">
        <f>((Config!$F15*Commandes!Z10)+IF(ROUND((Z$8-Config!$C$7)/31,0)&gt;=(Config!$D15+Config!$E15),INDEX(Commandes!$C10:$BJ10,,COLUMN(Z$8)-COLUMN($C$8)+1-(Config!$D15+Config!$E15)),0)*Config!$G15)*Config!$C15</f>
        <v>29772</v>
      </c>
      <c r="AA10" s="67">
        <f>((Config!$F15*Commandes!AA10)+IF(ROUND((AA$8-Config!$C$7)/31,0)&gt;=(Config!$D15+Config!$E15),INDEX(Commandes!$C10:$BJ10,,COLUMN(AA$8)-COLUMN($C$8)+1-(Config!$D15+Config!$E15)),0)*Config!$G15)*Config!$C15</f>
        <v>29772</v>
      </c>
      <c r="AB10" s="67">
        <f>((Config!$F15*Commandes!AB10)+IF(ROUND((AB$8-Config!$C$7)/31,0)&gt;=(Config!$D15+Config!$E15),INDEX(Commandes!$C10:$BJ10,,COLUMN(AB$8)-COLUMN($C$8)+1-(Config!$D15+Config!$E15)),0)*Config!$G15)*Config!$C15</f>
        <v>26464</v>
      </c>
      <c r="AC10" s="67">
        <f>((Config!$F15*Commandes!AC10)+IF(ROUND((AC$8-Config!$C$7)/31,0)&gt;=(Config!$D15+Config!$E15),INDEX(Commandes!$C10:$BJ10,,COLUMN(AC$8)-COLUMN($C$8)+1-(Config!$D15+Config!$E15)),0)*Config!$G15)*Config!$C15</f>
        <v>28118</v>
      </c>
      <c r="AD10" s="67">
        <f>((Config!$F15*Commandes!AD10)+IF(ROUND((AD$8-Config!$C$7)/31,0)&gt;=(Config!$D15+Config!$E15),INDEX(Commandes!$C10:$BJ10,,COLUMN(AD$8)-COLUMN($C$8)+1-(Config!$D15+Config!$E15)),0)*Config!$G15)*Config!$C15</f>
        <v>31426</v>
      </c>
      <c r="AE10" s="67">
        <f>((Config!$F15*Commandes!AE10)+IF(ROUND((AE$8-Config!$C$7)/31,0)&gt;=(Config!$D15+Config!$E15),INDEX(Commandes!$C10:$BJ10,,COLUMN(AE$8)-COLUMN($C$8)+1-(Config!$D15+Config!$E15)),0)*Config!$G15)*Config!$C15</f>
        <v>36388</v>
      </c>
      <c r="AF10" s="67">
        <f>((Config!$F15*Commandes!AF10)+IF(ROUND((AF$8-Config!$C$7)/31,0)&gt;=(Config!$D15+Config!$E15),INDEX(Commandes!$C10:$BJ10,,COLUMN(AF$8)-COLUMN($C$8)+1-(Config!$D15+Config!$E15)),0)*Config!$G15)*Config!$C15</f>
        <v>39696</v>
      </c>
      <c r="AG10" s="67">
        <f>((Config!$F15*Commandes!AG10)+IF(ROUND((AG$8-Config!$C$7)/31,0)&gt;=(Config!$D15+Config!$E15),INDEX(Commandes!$C10:$BJ10,,COLUMN(AG$8)-COLUMN($C$8)+1-(Config!$D15+Config!$E15)),0)*Config!$G15)*Config!$C15</f>
        <v>33080</v>
      </c>
      <c r="AH10" s="67">
        <f>((Config!$F15*Commandes!AH10)+IF(ROUND((AH$8-Config!$C$7)/31,0)&gt;=(Config!$D15+Config!$E15),INDEX(Commandes!$C10:$BJ10,,COLUMN(AH$8)-COLUMN($C$8)+1-(Config!$D15+Config!$E15)),0)*Config!$G15)*Config!$C15</f>
        <v>29772</v>
      </c>
      <c r="AI10" s="67">
        <f>((Config!$F15*Commandes!AI10)+IF(ROUND((AI$8-Config!$C$7)/31,0)&gt;=(Config!$D15+Config!$E15),INDEX(Commandes!$C10:$BJ10,,COLUMN(AI$8)-COLUMN($C$8)+1-(Config!$D15+Config!$E15)),0)*Config!$G15)*Config!$C15</f>
        <v>43004</v>
      </c>
      <c r="AJ10" s="67">
        <f>((Config!$F15*Commandes!AJ10)+IF(ROUND((AJ$8-Config!$C$7)/31,0)&gt;=(Config!$D15+Config!$E15),INDEX(Commandes!$C10:$BJ10,,COLUMN(AJ$8)-COLUMN($C$8)+1-(Config!$D15+Config!$E15)),0)*Config!$G15)*Config!$C15</f>
        <v>36388</v>
      </c>
      <c r="AK10" s="67">
        <f>((Config!$F15*Commandes!AK10)+IF(ROUND((AK$8-Config!$C$7)/31,0)&gt;=(Config!$D15+Config!$E15),INDEX(Commandes!$C10:$BJ10,,COLUMN(AK$8)-COLUMN($C$8)+1-(Config!$D15+Config!$E15)),0)*Config!$G15)*Config!$C15</f>
        <v>36388</v>
      </c>
      <c r="AL10" s="67">
        <f>((Config!$F15*Commandes!AL10)+IF(ROUND((AL$8-Config!$C$7)/31,0)&gt;=(Config!$D15+Config!$E15),INDEX(Commandes!$C10:$BJ10,,COLUMN(AL$8)-COLUMN($C$8)+1-(Config!$D15+Config!$E15)),0)*Config!$G15)*Config!$C15</f>
        <v>49620</v>
      </c>
      <c r="AM10" s="67">
        <f>((Config!$F15*Commandes!AM10)+IF(ROUND((AM$8-Config!$C$7)/31,0)&gt;=(Config!$D15+Config!$E15),INDEX(Commandes!$C10:$BJ10,,COLUMN(AM$8)-COLUMN($C$8)+1-(Config!$D15+Config!$E15)),0)*Config!$G15)*Config!$C15</f>
        <v>52928</v>
      </c>
      <c r="AN10" s="67">
        <f>((Config!$F15*Commandes!AN10)+IF(ROUND((AN$8-Config!$C$7)/31,0)&gt;=(Config!$D15+Config!$E15),INDEX(Commandes!$C10:$BJ10,,COLUMN(AN$8)-COLUMN($C$8)+1-(Config!$D15+Config!$E15)),0)*Config!$G15)*Config!$C15</f>
        <v>46312</v>
      </c>
      <c r="AO10" s="67">
        <f>((Config!$F15*Commandes!AO10)+IF(ROUND((AO$8-Config!$C$7)/31,0)&gt;=(Config!$D15+Config!$E15),INDEX(Commandes!$C10:$BJ10,,COLUMN(AO$8)-COLUMN($C$8)+1-(Config!$D15+Config!$E15)),0)*Config!$G15)*Config!$C15</f>
        <v>49620</v>
      </c>
      <c r="AP10" s="67">
        <f>((Config!$F15*Commandes!AP10)+IF(ROUND((AP$8-Config!$C$7)/31,0)&gt;=(Config!$D15+Config!$E15),INDEX(Commandes!$C10:$BJ10,,COLUMN(AP$8)-COLUMN($C$8)+1-(Config!$D15+Config!$E15)),0)*Config!$G15)*Config!$C15</f>
        <v>56236</v>
      </c>
      <c r="AQ10" s="67">
        <f>((Config!$F15*Commandes!AQ10)+IF(ROUND((AQ$8-Config!$C$7)/31,0)&gt;=(Config!$D15+Config!$E15),INDEX(Commandes!$C10:$BJ10,,COLUMN(AQ$8)-COLUMN($C$8)+1-(Config!$D15+Config!$E15)),0)*Config!$G15)*Config!$C15</f>
        <v>62852</v>
      </c>
      <c r="AR10" s="67">
        <f>((Config!$F15*Commandes!AR10)+IF(ROUND((AR$8-Config!$C$7)/31,0)&gt;=(Config!$D15+Config!$E15),INDEX(Commandes!$C10:$BJ10,,COLUMN(AR$8)-COLUMN($C$8)+1-(Config!$D15+Config!$E15)),0)*Config!$G15)*Config!$C15</f>
        <v>66160</v>
      </c>
      <c r="AS10" s="67">
        <f>((Config!$F15*Commandes!AS10)+IF(ROUND((AS$8-Config!$C$7)/31,0)&gt;=(Config!$D15+Config!$E15),INDEX(Commandes!$C10:$BJ10,,COLUMN(AS$8)-COLUMN($C$8)+1-(Config!$D15+Config!$E15)),0)*Config!$G15)*Config!$C15</f>
        <v>59544</v>
      </c>
      <c r="AT10" s="67">
        <f>((Config!$F15*Commandes!AT10)+IF(ROUND((AT$8-Config!$C$7)/31,0)&gt;=(Config!$D15+Config!$E15),INDEX(Commandes!$C10:$BJ10,,COLUMN(AT$8)-COLUMN($C$8)+1-(Config!$D15+Config!$E15)),0)*Config!$G15)*Config!$C15</f>
        <v>52928</v>
      </c>
      <c r="AU10" s="67">
        <f>((Config!$F15*Commandes!AU10)+IF(ROUND((AU$8-Config!$C$7)/31,0)&gt;=(Config!$D15+Config!$E15),INDEX(Commandes!$C10:$BJ10,,COLUMN(AU$8)-COLUMN($C$8)+1-(Config!$D15+Config!$E15)),0)*Config!$G15)*Config!$C15</f>
        <v>72776</v>
      </c>
      <c r="AV10" s="67">
        <f>((Config!$F15*Commandes!AV10)+IF(ROUND((AV$8-Config!$C$7)/31,0)&gt;=(Config!$D15+Config!$E15),INDEX(Commandes!$C10:$BJ10,,COLUMN(AV$8)-COLUMN($C$8)+1-(Config!$D15+Config!$E15)),0)*Config!$G15)*Config!$C15</f>
        <v>62852</v>
      </c>
      <c r="AW10" s="67">
        <f>((Config!$F15*Commandes!AW10)+IF(ROUND((AW$8-Config!$C$7)/31,0)&gt;=(Config!$D15+Config!$E15),INDEX(Commandes!$C10:$BJ10,,COLUMN(AW$8)-COLUMN($C$8)+1-(Config!$D15+Config!$E15)),0)*Config!$G15)*Config!$C15</f>
        <v>62852</v>
      </c>
      <c r="AX10" s="67">
        <f>((Config!$F15*Commandes!AX10)+IF(ROUND((AX$8-Config!$C$7)/31,0)&gt;=(Config!$D15+Config!$E15),INDEX(Commandes!$C10:$BJ10,,COLUMN(AX$8)-COLUMN($C$8)+1-(Config!$D15+Config!$E15)),0)*Config!$G15)*Config!$C15</f>
        <v>82700</v>
      </c>
      <c r="AY10" s="67">
        <f>((Config!$F15*Commandes!AY10)+IF(ROUND((AY$8-Config!$C$7)/31,0)&gt;=(Config!$D15+Config!$E15),INDEX(Commandes!$C10:$BJ10,,COLUMN(AY$8)-COLUMN($C$8)+1-(Config!$D15+Config!$E15)),0)*Config!$G15)*Config!$C15</f>
        <v>86008</v>
      </c>
      <c r="AZ10" s="67">
        <f>((Config!$F15*Commandes!AZ10)+IF(ROUND((AZ$8-Config!$C$7)/31,0)&gt;=(Config!$D15+Config!$E15),INDEX(Commandes!$C10:$BJ10,,COLUMN(AZ$8)-COLUMN($C$8)+1-(Config!$D15+Config!$E15)),0)*Config!$G15)*Config!$C15</f>
        <v>76084</v>
      </c>
      <c r="BA10" s="67">
        <f>((Config!$F15*Commandes!BA10)+IF(ROUND((BA$8-Config!$C$7)/31,0)&gt;=(Config!$D15+Config!$E15),INDEX(Commandes!$C10:$BJ10,,COLUMN(BA$8)-COLUMN($C$8)+1-(Config!$D15+Config!$E15)),0)*Config!$G15)*Config!$C15</f>
        <v>79392</v>
      </c>
      <c r="BB10" s="67">
        <f>((Config!$F15*Commandes!BB10)+IF(ROUND((BB$8-Config!$C$7)/31,0)&gt;=(Config!$D15+Config!$E15),INDEX(Commandes!$C10:$BJ10,,COLUMN(BB$8)-COLUMN($C$8)+1-(Config!$D15+Config!$E15)),0)*Config!$G15)*Config!$C15</f>
        <v>56236</v>
      </c>
      <c r="BC10" s="67">
        <f>((Config!$F15*Commandes!BC10)+IF(ROUND((BC$8-Config!$C$7)/31,0)&gt;=(Config!$D15+Config!$E15),INDEX(Commandes!$C10:$BJ10,,COLUMN(BC$8)-COLUMN($C$8)+1-(Config!$D15+Config!$E15)),0)*Config!$G15)*Config!$C15</f>
        <v>99240</v>
      </c>
      <c r="BD10" s="67">
        <f>((Config!$F15*Commandes!BD10)+IF(ROUND((BD$8-Config!$C$7)/31,0)&gt;=(Config!$D15+Config!$E15),INDEX(Commandes!$C10:$BJ10,,COLUMN(BD$8)-COLUMN($C$8)+1-(Config!$D15+Config!$E15)),0)*Config!$G15)*Config!$C15</f>
        <v>105856</v>
      </c>
      <c r="BE10" s="67">
        <f>((Config!$F15*Commandes!BE10)+IF(ROUND((BE$8-Config!$C$7)/31,0)&gt;=(Config!$D15+Config!$E15),INDEX(Commandes!$C10:$BJ10,,COLUMN(BE$8)-COLUMN($C$8)+1-(Config!$D15+Config!$E15)),0)*Config!$G15)*Config!$C15</f>
        <v>95932</v>
      </c>
      <c r="BF10" s="67">
        <f>((Config!$F15*Commandes!BF10)+IF(ROUND((BF$8-Config!$C$7)/31,0)&gt;=(Config!$D15+Config!$E15),INDEX(Commandes!$C10:$BJ10,,COLUMN(BF$8)-COLUMN($C$8)+1-(Config!$D15+Config!$E15)),0)*Config!$G15)*Config!$C15</f>
        <v>82700</v>
      </c>
      <c r="BG10" s="67">
        <f>((Config!$F15*Commandes!BG10)+IF(ROUND((BG$8-Config!$C$7)/31,0)&gt;=(Config!$D15+Config!$E15),INDEX(Commandes!$C10:$BJ10,,COLUMN(BG$8)-COLUMN($C$8)+1-(Config!$D15+Config!$E15)),0)*Config!$G15)*Config!$C15</f>
        <v>115780</v>
      </c>
      <c r="BH10" s="67">
        <f>((Config!$F15*Commandes!BH10)+IF(ROUND((BH$8-Config!$C$7)/31,0)&gt;=(Config!$D15+Config!$E15),INDEX(Commandes!$C10:$BJ10,,COLUMN(BH$8)-COLUMN($C$8)+1-(Config!$D15+Config!$E15)),0)*Config!$G15)*Config!$C15</f>
        <v>99240</v>
      </c>
      <c r="BI10" s="67">
        <f>((Config!$F15*Commandes!BI10)+IF(ROUND((BI$8-Config!$C$7)/31,0)&gt;=(Config!$D15+Config!$E15),INDEX(Commandes!$C10:$BJ10,,COLUMN(BI$8)-COLUMN($C$8)+1-(Config!$D15+Config!$E15)),0)*Config!$G15)*Config!$C15</f>
        <v>99240</v>
      </c>
      <c r="BJ10" s="67">
        <f>((Config!$F15*Commandes!BJ10)+IF(ROUND((BJ$8-Config!$C$7)/31,0)&gt;=(Config!$D15+Config!$E15),INDEX(Commandes!$C10:$BJ10,,COLUMN(BJ$8)-COLUMN($C$8)+1-(Config!$D15+Config!$E15)),0)*Config!$G15)*Config!$C15</f>
        <v>132320</v>
      </c>
      <c r="BK10" s="70"/>
    </row>
    <row r="11" spans="2:63" x14ac:dyDescent="0.2">
      <c r="B11" s="46" t="str">
        <f>Config!$B$16</f>
        <v xml:space="preserve">Vente de shots à l'unité </v>
      </c>
      <c r="C11" s="67">
        <f>((Config!$F16*Commandes!C11)+IF(ROUND((C$8-Config!$C$7)/31,0)&gt;=(Config!$D16+Config!$E16),INDEX(Commandes!$C11:$BJ11,,COLUMN(C$8)-COLUMN($C$8)+1-(Config!$D16+Config!$E16)),0)*Config!$G16)*Config!$C16</f>
        <v>85.399999999999991</v>
      </c>
      <c r="D11" s="67">
        <f>((Config!$F16*Commandes!D11)+IF(ROUND((D$8-Config!$C$7)/31,0)&gt;=(Config!$D16+Config!$E16),INDEX(Commandes!$C11:$BJ11,,COLUMN(D$8)-COLUMN($C$8)+1-(Config!$D16+Config!$E16)),0)*Config!$G16)*Config!$C16</f>
        <v>128.1</v>
      </c>
      <c r="E11" s="67">
        <f>((Config!$F16*Commandes!E11)+IF(ROUND((E$8-Config!$C$7)/31,0)&gt;=(Config!$D16+Config!$E16),INDEX(Commandes!$C11:$BJ11,,COLUMN(E$8)-COLUMN($C$8)+1-(Config!$D16+Config!$E16)),0)*Config!$G16)*Config!$C16</f>
        <v>170.79999999999998</v>
      </c>
      <c r="F11" s="67">
        <f>((Config!$F16*Commandes!F11)+IF(ROUND((F$8-Config!$C$7)/31,0)&gt;=(Config!$D16+Config!$E16),INDEX(Commandes!$C11:$BJ11,,COLUMN(F$8)-COLUMN($C$8)+1-(Config!$D16+Config!$E16)),0)*Config!$G16)*Config!$C16</f>
        <v>213.49999999999997</v>
      </c>
      <c r="G11" s="67">
        <f>((Config!$F16*Commandes!G11)+IF(ROUND((G$8-Config!$C$7)/31,0)&gt;=(Config!$D16+Config!$E16),INDEX(Commandes!$C11:$BJ11,,COLUMN(G$8)-COLUMN($C$8)+1-(Config!$D16+Config!$E16)),0)*Config!$G16)*Config!$C16</f>
        <v>341.59999999999997</v>
      </c>
      <c r="H11" s="67">
        <f>((Config!$F16*Commandes!H11)+IF(ROUND((H$8-Config!$C$7)/31,0)&gt;=(Config!$D16+Config!$E16),INDEX(Commandes!$C11:$BJ11,,COLUMN(H$8)-COLUMN($C$8)+1-(Config!$D16+Config!$E16)),0)*Config!$G16)*Config!$C16</f>
        <v>426.99999999999994</v>
      </c>
      <c r="I11" s="67">
        <f>((Config!$F16*Commandes!I11)+IF(ROUND((I$8-Config!$C$7)/31,0)&gt;=(Config!$D16+Config!$E16),INDEX(Commandes!$C11:$BJ11,,COLUMN(I$8)-COLUMN($C$8)+1-(Config!$D16+Config!$E16)),0)*Config!$G16)*Config!$C16</f>
        <v>341.59999999999997</v>
      </c>
      <c r="J11" s="67">
        <f>((Config!$F16*Commandes!J11)+IF(ROUND((J$8-Config!$C$7)/31,0)&gt;=(Config!$D16+Config!$E16),INDEX(Commandes!$C11:$BJ11,,COLUMN(J$8)-COLUMN($C$8)+1-(Config!$D16+Config!$E16)),0)*Config!$G16)*Config!$C16</f>
        <v>256.2</v>
      </c>
      <c r="K11" s="67">
        <f>((Config!$F16*Commandes!K11)+IF(ROUND((K$8-Config!$C$7)/31,0)&gt;=(Config!$D16+Config!$E16),INDEX(Commandes!$C11:$BJ11,,COLUMN(K$8)-COLUMN($C$8)+1-(Config!$D16+Config!$E16)),0)*Config!$G16)*Config!$C16</f>
        <v>426.99999999999994</v>
      </c>
      <c r="L11" s="67">
        <f>((Config!$F16*Commandes!L11)+IF(ROUND((L$8-Config!$C$7)/31,0)&gt;=(Config!$D16+Config!$E16),INDEX(Commandes!$C11:$BJ11,,COLUMN(L$8)-COLUMN($C$8)+1-(Config!$D16+Config!$E16)),0)*Config!$G16)*Config!$C16</f>
        <v>341.59999999999997</v>
      </c>
      <c r="M11" s="67">
        <f>((Config!$F16*Commandes!M11)+IF(ROUND((M$8-Config!$C$7)/31,0)&gt;=(Config!$D16+Config!$E16),INDEX(Commandes!$C11:$BJ11,,COLUMN(M$8)-COLUMN($C$8)+1-(Config!$D16+Config!$E16)),0)*Config!$G16)*Config!$C16</f>
        <v>341.59999999999997</v>
      </c>
      <c r="N11" s="67">
        <f>((Config!$F16*Commandes!N11)+IF(ROUND((N$8-Config!$C$7)/31,0)&gt;=(Config!$D16+Config!$E16),INDEX(Commandes!$C11:$BJ11,,COLUMN(N$8)-COLUMN($C$8)+1-(Config!$D16+Config!$E16)),0)*Config!$G16)*Config!$C16</f>
        <v>640.49999999999989</v>
      </c>
      <c r="O11" s="67">
        <f>((Config!$F16*Commandes!O11)+IF(ROUND((O$8-Config!$C$7)/31,0)&gt;=(Config!$D16+Config!$E16),INDEX(Commandes!$C11:$BJ11,,COLUMN(O$8)-COLUMN($C$8)+1-(Config!$D16+Config!$E16)),0)*Config!$G16)*Config!$C16</f>
        <v>426.99999999999994</v>
      </c>
      <c r="P11" s="67">
        <f>((Config!$F16*Commandes!P11)+IF(ROUND((P$8-Config!$C$7)/31,0)&gt;=(Config!$D16+Config!$E16),INDEX(Commandes!$C11:$BJ11,,COLUMN(P$8)-COLUMN($C$8)+1-(Config!$D16+Config!$E16)),0)*Config!$G16)*Config!$C16</f>
        <v>426.99999999999994</v>
      </c>
      <c r="Q11" s="67">
        <f>((Config!$F16*Commandes!Q11)+IF(ROUND((Q$8-Config!$C$7)/31,0)&gt;=(Config!$D16+Config!$E16),INDEX(Commandes!$C11:$BJ11,,COLUMN(Q$8)-COLUMN($C$8)+1-(Config!$D16+Config!$E16)),0)*Config!$G16)*Config!$C16</f>
        <v>512.4</v>
      </c>
      <c r="R11" s="67">
        <f>((Config!$F16*Commandes!R11)+IF(ROUND((R$8-Config!$C$7)/31,0)&gt;=(Config!$D16+Config!$E16),INDEX(Commandes!$C11:$BJ11,,COLUMN(R$8)-COLUMN($C$8)+1-(Config!$D16+Config!$E16)),0)*Config!$G16)*Config!$C16</f>
        <v>640.49999999999989</v>
      </c>
      <c r="S11" s="67">
        <f>((Config!$F16*Commandes!S11)+IF(ROUND((S$8-Config!$C$7)/31,0)&gt;=(Config!$D16+Config!$E16),INDEX(Commandes!$C11:$BJ11,,COLUMN(S$8)-COLUMN($C$8)+1-(Config!$D16+Config!$E16)),0)*Config!$G16)*Config!$C16</f>
        <v>853.99999999999989</v>
      </c>
      <c r="T11" s="67">
        <f>((Config!$F16*Commandes!T11)+IF(ROUND((T$8-Config!$C$7)/31,0)&gt;=(Config!$D16+Config!$E16),INDEX(Commandes!$C11:$BJ11,,COLUMN(T$8)-COLUMN($C$8)+1-(Config!$D16+Config!$E16)),0)*Config!$G16)*Config!$C16</f>
        <v>1067.5</v>
      </c>
      <c r="U11" s="67">
        <f>((Config!$F16*Commandes!U11)+IF(ROUND((U$8-Config!$C$7)/31,0)&gt;=(Config!$D16+Config!$E16),INDEX(Commandes!$C11:$BJ11,,COLUMN(U$8)-COLUMN($C$8)+1-(Config!$D16+Config!$E16)),0)*Config!$G16)*Config!$C16</f>
        <v>853.99999999999989</v>
      </c>
      <c r="V11" s="67">
        <f>((Config!$F16*Commandes!V11)+IF(ROUND((V$8-Config!$C$7)/31,0)&gt;=(Config!$D16+Config!$E16),INDEX(Commandes!$C11:$BJ11,,COLUMN(V$8)-COLUMN($C$8)+1-(Config!$D16+Config!$E16)),0)*Config!$G16)*Config!$C16</f>
        <v>640.49999999999989</v>
      </c>
      <c r="W11" s="67">
        <f>((Config!$F16*Commandes!W11)+IF(ROUND((W$8-Config!$C$7)/31,0)&gt;=(Config!$D16+Config!$E16),INDEX(Commandes!$C11:$BJ11,,COLUMN(W$8)-COLUMN($C$8)+1-(Config!$D16+Config!$E16)),0)*Config!$G16)*Config!$C16</f>
        <v>1067.5</v>
      </c>
      <c r="X11" s="67">
        <f>((Config!$F16*Commandes!X11)+IF(ROUND((X$8-Config!$C$7)/31,0)&gt;=(Config!$D16+Config!$E16),INDEX(Commandes!$C11:$BJ11,,COLUMN(X$8)-COLUMN($C$8)+1-(Config!$D16+Config!$E16)),0)*Config!$G16)*Config!$C16</f>
        <v>853.99999999999989</v>
      </c>
      <c r="Y11" s="67">
        <f>((Config!$F16*Commandes!Y11)+IF(ROUND((Y$8-Config!$C$7)/31,0)&gt;=(Config!$D16+Config!$E16),INDEX(Commandes!$C11:$BJ11,,COLUMN(Y$8)-COLUMN($C$8)+1-(Config!$D16+Config!$E16)),0)*Config!$G16)*Config!$C16</f>
        <v>853.99999999999989</v>
      </c>
      <c r="Z11" s="67">
        <f>((Config!$F16*Commandes!Z11)+IF(ROUND((Z$8-Config!$C$7)/31,0)&gt;=(Config!$D16+Config!$E16),INDEX(Commandes!$C11:$BJ11,,COLUMN(Z$8)-COLUMN($C$8)+1-(Config!$D16+Config!$E16)),0)*Config!$G16)*Config!$C16</f>
        <v>1280.9999999999998</v>
      </c>
      <c r="AA11" s="67">
        <f>((Config!$F16*Commandes!AA11)+IF(ROUND((AA$8-Config!$C$7)/31,0)&gt;=(Config!$D16+Config!$E16),INDEX(Commandes!$C11:$BJ11,,COLUMN(AA$8)-COLUMN($C$8)+1-(Config!$D16+Config!$E16)),0)*Config!$G16)*Config!$C16</f>
        <v>1067.5</v>
      </c>
      <c r="AB11" s="67">
        <f>((Config!$F16*Commandes!AB11)+IF(ROUND((AB$8-Config!$C$7)/31,0)&gt;=(Config!$D16+Config!$E16),INDEX(Commandes!$C11:$BJ11,,COLUMN(AB$8)-COLUMN($C$8)+1-(Config!$D16+Config!$E16)),0)*Config!$G16)*Config!$C16</f>
        <v>853.99999999999989</v>
      </c>
      <c r="AC11" s="67">
        <f>((Config!$F16*Commandes!AC11)+IF(ROUND((AC$8-Config!$C$7)/31,0)&gt;=(Config!$D16+Config!$E16),INDEX(Commandes!$C11:$BJ11,,COLUMN(AC$8)-COLUMN($C$8)+1-(Config!$D16+Config!$E16)),0)*Config!$G16)*Config!$C16</f>
        <v>939.39999999999986</v>
      </c>
      <c r="AD11" s="67">
        <f>((Config!$F16*Commandes!AD11)+IF(ROUND((AD$8-Config!$C$7)/31,0)&gt;=(Config!$D16+Config!$E16),INDEX(Commandes!$C11:$BJ11,,COLUMN(AD$8)-COLUMN($C$8)+1-(Config!$D16+Config!$E16)),0)*Config!$G16)*Config!$C16</f>
        <v>1067.5</v>
      </c>
      <c r="AE11" s="67">
        <f>((Config!$F16*Commandes!AE11)+IF(ROUND((AE$8-Config!$C$7)/31,0)&gt;=(Config!$D16+Config!$E16),INDEX(Commandes!$C11:$BJ11,,COLUMN(AE$8)-COLUMN($C$8)+1-(Config!$D16+Config!$E16)),0)*Config!$G16)*Config!$C16</f>
        <v>1280.9999999999998</v>
      </c>
      <c r="AF11" s="67">
        <f>((Config!$F16*Commandes!AF11)+IF(ROUND((AF$8-Config!$C$7)/31,0)&gt;=(Config!$D16+Config!$E16),INDEX(Commandes!$C11:$BJ11,,COLUMN(AF$8)-COLUMN($C$8)+1-(Config!$D16+Config!$E16)),0)*Config!$G16)*Config!$C16</f>
        <v>1494.4999999999998</v>
      </c>
      <c r="AG11" s="67">
        <f>((Config!$F16*Commandes!AG11)+IF(ROUND((AG$8-Config!$C$7)/31,0)&gt;=(Config!$D16+Config!$E16),INDEX(Commandes!$C11:$BJ11,,COLUMN(AG$8)-COLUMN($C$8)+1-(Config!$D16+Config!$E16)),0)*Config!$G16)*Config!$C16</f>
        <v>1280.9999999999998</v>
      </c>
      <c r="AH11" s="67">
        <f>((Config!$F16*Commandes!AH11)+IF(ROUND((AH$8-Config!$C$7)/31,0)&gt;=(Config!$D16+Config!$E16),INDEX(Commandes!$C11:$BJ11,,COLUMN(AH$8)-COLUMN($C$8)+1-(Config!$D16+Config!$E16)),0)*Config!$G16)*Config!$C16</f>
        <v>1067.5</v>
      </c>
      <c r="AI11" s="67">
        <f>((Config!$F16*Commandes!AI11)+IF(ROUND((AI$8-Config!$C$7)/31,0)&gt;=(Config!$D16+Config!$E16),INDEX(Commandes!$C11:$BJ11,,COLUMN(AI$8)-COLUMN($C$8)+1-(Config!$D16+Config!$E16)),0)*Config!$G16)*Config!$C16</f>
        <v>1494.4999999999998</v>
      </c>
      <c r="AJ11" s="67">
        <f>((Config!$F16*Commandes!AJ11)+IF(ROUND((AJ$8-Config!$C$7)/31,0)&gt;=(Config!$D16+Config!$E16),INDEX(Commandes!$C11:$BJ11,,COLUMN(AJ$8)-COLUMN($C$8)+1-(Config!$D16+Config!$E16)),0)*Config!$G16)*Config!$C16</f>
        <v>1280.9999999999998</v>
      </c>
      <c r="AK11" s="67">
        <f>((Config!$F16*Commandes!AK11)+IF(ROUND((AK$8-Config!$C$7)/31,0)&gt;=(Config!$D16+Config!$E16),INDEX(Commandes!$C11:$BJ11,,COLUMN(AK$8)-COLUMN($C$8)+1-(Config!$D16+Config!$E16)),0)*Config!$G16)*Config!$C16</f>
        <v>1280.9999999999998</v>
      </c>
      <c r="AL11" s="67">
        <f>((Config!$F16*Commandes!AL11)+IF(ROUND((AL$8-Config!$C$7)/31,0)&gt;=(Config!$D16+Config!$E16),INDEX(Commandes!$C11:$BJ11,,COLUMN(AL$8)-COLUMN($C$8)+1-(Config!$D16+Config!$E16)),0)*Config!$G16)*Config!$C16</f>
        <v>1921.4999999999998</v>
      </c>
      <c r="AM11" s="67">
        <f>((Config!$F16*Commandes!AM11)+IF(ROUND((AM$8-Config!$C$7)/31,0)&gt;=(Config!$D16+Config!$E16),INDEX(Commandes!$C11:$BJ11,,COLUMN(AM$8)-COLUMN($C$8)+1-(Config!$D16+Config!$E16)),0)*Config!$G16)*Config!$C16</f>
        <v>1494.4999999999998</v>
      </c>
      <c r="AN11" s="67">
        <f>((Config!$F16*Commandes!AN11)+IF(ROUND((AN$8-Config!$C$7)/31,0)&gt;=(Config!$D16+Config!$E16),INDEX(Commandes!$C11:$BJ11,,COLUMN(AN$8)-COLUMN($C$8)+1-(Config!$D16+Config!$E16)),0)*Config!$G16)*Config!$C16</f>
        <v>1280.9999999999998</v>
      </c>
      <c r="AO11" s="67">
        <f>((Config!$F16*Commandes!AO11)+IF(ROUND((AO$8-Config!$C$7)/31,0)&gt;=(Config!$D16+Config!$E16),INDEX(Commandes!$C11:$BJ11,,COLUMN(AO$8)-COLUMN($C$8)+1-(Config!$D16+Config!$E16)),0)*Config!$G16)*Config!$C16</f>
        <v>1366.3999999999999</v>
      </c>
      <c r="AP11" s="67">
        <f>((Config!$F16*Commandes!AP11)+IF(ROUND((AP$8-Config!$C$7)/31,0)&gt;=(Config!$D16+Config!$E16),INDEX(Commandes!$C11:$BJ11,,COLUMN(AP$8)-COLUMN($C$8)+1-(Config!$D16+Config!$E16)),0)*Config!$G16)*Config!$C16</f>
        <v>1622.6</v>
      </c>
      <c r="AQ11" s="67">
        <f>((Config!$F16*Commandes!AQ11)+IF(ROUND((AQ$8-Config!$C$7)/31,0)&gt;=(Config!$D16+Config!$E16),INDEX(Commandes!$C11:$BJ11,,COLUMN(AQ$8)-COLUMN($C$8)+1-(Config!$D16+Config!$E16)),0)*Config!$G16)*Config!$C16</f>
        <v>1921.4999999999998</v>
      </c>
      <c r="AR11" s="67">
        <f>((Config!$F16*Commandes!AR11)+IF(ROUND((AR$8-Config!$C$7)/31,0)&gt;=(Config!$D16+Config!$E16),INDEX(Commandes!$C11:$BJ11,,COLUMN(AR$8)-COLUMN($C$8)+1-(Config!$D16+Config!$E16)),0)*Config!$G16)*Config!$C16</f>
        <v>2135</v>
      </c>
      <c r="AS11" s="67">
        <f>((Config!$F16*Commandes!AS11)+IF(ROUND((AS$8-Config!$C$7)/31,0)&gt;=(Config!$D16+Config!$E16),INDEX(Commandes!$C11:$BJ11,,COLUMN(AS$8)-COLUMN($C$8)+1-(Config!$D16+Config!$E16)),0)*Config!$G16)*Config!$C16</f>
        <v>1921.4999999999998</v>
      </c>
      <c r="AT11" s="67">
        <f>((Config!$F16*Commandes!AT11)+IF(ROUND((AT$8-Config!$C$7)/31,0)&gt;=(Config!$D16+Config!$E16),INDEX(Commandes!$C11:$BJ11,,COLUMN(AT$8)-COLUMN($C$8)+1-(Config!$D16+Config!$E16)),0)*Config!$G16)*Config!$C16</f>
        <v>1707.9999999999998</v>
      </c>
      <c r="AU11" s="67">
        <f>((Config!$F16*Commandes!AU11)+IF(ROUND((AU$8-Config!$C$7)/31,0)&gt;=(Config!$D16+Config!$E16),INDEX(Commandes!$C11:$BJ11,,COLUMN(AU$8)-COLUMN($C$8)+1-(Config!$D16+Config!$E16)),0)*Config!$G16)*Config!$C16</f>
        <v>2135</v>
      </c>
      <c r="AV11" s="67">
        <f>((Config!$F16*Commandes!AV11)+IF(ROUND((AV$8-Config!$C$7)/31,0)&gt;=(Config!$D16+Config!$E16),INDEX(Commandes!$C11:$BJ11,,COLUMN(AV$8)-COLUMN($C$8)+1-(Config!$D16+Config!$E16)),0)*Config!$G16)*Config!$C16</f>
        <v>1921.4999999999998</v>
      </c>
      <c r="AW11" s="67">
        <f>((Config!$F16*Commandes!AW11)+IF(ROUND((AW$8-Config!$C$7)/31,0)&gt;=(Config!$D16+Config!$E16),INDEX(Commandes!$C11:$BJ11,,COLUMN(AW$8)-COLUMN($C$8)+1-(Config!$D16+Config!$E16)),0)*Config!$G16)*Config!$C16</f>
        <v>1921.4999999999998</v>
      </c>
      <c r="AX11" s="67">
        <f>((Config!$F16*Commandes!AX11)+IF(ROUND((AX$8-Config!$C$7)/31,0)&gt;=(Config!$D16+Config!$E16),INDEX(Commandes!$C11:$BJ11,,COLUMN(AX$8)-COLUMN($C$8)+1-(Config!$D16+Config!$E16)),0)*Config!$G16)*Config!$C16</f>
        <v>2775.4999999999995</v>
      </c>
      <c r="AY11" s="67">
        <f>((Config!$F16*Commandes!AY11)+IF(ROUND((AY$8-Config!$C$7)/31,0)&gt;=(Config!$D16+Config!$E16),INDEX(Commandes!$C11:$BJ11,,COLUMN(AY$8)-COLUMN($C$8)+1-(Config!$D16+Config!$E16)),0)*Config!$G16)*Config!$C16</f>
        <v>2135</v>
      </c>
      <c r="AZ11" s="67">
        <f>((Config!$F16*Commandes!AZ11)+IF(ROUND((AZ$8-Config!$C$7)/31,0)&gt;=(Config!$D16+Config!$E16),INDEX(Commandes!$C11:$BJ11,,COLUMN(AZ$8)-COLUMN($C$8)+1-(Config!$D16+Config!$E16)),0)*Config!$G16)*Config!$C16</f>
        <v>1921.4999999999998</v>
      </c>
      <c r="BA11" s="67">
        <f>((Config!$F16*Commandes!BA11)+IF(ROUND((BA$8-Config!$C$7)/31,0)&gt;=(Config!$D16+Config!$E16),INDEX(Commandes!$C11:$BJ11,,COLUMN(BA$8)-COLUMN($C$8)+1-(Config!$D16+Config!$E16)),0)*Config!$G16)*Config!$C16</f>
        <v>2049.6</v>
      </c>
      <c r="BB11" s="67">
        <f>((Config!$F16*Commandes!BB11)+IF(ROUND((BB$8-Config!$C$7)/31,0)&gt;=(Config!$D16+Config!$E16),INDEX(Commandes!$C11:$BJ11,,COLUMN(BB$8)-COLUMN($C$8)+1-(Config!$D16+Config!$E16)),0)*Config!$G16)*Config!$C16</f>
        <v>2348.4999999999995</v>
      </c>
      <c r="BC11" s="67">
        <f>((Config!$F16*Commandes!BC11)+IF(ROUND((BC$8-Config!$C$7)/31,0)&gt;=(Config!$D16+Config!$E16),INDEX(Commandes!$C11:$BJ11,,COLUMN(BC$8)-COLUMN($C$8)+1-(Config!$D16+Config!$E16)),0)*Config!$G16)*Config!$C16</f>
        <v>2775.4999999999995</v>
      </c>
      <c r="BD11" s="67">
        <f>((Config!$F16*Commandes!BD11)+IF(ROUND((BD$8-Config!$C$7)/31,0)&gt;=(Config!$D16+Config!$E16),INDEX(Commandes!$C11:$BJ11,,COLUMN(BD$8)-COLUMN($C$8)+1-(Config!$D16+Config!$E16)),0)*Config!$G16)*Config!$C16</f>
        <v>3202.4999999999995</v>
      </c>
      <c r="BE11" s="67">
        <f>((Config!$F16*Commandes!BE11)+IF(ROUND((BE$8-Config!$C$7)/31,0)&gt;=(Config!$D16+Config!$E16),INDEX(Commandes!$C11:$BJ11,,COLUMN(BE$8)-COLUMN($C$8)+1-(Config!$D16+Config!$E16)),0)*Config!$G16)*Config!$C16</f>
        <v>2775.4999999999995</v>
      </c>
      <c r="BF11" s="67">
        <f>((Config!$F16*Commandes!BF11)+IF(ROUND((BF$8-Config!$C$7)/31,0)&gt;=(Config!$D16+Config!$E16),INDEX(Commandes!$C11:$BJ11,,COLUMN(BF$8)-COLUMN($C$8)+1-(Config!$D16+Config!$E16)),0)*Config!$G16)*Config!$C16</f>
        <v>2348.4999999999995</v>
      </c>
      <c r="BG11" s="67">
        <f>((Config!$F16*Commandes!BG11)+IF(ROUND((BG$8-Config!$C$7)/31,0)&gt;=(Config!$D16+Config!$E16),INDEX(Commandes!$C11:$BJ11,,COLUMN(BG$8)-COLUMN($C$8)+1-(Config!$D16+Config!$E16)),0)*Config!$G16)*Config!$C16</f>
        <v>3202.4999999999995</v>
      </c>
      <c r="BH11" s="67">
        <f>((Config!$F16*Commandes!BH11)+IF(ROUND((BH$8-Config!$C$7)/31,0)&gt;=(Config!$D16+Config!$E16),INDEX(Commandes!$C11:$BJ11,,COLUMN(BH$8)-COLUMN($C$8)+1-(Config!$D16+Config!$E16)),0)*Config!$G16)*Config!$C16</f>
        <v>2775.4999999999995</v>
      </c>
      <c r="BI11" s="67">
        <f>((Config!$F16*Commandes!BI11)+IF(ROUND((BI$8-Config!$C$7)/31,0)&gt;=(Config!$D16+Config!$E16),INDEX(Commandes!$C11:$BJ11,,COLUMN(BI$8)-COLUMN($C$8)+1-(Config!$D16+Config!$E16)),0)*Config!$G16)*Config!$C16</f>
        <v>2775.4999999999995</v>
      </c>
      <c r="BJ11" s="67">
        <f>((Config!$F16*Commandes!BJ11)+IF(ROUND((BJ$8-Config!$C$7)/31,0)&gt;=(Config!$D16+Config!$E16),INDEX(Commandes!$C11:$BJ11,,COLUMN(BJ$8)-COLUMN($C$8)+1-(Config!$D16+Config!$E16)),0)*Config!$G16)*Config!$C16</f>
        <v>4056.4999999999995</v>
      </c>
      <c r="BK11" s="70"/>
    </row>
    <row r="12" spans="2:63" x14ac:dyDescent="0.2">
      <c r="B12" s="46" t="str">
        <f>Config!$B$17</f>
        <v>Vente d'abonnement annuel (360 Shots)</v>
      </c>
      <c r="C12" s="67">
        <f>((Config!$F17*Commandes!C12)+IF(ROUND((C$8-Config!$C$7)/31,0)&gt;=(Config!$D17+Config!$E17),INDEX(Commandes!$C12:$BJ12,,COLUMN(C$8)-COLUMN($C$8)+1-(Config!$D17+Config!$E17)),0)*Config!$G17)*Config!$C17</f>
        <v>0</v>
      </c>
      <c r="D12" s="67">
        <f>((Config!$F17*Commandes!D12)+IF(ROUND((D$8-Config!$C$7)/31,0)&gt;=(Config!$D17+Config!$E17),INDEX(Commandes!$C12:$BJ12,,COLUMN(D$8)-COLUMN($C$8)+1-(Config!$D17+Config!$E17)),0)*Config!$G17)*Config!$C17</f>
        <v>0</v>
      </c>
      <c r="E12" s="67">
        <f>((Config!$F17*Commandes!E12)+IF(ROUND((E$8-Config!$C$7)/31,0)&gt;=(Config!$D17+Config!$E17),INDEX(Commandes!$C12:$BJ12,,COLUMN(E$8)-COLUMN($C$8)+1-(Config!$D17+Config!$E17)),0)*Config!$G17)*Config!$C17</f>
        <v>0</v>
      </c>
      <c r="F12" s="67">
        <f>((Config!$F17*Commandes!F12)+IF(ROUND((F$8-Config!$C$7)/31,0)&gt;=(Config!$D17+Config!$E17),INDEX(Commandes!$C12:$BJ12,,COLUMN(F$8)-COLUMN($C$8)+1-(Config!$D17+Config!$E17)),0)*Config!$G17)*Config!$C17</f>
        <v>710.9</v>
      </c>
      <c r="G12" s="67">
        <f>((Config!$F17*Commandes!G12)+IF(ROUND((G$8-Config!$C$7)/31,0)&gt;=(Config!$D17+Config!$E17),INDEX(Commandes!$C12:$BJ12,,COLUMN(G$8)-COLUMN($C$8)+1-(Config!$D17+Config!$E17)),0)*Config!$G17)*Config!$C17</f>
        <v>710.9</v>
      </c>
      <c r="H12" s="67">
        <f>((Config!$F17*Commandes!H12)+IF(ROUND((H$8-Config!$C$7)/31,0)&gt;=(Config!$D17+Config!$E17),INDEX(Commandes!$C12:$BJ12,,COLUMN(H$8)-COLUMN($C$8)+1-(Config!$D17+Config!$E17)),0)*Config!$G17)*Config!$C17</f>
        <v>1421.8</v>
      </c>
      <c r="I12" s="67">
        <f>((Config!$F17*Commandes!I12)+IF(ROUND((I$8-Config!$C$7)/31,0)&gt;=(Config!$D17+Config!$E17),INDEX(Commandes!$C12:$BJ12,,COLUMN(I$8)-COLUMN($C$8)+1-(Config!$D17+Config!$E17)),0)*Config!$G17)*Config!$C17</f>
        <v>710.9</v>
      </c>
      <c r="J12" s="67">
        <f>((Config!$F17*Commandes!J12)+IF(ROUND((J$8-Config!$C$7)/31,0)&gt;=(Config!$D17+Config!$E17),INDEX(Commandes!$C12:$BJ12,,COLUMN(J$8)-COLUMN($C$8)+1-(Config!$D17+Config!$E17)),0)*Config!$G17)*Config!$C17</f>
        <v>0</v>
      </c>
      <c r="K12" s="67">
        <f>((Config!$F17*Commandes!K12)+IF(ROUND((K$8-Config!$C$7)/31,0)&gt;=(Config!$D17+Config!$E17),INDEX(Commandes!$C12:$BJ12,,COLUMN(K$8)-COLUMN($C$8)+1-(Config!$D17+Config!$E17)),0)*Config!$G17)*Config!$C17</f>
        <v>2132.6999999999998</v>
      </c>
      <c r="L12" s="67">
        <f>((Config!$F17*Commandes!L12)+IF(ROUND((L$8-Config!$C$7)/31,0)&gt;=(Config!$D17+Config!$E17),INDEX(Commandes!$C12:$BJ12,,COLUMN(L$8)-COLUMN($C$8)+1-(Config!$D17+Config!$E17)),0)*Config!$G17)*Config!$C17</f>
        <v>1421.8</v>
      </c>
      <c r="M12" s="67">
        <f>((Config!$F17*Commandes!M12)+IF(ROUND((M$8-Config!$C$7)/31,0)&gt;=(Config!$D17+Config!$E17),INDEX(Commandes!$C12:$BJ12,,COLUMN(M$8)-COLUMN($C$8)+1-(Config!$D17+Config!$E17)),0)*Config!$G17)*Config!$C17</f>
        <v>1421.8</v>
      </c>
      <c r="N12" s="67">
        <f>((Config!$F17*Commandes!N12)+IF(ROUND((N$8-Config!$C$7)/31,0)&gt;=(Config!$D17+Config!$E17),INDEX(Commandes!$C12:$BJ12,,COLUMN(N$8)-COLUMN($C$8)+1-(Config!$D17+Config!$E17)),0)*Config!$G17)*Config!$C17</f>
        <v>3554.5</v>
      </c>
      <c r="O12" s="67">
        <f>((Config!$F17*Commandes!O12)+IF(ROUND((O$8-Config!$C$7)/31,0)&gt;=(Config!$D17+Config!$E17),INDEX(Commandes!$C12:$BJ12,,COLUMN(O$8)-COLUMN($C$8)+1-(Config!$D17+Config!$E17)),0)*Config!$G17)*Config!$C17</f>
        <v>2132.6999999999998</v>
      </c>
      <c r="P12" s="67">
        <f>((Config!$F17*Commandes!P12)+IF(ROUND((P$8-Config!$C$7)/31,0)&gt;=(Config!$D17+Config!$E17),INDEX(Commandes!$C12:$BJ12,,COLUMN(P$8)-COLUMN($C$8)+1-(Config!$D17+Config!$E17)),0)*Config!$G17)*Config!$C17</f>
        <v>1421.8</v>
      </c>
      <c r="Q12" s="67">
        <f>((Config!$F17*Commandes!Q12)+IF(ROUND((Q$8-Config!$C$7)/31,0)&gt;=(Config!$D17+Config!$E17),INDEX(Commandes!$C12:$BJ12,,COLUMN(Q$8)-COLUMN($C$8)+1-(Config!$D17+Config!$E17)),0)*Config!$G17)*Config!$C17</f>
        <v>1421.8</v>
      </c>
      <c r="R12" s="67">
        <f>((Config!$F17*Commandes!R12)+IF(ROUND((R$8-Config!$C$7)/31,0)&gt;=(Config!$D17+Config!$E17),INDEX(Commandes!$C12:$BJ12,,COLUMN(R$8)-COLUMN($C$8)+1-(Config!$D17+Config!$E17)),0)*Config!$G17)*Config!$C17</f>
        <v>2132.6999999999998</v>
      </c>
      <c r="S12" s="67">
        <f>((Config!$F17*Commandes!S12)+IF(ROUND((S$8-Config!$C$7)/31,0)&gt;=(Config!$D17+Config!$E17),INDEX(Commandes!$C12:$BJ12,,COLUMN(S$8)-COLUMN($C$8)+1-(Config!$D17+Config!$E17)),0)*Config!$G17)*Config!$C17</f>
        <v>2843.6</v>
      </c>
      <c r="T12" s="67">
        <f>((Config!$F17*Commandes!T12)+IF(ROUND((T$8-Config!$C$7)/31,0)&gt;=(Config!$D17+Config!$E17),INDEX(Commandes!$C12:$BJ12,,COLUMN(T$8)-COLUMN($C$8)+1-(Config!$D17+Config!$E17)),0)*Config!$G17)*Config!$C17</f>
        <v>3554.5</v>
      </c>
      <c r="U12" s="67">
        <f>((Config!$F17*Commandes!U12)+IF(ROUND((U$8-Config!$C$7)/31,0)&gt;=(Config!$D17+Config!$E17),INDEX(Commandes!$C12:$BJ12,,COLUMN(U$8)-COLUMN($C$8)+1-(Config!$D17+Config!$E17)),0)*Config!$G17)*Config!$C17</f>
        <v>2132.6999999999998</v>
      </c>
      <c r="V12" s="67">
        <f>((Config!$F17*Commandes!V12)+IF(ROUND((V$8-Config!$C$7)/31,0)&gt;=(Config!$D17+Config!$E17),INDEX(Commandes!$C12:$BJ12,,COLUMN(V$8)-COLUMN($C$8)+1-(Config!$D17+Config!$E17)),0)*Config!$G17)*Config!$C17</f>
        <v>1421.8</v>
      </c>
      <c r="W12" s="67">
        <f>((Config!$F17*Commandes!W12)+IF(ROUND((W$8-Config!$C$7)/31,0)&gt;=(Config!$D17+Config!$E17),INDEX(Commandes!$C12:$BJ12,,COLUMN(W$8)-COLUMN($C$8)+1-(Config!$D17+Config!$E17)),0)*Config!$G17)*Config!$C17</f>
        <v>4265.3999999999996</v>
      </c>
      <c r="X12" s="67">
        <f>((Config!$F17*Commandes!X12)+IF(ROUND((X$8-Config!$C$7)/31,0)&gt;=(Config!$D17+Config!$E17),INDEX(Commandes!$C12:$BJ12,,COLUMN(X$8)-COLUMN($C$8)+1-(Config!$D17+Config!$E17)),0)*Config!$G17)*Config!$C17</f>
        <v>2843.6</v>
      </c>
      <c r="Y12" s="67">
        <f>((Config!$F17*Commandes!Y12)+IF(ROUND((Y$8-Config!$C$7)/31,0)&gt;=(Config!$D17+Config!$E17),INDEX(Commandes!$C12:$BJ12,,COLUMN(Y$8)-COLUMN($C$8)+1-(Config!$D17+Config!$E17)),0)*Config!$G17)*Config!$C17</f>
        <v>2843.6</v>
      </c>
      <c r="Z12" s="67">
        <f>((Config!$F17*Commandes!Z12)+IF(ROUND((Z$8-Config!$C$7)/31,0)&gt;=(Config!$D17+Config!$E17),INDEX(Commandes!$C12:$BJ12,,COLUMN(Z$8)-COLUMN($C$8)+1-(Config!$D17+Config!$E17)),0)*Config!$G17)*Config!$C17</f>
        <v>7109</v>
      </c>
      <c r="AA12" s="67">
        <f>((Config!$F17*Commandes!AA12)+IF(ROUND((AA$8-Config!$C$7)/31,0)&gt;=(Config!$D17+Config!$E17),INDEX(Commandes!$C12:$BJ12,,COLUMN(AA$8)-COLUMN($C$8)+1-(Config!$D17+Config!$E17)),0)*Config!$G17)*Config!$C17</f>
        <v>3554.5</v>
      </c>
      <c r="AB12" s="67">
        <f>((Config!$F17*Commandes!AB12)+IF(ROUND((AB$8-Config!$C$7)/31,0)&gt;=(Config!$D17+Config!$E17),INDEX(Commandes!$C12:$BJ12,,COLUMN(AB$8)-COLUMN($C$8)+1-(Config!$D17+Config!$E17)),0)*Config!$G17)*Config!$C17</f>
        <v>2132.6999999999998</v>
      </c>
      <c r="AC12" s="67">
        <f>((Config!$F17*Commandes!AC12)+IF(ROUND((AC$8-Config!$C$7)/31,0)&gt;=(Config!$D17+Config!$E17),INDEX(Commandes!$C12:$BJ12,,COLUMN(AC$8)-COLUMN($C$8)+1-(Config!$D17+Config!$E17)),0)*Config!$G17)*Config!$C17</f>
        <v>2843.6</v>
      </c>
      <c r="AD12" s="67">
        <f>((Config!$F17*Commandes!AD12)+IF(ROUND((AD$8-Config!$C$7)/31,0)&gt;=(Config!$D17+Config!$E17),INDEX(Commandes!$C12:$BJ12,,COLUMN(AD$8)-COLUMN($C$8)+1-(Config!$D17+Config!$E17)),0)*Config!$G17)*Config!$C17</f>
        <v>3554.5</v>
      </c>
      <c r="AE12" s="67">
        <f>((Config!$F17*Commandes!AE12)+IF(ROUND((AE$8-Config!$C$7)/31,0)&gt;=(Config!$D17+Config!$E17),INDEX(Commandes!$C12:$BJ12,,COLUMN(AE$8)-COLUMN($C$8)+1-(Config!$D17+Config!$E17)),0)*Config!$G17)*Config!$C17</f>
        <v>4265.3999999999996</v>
      </c>
      <c r="AF12" s="67">
        <f>((Config!$F17*Commandes!AF12)+IF(ROUND((AF$8-Config!$C$7)/31,0)&gt;=(Config!$D17+Config!$E17),INDEX(Commandes!$C12:$BJ12,,COLUMN(AF$8)-COLUMN($C$8)+1-(Config!$D17+Config!$E17)),0)*Config!$G17)*Config!$C17</f>
        <v>4976.3</v>
      </c>
      <c r="AG12" s="67">
        <f>((Config!$F17*Commandes!AG12)+IF(ROUND((AG$8-Config!$C$7)/31,0)&gt;=(Config!$D17+Config!$E17),INDEX(Commandes!$C12:$BJ12,,COLUMN(AG$8)-COLUMN($C$8)+1-(Config!$D17+Config!$E17)),0)*Config!$G17)*Config!$C17</f>
        <v>3554.5</v>
      </c>
      <c r="AH12" s="67">
        <f>((Config!$F17*Commandes!AH12)+IF(ROUND((AH$8-Config!$C$7)/31,0)&gt;=(Config!$D17+Config!$E17),INDEX(Commandes!$C12:$BJ12,,COLUMN(AH$8)-COLUMN($C$8)+1-(Config!$D17+Config!$E17)),0)*Config!$G17)*Config!$C17</f>
        <v>2843.6</v>
      </c>
      <c r="AI12" s="67">
        <f>((Config!$F17*Commandes!AI12)+IF(ROUND((AI$8-Config!$C$7)/31,0)&gt;=(Config!$D17+Config!$E17),INDEX(Commandes!$C12:$BJ12,,COLUMN(AI$8)-COLUMN($C$8)+1-(Config!$D17+Config!$E17)),0)*Config!$G17)*Config!$C17</f>
        <v>5687.2</v>
      </c>
      <c r="AJ12" s="67">
        <f>((Config!$F17*Commandes!AJ12)+IF(ROUND((AJ$8-Config!$C$7)/31,0)&gt;=(Config!$D17+Config!$E17),INDEX(Commandes!$C12:$BJ12,,COLUMN(AJ$8)-COLUMN($C$8)+1-(Config!$D17+Config!$E17)),0)*Config!$G17)*Config!$C17</f>
        <v>4265.3999999999996</v>
      </c>
      <c r="AK12" s="67">
        <f>((Config!$F17*Commandes!AK12)+IF(ROUND((AK$8-Config!$C$7)/31,0)&gt;=(Config!$D17+Config!$E17),INDEX(Commandes!$C12:$BJ12,,COLUMN(AK$8)-COLUMN($C$8)+1-(Config!$D17+Config!$E17)),0)*Config!$G17)*Config!$C17</f>
        <v>4265.3999999999996</v>
      </c>
      <c r="AL12" s="67">
        <f>((Config!$F17*Commandes!AL12)+IF(ROUND((AL$8-Config!$C$7)/31,0)&gt;=(Config!$D17+Config!$E17),INDEX(Commandes!$C12:$BJ12,,COLUMN(AL$8)-COLUMN($C$8)+1-(Config!$D17+Config!$E17)),0)*Config!$G17)*Config!$C17</f>
        <v>10663.5</v>
      </c>
      <c r="AM12" s="67">
        <f>((Config!$F17*Commandes!AM12)+IF(ROUND((AM$8-Config!$C$7)/31,0)&gt;=(Config!$D17+Config!$E17),INDEX(Commandes!$C12:$BJ12,,COLUMN(AM$8)-COLUMN($C$8)+1-(Config!$D17+Config!$E17)),0)*Config!$G17)*Config!$C17</f>
        <v>5687.2</v>
      </c>
      <c r="AN12" s="67">
        <f>((Config!$F17*Commandes!AN12)+IF(ROUND((AN$8-Config!$C$7)/31,0)&gt;=(Config!$D17+Config!$E17),INDEX(Commandes!$C12:$BJ12,,COLUMN(AN$8)-COLUMN($C$8)+1-(Config!$D17+Config!$E17)),0)*Config!$G17)*Config!$C17</f>
        <v>3554.5</v>
      </c>
      <c r="AO12" s="67">
        <f>((Config!$F17*Commandes!AO12)+IF(ROUND((AO$8-Config!$C$7)/31,0)&gt;=(Config!$D17+Config!$E17),INDEX(Commandes!$C12:$BJ12,,COLUMN(AO$8)-COLUMN($C$8)+1-(Config!$D17+Config!$E17)),0)*Config!$G17)*Config!$C17</f>
        <v>4265.3999999999996</v>
      </c>
      <c r="AP12" s="67">
        <f>((Config!$F17*Commandes!AP12)+IF(ROUND((AP$8-Config!$C$7)/31,0)&gt;=(Config!$D17+Config!$E17),INDEX(Commandes!$C12:$BJ12,,COLUMN(AP$8)-COLUMN($C$8)+1-(Config!$D17+Config!$E17)),0)*Config!$G17)*Config!$C17</f>
        <v>5687.2</v>
      </c>
      <c r="AQ12" s="67">
        <f>((Config!$F17*Commandes!AQ12)+IF(ROUND((AQ$8-Config!$C$7)/31,0)&gt;=(Config!$D17+Config!$E17),INDEX(Commandes!$C12:$BJ12,,COLUMN(AQ$8)-COLUMN($C$8)+1-(Config!$D17+Config!$E17)),0)*Config!$G17)*Config!$C17</f>
        <v>7109</v>
      </c>
      <c r="AR12" s="67">
        <f>((Config!$F17*Commandes!AR12)+IF(ROUND((AR$8-Config!$C$7)/31,0)&gt;=(Config!$D17+Config!$E17),INDEX(Commandes!$C12:$BJ12,,COLUMN(AR$8)-COLUMN($C$8)+1-(Config!$D17+Config!$E17)),0)*Config!$G17)*Config!$C17</f>
        <v>8530.7999999999993</v>
      </c>
      <c r="AS12" s="67">
        <f>((Config!$F17*Commandes!AS12)+IF(ROUND((AS$8-Config!$C$7)/31,0)&gt;=(Config!$D17+Config!$E17),INDEX(Commandes!$C12:$BJ12,,COLUMN(AS$8)-COLUMN($C$8)+1-(Config!$D17+Config!$E17)),0)*Config!$G17)*Config!$C17</f>
        <v>5687.2</v>
      </c>
      <c r="AT12" s="67">
        <f>((Config!$F17*Commandes!AT12)+IF(ROUND((AT$8-Config!$C$7)/31,0)&gt;=(Config!$D17+Config!$E17),INDEX(Commandes!$C12:$BJ12,,COLUMN(AT$8)-COLUMN($C$8)+1-(Config!$D17+Config!$E17)),0)*Config!$G17)*Config!$C17</f>
        <v>4265.3999999999996</v>
      </c>
      <c r="AU12" s="67">
        <f>((Config!$F17*Commandes!AU12)+IF(ROUND((AU$8-Config!$C$7)/31,0)&gt;=(Config!$D17+Config!$E17),INDEX(Commandes!$C12:$BJ12,,COLUMN(AU$8)-COLUMN($C$8)+1-(Config!$D17+Config!$E17)),0)*Config!$G17)*Config!$C17</f>
        <v>8530.7999999999993</v>
      </c>
      <c r="AV12" s="67">
        <f>((Config!$F17*Commandes!AV12)+IF(ROUND((AV$8-Config!$C$7)/31,0)&gt;=(Config!$D17+Config!$E17),INDEX(Commandes!$C12:$BJ12,,COLUMN(AV$8)-COLUMN($C$8)+1-(Config!$D17+Config!$E17)),0)*Config!$G17)*Config!$C17</f>
        <v>6398.0999999999995</v>
      </c>
      <c r="AW12" s="67">
        <f>((Config!$F17*Commandes!AW12)+IF(ROUND((AW$8-Config!$C$7)/31,0)&gt;=(Config!$D17+Config!$E17),INDEX(Commandes!$C12:$BJ12,,COLUMN(AW$8)-COLUMN($C$8)+1-(Config!$D17+Config!$E17)),0)*Config!$G17)*Config!$C17</f>
        <v>6398.0999999999995</v>
      </c>
      <c r="AX12" s="67">
        <f>((Config!$F17*Commandes!AX12)+IF(ROUND((AX$8-Config!$C$7)/31,0)&gt;=(Config!$D17+Config!$E17),INDEX(Commandes!$C12:$BJ12,,COLUMN(AX$8)-COLUMN($C$8)+1-(Config!$D17+Config!$E17)),0)*Config!$G17)*Config!$C17</f>
        <v>14218</v>
      </c>
      <c r="AY12" s="67">
        <f>((Config!$F17*Commandes!AY12)+IF(ROUND((AY$8-Config!$C$7)/31,0)&gt;=(Config!$D17+Config!$E17),INDEX(Commandes!$C12:$BJ12,,COLUMN(AY$8)-COLUMN($C$8)+1-(Config!$D17+Config!$E17)),0)*Config!$G17)*Config!$C17</f>
        <v>8530.7999999999993</v>
      </c>
      <c r="AZ12" s="67">
        <f>((Config!$F17*Commandes!AZ12)+IF(ROUND((AZ$8-Config!$C$7)/31,0)&gt;=(Config!$D17+Config!$E17),INDEX(Commandes!$C12:$BJ12,,COLUMN(AZ$8)-COLUMN($C$8)+1-(Config!$D17+Config!$E17)),0)*Config!$G17)*Config!$C17</f>
        <v>5687.2</v>
      </c>
      <c r="BA12" s="67">
        <f>((Config!$F17*Commandes!BA12)+IF(ROUND((BA$8-Config!$C$7)/31,0)&gt;=(Config!$D17+Config!$E17),INDEX(Commandes!$C12:$BJ12,,COLUMN(BA$8)-COLUMN($C$8)+1-(Config!$D17+Config!$E17)),0)*Config!$G17)*Config!$C17</f>
        <v>7109</v>
      </c>
      <c r="BB12" s="67">
        <f>((Config!$F17*Commandes!BB12)+IF(ROUND((BB$8-Config!$C$7)/31,0)&gt;=(Config!$D17+Config!$E17),INDEX(Commandes!$C12:$BJ12,,COLUMN(BB$8)-COLUMN($C$8)+1-(Config!$D17+Config!$E17)),0)*Config!$G17)*Config!$C17</f>
        <v>8530.7999999999993</v>
      </c>
      <c r="BC12" s="67">
        <f>((Config!$F17*Commandes!BC12)+IF(ROUND((BC$8-Config!$C$7)/31,0)&gt;=(Config!$D17+Config!$E17),INDEX(Commandes!$C12:$BJ12,,COLUMN(BC$8)-COLUMN($C$8)+1-(Config!$D17+Config!$E17)),0)*Config!$G17)*Config!$C17</f>
        <v>10663.5</v>
      </c>
      <c r="BD12" s="67">
        <f>((Config!$F17*Commandes!BD12)+IF(ROUND((BD$8-Config!$C$7)/31,0)&gt;=(Config!$D17+Config!$E17),INDEX(Commandes!$C12:$BJ12,,COLUMN(BD$8)-COLUMN($C$8)+1-(Config!$D17+Config!$E17)),0)*Config!$G17)*Config!$C17</f>
        <v>12796.199999999999</v>
      </c>
      <c r="BE12" s="67">
        <f>((Config!$F17*Commandes!BE12)+IF(ROUND((BE$8-Config!$C$7)/31,0)&gt;=(Config!$D17+Config!$E17),INDEX(Commandes!$C12:$BJ12,,COLUMN(BE$8)-COLUMN($C$8)+1-(Config!$D17+Config!$E17)),0)*Config!$G17)*Config!$C17</f>
        <v>8530.7999999999993</v>
      </c>
      <c r="BF12" s="67">
        <f>((Config!$F17*Commandes!BF12)+IF(ROUND((BF$8-Config!$C$7)/31,0)&gt;=(Config!$D17+Config!$E17),INDEX(Commandes!$C12:$BJ12,,COLUMN(BF$8)-COLUMN($C$8)+1-(Config!$D17+Config!$E17)),0)*Config!$G17)*Config!$C17</f>
        <v>7109</v>
      </c>
      <c r="BG12" s="67">
        <f>((Config!$F17*Commandes!BG12)+IF(ROUND((BG$8-Config!$C$7)/31,0)&gt;=(Config!$D17+Config!$E17),INDEX(Commandes!$C12:$BJ12,,COLUMN(BG$8)-COLUMN($C$8)+1-(Config!$D17+Config!$E17)),0)*Config!$G17)*Config!$C17</f>
        <v>14218</v>
      </c>
      <c r="BH12" s="67">
        <f>((Config!$F17*Commandes!BH12)+IF(ROUND((BH$8-Config!$C$7)/31,0)&gt;=(Config!$D17+Config!$E17),INDEX(Commandes!$C12:$BJ12,,COLUMN(BH$8)-COLUMN($C$8)+1-(Config!$D17+Config!$E17)),0)*Config!$G17)*Config!$C17</f>
        <v>10663.5</v>
      </c>
      <c r="BI12" s="67">
        <f>((Config!$F17*Commandes!BI12)+IF(ROUND((BI$8-Config!$C$7)/31,0)&gt;=(Config!$D17+Config!$E17),INDEX(Commandes!$C12:$BJ12,,COLUMN(BI$8)-COLUMN($C$8)+1-(Config!$D17+Config!$E17)),0)*Config!$G17)*Config!$C17</f>
        <v>10663.5</v>
      </c>
      <c r="BJ12" s="67">
        <f>((Config!$F17*Commandes!BJ12)+IF(ROUND((BJ$8-Config!$C$7)/31,0)&gt;=(Config!$D17+Config!$E17),INDEX(Commandes!$C12:$BJ12,,COLUMN(BJ$8)-COLUMN($C$8)+1-(Config!$D17+Config!$E17)),0)*Config!$G17)*Config!$C17</f>
        <v>21327</v>
      </c>
      <c r="BK12" s="70"/>
    </row>
    <row r="13" spans="2:63" x14ac:dyDescent="0.2">
      <c r="B13" s="46">
        <f>Config!$B$18</f>
        <v>0</v>
      </c>
      <c r="C13" s="67">
        <f>((Config!$F18*Commandes!C13)+IF(ROUND((C$8-Config!$C$7)/31,0)&gt;=(Config!$D18+Config!$E18),INDEX(Commandes!$C13:$BJ13,,COLUMN(C$8)-COLUMN($C$8)+1-(Config!$D18+Config!$E18)),0)*Config!$G18)*Config!$C18</f>
        <v>0</v>
      </c>
      <c r="D13" s="67">
        <f>((Config!$F18*Commandes!D13)+IF(ROUND((D$8-Config!$C$7)/31,0)&gt;=(Config!$D18+Config!$E18),INDEX(Commandes!$C13:$BJ13,,COLUMN(D$8)-COLUMN($C$8)+1-(Config!$D18+Config!$E18)),0)*Config!$G18)*Config!$C18</f>
        <v>0</v>
      </c>
      <c r="E13" s="67">
        <f>((Config!$F18*Commandes!E13)+IF(ROUND((E$8-Config!$C$7)/31,0)&gt;=(Config!$D18+Config!$E18),INDEX(Commandes!$C13:$BJ13,,COLUMN(E$8)-COLUMN($C$8)+1-(Config!$D18+Config!$E18)),0)*Config!$G18)*Config!$C18</f>
        <v>0</v>
      </c>
      <c r="F13" s="67">
        <f>((Config!$F18*Commandes!F13)+IF(ROUND((F$8-Config!$C$7)/31,0)&gt;=(Config!$D18+Config!$E18),INDEX(Commandes!$C13:$BJ13,,COLUMN(F$8)-COLUMN($C$8)+1-(Config!$D18+Config!$E18)),0)*Config!$G18)*Config!$C18</f>
        <v>0</v>
      </c>
      <c r="G13" s="67">
        <f>((Config!$F18*Commandes!G13)+IF(ROUND((G$8-Config!$C$7)/31,0)&gt;=(Config!$D18+Config!$E18),INDEX(Commandes!$C13:$BJ13,,COLUMN(G$8)-COLUMN($C$8)+1-(Config!$D18+Config!$E18)),0)*Config!$G18)*Config!$C18</f>
        <v>0</v>
      </c>
      <c r="H13" s="67">
        <f>((Config!$F18*Commandes!H13)+IF(ROUND((H$8-Config!$C$7)/31,0)&gt;=(Config!$D18+Config!$E18),INDEX(Commandes!$C13:$BJ13,,COLUMN(H$8)-COLUMN($C$8)+1-(Config!$D18+Config!$E18)),0)*Config!$G18)*Config!$C18</f>
        <v>0</v>
      </c>
      <c r="I13" s="67">
        <f>((Config!$F18*Commandes!I13)+IF(ROUND((I$8-Config!$C$7)/31,0)&gt;=(Config!$D18+Config!$E18),INDEX(Commandes!$C13:$BJ13,,COLUMN(I$8)-COLUMN($C$8)+1-(Config!$D18+Config!$E18)),0)*Config!$G18)*Config!$C18</f>
        <v>0</v>
      </c>
      <c r="J13" s="67">
        <f>((Config!$F18*Commandes!J13)+IF(ROUND((J$8-Config!$C$7)/31,0)&gt;=(Config!$D18+Config!$E18),INDEX(Commandes!$C13:$BJ13,,COLUMN(J$8)-COLUMN($C$8)+1-(Config!$D18+Config!$E18)),0)*Config!$G18)*Config!$C18</f>
        <v>0</v>
      </c>
      <c r="K13" s="67">
        <f>((Config!$F18*Commandes!K13)+IF(ROUND((K$8-Config!$C$7)/31,0)&gt;=(Config!$D18+Config!$E18),INDEX(Commandes!$C13:$BJ13,,COLUMN(K$8)-COLUMN($C$8)+1-(Config!$D18+Config!$E18)),0)*Config!$G18)*Config!$C18</f>
        <v>0</v>
      </c>
      <c r="L13" s="67">
        <f>((Config!$F18*Commandes!L13)+IF(ROUND((L$8-Config!$C$7)/31,0)&gt;=(Config!$D18+Config!$E18),INDEX(Commandes!$C13:$BJ13,,COLUMN(L$8)-COLUMN($C$8)+1-(Config!$D18+Config!$E18)),0)*Config!$G18)*Config!$C18</f>
        <v>0</v>
      </c>
      <c r="M13" s="67">
        <f>((Config!$F18*Commandes!M13)+IF(ROUND((M$8-Config!$C$7)/31,0)&gt;=(Config!$D18+Config!$E18),INDEX(Commandes!$C13:$BJ13,,COLUMN(M$8)-COLUMN($C$8)+1-(Config!$D18+Config!$E18)),0)*Config!$G18)*Config!$C18</f>
        <v>0</v>
      </c>
      <c r="N13" s="67">
        <f>((Config!$F18*Commandes!N13)+IF(ROUND((N$8-Config!$C$7)/31,0)&gt;=(Config!$D18+Config!$E18),INDEX(Commandes!$C13:$BJ13,,COLUMN(N$8)-COLUMN($C$8)+1-(Config!$D18+Config!$E18)),0)*Config!$G18)*Config!$C18</f>
        <v>0</v>
      </c>
      <c r="O13" s="67">
        <f>((Config!$F18*Commandes!O13)+IF(ROUND((O$8-Config!$C$7)/31,0)&gt;=(Config!$D18+Config!$E18),INDEX(Commandes!$C13:$BJ13,,COLUMN(O$8)-COLUMN($C$8)+1-(Config!$D18+Config!$E18)),0)*Config!$G18)*Config!$C18</f>
        <v>0</v>
      </c>
      <c r="P13" s="67">
        <f>((Config!$F18*Commandes!P13)+IF(ROUND((P$8-Config!$C$7)/31,0)&gt;=(Config!$D18+Config!$E18),INDEX(Commandes!$C13:$BJ13,,COLUMN(P$8)-COLUMN($C$8)+1-(Config!$D18+Config!$E18)),0)*Config!$G18)*Config!$C18</f>
        <v>0</v>
      </c>
      <c r="Q13" s="67">
        <f>((Config!$F18*Commandes!Q13)+IF(ROUND((Q$8-Config!$C$7)/31,0)&gt;=(Config!$D18+Config!$E18),INDEX(Commandes!$C13:$BJ13,,COLUMN(Q$8)-COLUMN($C$8)+1-(Config!$D18+Config!$E18)),0)*Config!$G18)*Config!$C18</f>
        <v>0</v>
      </c>
      <c r="R13" s="67">
        <f>((Config!$F18*Commandes!R13)+IF(ROUND((R$8-Config!$C$7)/31,0)&gt;=(Config!$D18+Config!$E18),INDEX(Commandes!$C13:$BJ13,,COLUMN(R$8)-COLUMN($C$8)+1-(Config!$D18+Config!$E18)),0)*Config!$G18)*Config!$C18</f>
        <v>0</v>
      </c>
      <c r="S13" s="67">
        <f>((Config!$F18*Commandes!S13)+IF(ROUND((S$8-Config!$C$7)/31,0)&gt;=(Config!$D18+Config!$E18),INDEX(Commandes!$C13:$BJ13,,COLUMN(S$8)-COLUMN($C$8)+1-(Config!$D18+Config!$E18)),0)*Config!$G18)*Config!$C18</f>
        <v>0</v>
      </c>
      <c r="T13" s="67">
        <f>((Config!$F18*Commandes!T13)+IF(ROUND((T$8-Config!$C$7)/31,0)&gt;=(Config!$D18+Config!$E18),INDEX(Commandes!$C13:$BJ13,,COLUMN(T$8)-COLUMN($C$8)+1-(Config!$D18+Config!$E18)),0)*Config!$G18)*Config!$C18</f>
        <v>0</v>
      </c>
      <c r="U13" s="67">
        <f>((Config!$F18*Commandes!U13)+IF(ROUND((U$8-Config!$C$7)/31,0)&gt;=(Config!$D18+Config!$E18),INDEX(Commandes!$C13:$BJ13,,COLUMN(U$8)-COLUMN($C$8)+1-(Config!$D18+Config!$E18)),0)*Config!$G18)*Config!$C18</f>
        <v>0</v>
      </c>
      <c r="V13" s="67">
        <f>((Config!$F18*Commandes!V13)+IF(ROUND((V$8-Config!$C$7)/31,0)&gt;=(Config!$D18+Config!$E18),INDEX(Commandes!$C13:$BJ13,,COLUMN(V$8)-COLUMN($C$8)+1-(Config!$D18+Config!$E18)),0)*Config!$G18)*Config!$C18</f>
        <v>0</v>
      </c>
      <c r="W13" s="67">
        <f>((Config!$F18*Commandes!W13)+IF(ROUND((W$8-Config!$C$7)/31,0)&gt;=(Config!$D18+Config!$E18),INDEX(Commandes!$C13:$BJ13,,COLUMN(W$8)-COLUMN($C$8)+1-(Config!$D18+Config!$E18)),0)*Config!$G18)*Config!$C18</f>
        <v>0</v>
      </c>
      <c r="X13" s="67">
        <f>((Config!$F18*Commandes!X13)+IF(ROUND((X$8-Config!$C$7)/31,0)&gt;=(Config!$D18+Config!$E18),INDEX(Commandes!$C13:$BJ13,,COLUMN(X$8)-COLUMN($C$8)+1-(Config!$D18+Config!$E18)),0)*Config!$G18)*Config!$C18</f>
        <v>0</v>
      </c>
      <c r="Y13" s="67">
        <f>((Config!$F18*Commandes!Y13)+IF(ROUND((Y$8-Config!$C$7)/31,0)&gt;=(Config!$D18+Config!$E18),INDEX(Commandes!$C13:$BJ13,,COLUMN(Y$8)-COLUMN($C$8)+1-(Config!$D18+Config!$E18)),0)*Config!$G18)*Config!$C18</f>
        <v>0</v>
      </c>
      <c r="Z13" s="67">
        <f>((Config!$F18*Commandes!Z13)+IF(ROUND((Z$8-Config!$C$7)/31,0)&gt;=(Config!$D18+Config!$E18),INDEX(Commandes!$C13:$BJ13,,COLUMN(Z$8)-COLUMN($C$8)+1-(Config!$D18+Config!$E18)),0)*Config!$G18)*Config!$C18</f>
        <v>0</v>
      </c>
      <c r="AA13" s="67">
        <f>((Config!$F18*Commandes!AA13)+IF(ROUND((AA$8-Config!$C$7)/31,0)&gt;=(Config!$D18+Config!$E18),INDEX(Commandes!$C13:$BJ13,,COLUMN(AA$8)-COLUMN($C$8)+1-(Config!$D18+Config!$E18)),0)*Config!$G18)*Config!$C18</f>
        <v>0</v>
      </c>
      <c r="AB13" s="67">
        <f>((Config!$F18*Commandes!AB13)+IF(ROUND((AB$8-Config!$C$7)/31,0)&gt;=(Config!$D18+Config!$E18),INDEX(Commandes!$C13:$BJ13,,COLUMN(AB$8)-COLUMN($C$8)+1-(Config!$D18+Config!$E18)),0)*Config!$G18)*Config!$C18</f>
        <v>0</v>
      </c>
      <c r="AC13" s="67">
        <f>((Config!$F18*Commandes!AC13)+IF(ROUND((AC$8-Config!$C$7)/31,0)&gt;=(Config!$D18+Config!$E18),INDEX(Commandes!$C13:$BJ13,,COLUMN(AC$8)-COLUMN($C$8)+1-(Config!$D18+Config!$E18)),0)*Config!$G18)*Config!$C18</f>
        <v>0</v>
      </c>
      <c r="AD13" s="67">
        <f>((Config!$F18*Commandes!AD13)+IF(ROUND((AD$8-Config!$C$7)/31,0)&gt;=(Config!$D18+Config!$E18),INDEX(Commandes!$C13:$BJ13,,COLUMN(AD$8)-COLUMN($C$8)+1-(Config!$D18+Config!$E18)),0)*Config!$G18)*Config!$C18</f>
        <v>0</v>
      </c>
      <c r="AE13" s="67">
        <f>((Config!$F18*Commandes!AE13)+IF(ROUND((AE$8-Config!$C$7)/31,0)&gt;=(Config!$D18+Config!$E18),INDEX(Commandes!$C13:$BJ13,,COLUMN(AE$8)-COLUMN($C$8)+1-(Config!$D18+Config!$E18)),0)*Config!$G18)*Config!$C18</f>
        <v>0</v>
      </c>
      <c r="AF13" s="67">
        <f>((Config!$F18*Commandes!AF13)+IF(ROUND((AF$8-Config!$C$7)/31,0)&gt;=(Config!$D18+Config!$E18),INDEX(Commandes!$C13:$BJ13,,COLUMN(AF$8)-COLUMN($C$8)+1-(Config!$D18+Config!$E18)),0)*Config!$G18)*Config!$C18</f>
        <v>0</v>
      </c>
      <c r="AG13" s="67">
        <f>((Config!$F18*Commandes!AG13)+IF(ROUND((AG$8-Config!$C$7)/31,0)&gt;=(Config!$D18+Config!$E18),INDEX(Commandes!$C13:$BJ13,,COLUMN(AG$8)-COLUMN($C$8)+1-(Config!$D18+Config!$E18)),0)*Config!$G18)*Config!$C18</f>
        <v>0</v>
      </c>
      <c r="AH13" s="67">
        <f>((Config!$F18*Commandes!AH13)+IF(ROUND((AH$8-Config!$C$7)/31,0)&gt;=(Config!$D18+Config!$E18),INDEX(Commandes!$C13:$BJ13,,COLUMN(AH$8)-COLUMN($C$8)+1-(Config!$D18+Config!$E18)),0)*Config!$G18)*Config!$C18</f>
        <v>0</v>
      </c>
      <c r="AI13" s="67">
        <f>((Config!$F18*Commandes!AI13)+IF(ROUND((AI$8-Config!$C$7)/31,0)&gt;=(Config!$D18+Config!$E18),INDEX(Commandes!$C13:$BJ13,,COLUMN(AI$8)-COLUMN($C$8)+1-(Config!$D18+Config!$E18)),0)*Config!$G18)*Config!$C18</f>
        <v>0</v>
      </c>
      <c r="AJ13" s="67">
        <f>((Config!$F18*Commandes!AJ13)+IF(ROUND((AJ$8-Config!$C$7)/31,0)&gt;=(Config!$D18+Config!$E18),INDEX(Commandes!$C13:$BJ13,,COLUMN(AJ$8)-COLUMN($C$8)+1-(Config!$D18+Config!$E18)),0)*Config!$G18)*Config!$C18</f>
        <v>0</v>
      </c>
      <c r="AK13" s="67">
        <f>((Config!$F18*Commandes!AK13)+IF(ROUND((AK$8-Config!$C$7)/31,0)&gt;=(Config!$D18+Config!$E18),INDEX(Commandes!$C13:$BJ13,,COLUMN(AK$8)-COLUMN($C$8)+1-(Config!$D18+Config!$E18)),0)*Config!$G18)*Config!$C18</f>
        <v>0</v>
      </c>
      <c r="AL13" s="67">
        <f>((Config!$F18*Commandes!AL13)+IF(ROUND((AL$8-Config!$C$7)/31,0)&gt;=(Config!$D18+Config!$E18),INDEX(Commandes!$C13:$BJ13,,COLUMN(AL$8)-COLUMN($C$8)+1-(Config!$D18+Config!$E18)),0)*Config!$G18)*Config!$C18</f>
        <v>0</v>
      </c>
      <c r="AM13" s="67">
        <f>((Config!$F18*Commandes!AM13)+IF(ROUND((AM$8-Config!$C$7)/31,0)&gt;=(Config!$D18+Config!$E18),INDEX(Commandes!$C13:$BJ13,,COLUMN(AM$8)-COLUMN($C$8)+1-(Config!$D18+Config!$E18)),0)*Config!$G18)*Config!$C18</f>
        <v>0</v>
      </c>
      <c r="AN13" s="67">
        <f>((Config!$F18*Commandes!AN13)+IF(ROUND((AN$8-Config!$C$7)/31,0)&gt;=(Config!$D18+Config!$E18),INDEX(Commandes!$C13:$BJ13,,COLUMN(AN$8)-COLUMN($C$8)+1-(Config!$D18+Config!$E18)),0)*Config!$G18)*Config!$C18</f>
        <v>0</v>
      </c>
      <c r="AO13" s="67">
        <f>((Config!$F18*Commandes!AO13)+IF(ROUND((AO$8-Config!$C$7)/31,0)&gt;=(Config!$D18+Config!$E18),INDEX(Commandes!$C13:$BJ13,,COLUMN(AO$8)-COLUMN($C$8)+1-(Config!$D18+Config!$E18)),0)*Config!$G18)*Config!$C18</f>
        <v>0</v>
      </c>
      <c r="AP13" s="67">
        <f>((Config!$F18*Commandes!AP13)+IF(ROUND((AP$8-Config!$C$7)/31,0)&gt;=(Config!$D18+Config!$E18),INDEX(Commandes!$C13:$BJ13,,COLUMN(AP$8)-COLUMN($C$8)+1-(Config!$D18+Config!$E18)),0)*Config!$G18)*Config!$C18</f>
        <v>0</v>
      </c>
      <c r="AQ13" s="67">
        <f>((Config!$F18*Commandes!AQ13)+IF(ROUND((AQ$8-Config!$C$7)/31,0)&gt;=(Config!$D18+Config!$E18),INDEX(Commandes!$C13:$BJ13,,COLUMN(AQ$8)-COLUMN($C$8)+1-(Config!$D18+Config!$E18)),0)*Config!$G18)*Config!$C18</f>
        <v>0</v>
      </c>
      <c r="AR13" s="67">
        <f>((Config!$F18*Commandes!AR13)+IF(ROUND((AR$8-Config!$C$7)/31,0)&gt;=(Config!$D18+Config!$E18),INDEX(Commandes!$C13:$BJ13,,COLUMN(AR$8)-COLUMN($C$8)+1-(Config!$D18+Config!$E18)),0)*Config!$G18)*Config!$C18</f>
        <v>0</v>
      </c>
      <c r="AS13" s="67">
        <f>((Config!$F18*Commandes!AS13)+IF(ROUND((AS$8-Config!$C$7)/31,0)&gt;=(Config!$D18+Config!$E18),INDEX(Commandes!$C13:$BJ13,,COLUMN(AS$8)-COLUMN($C$8)+1-(Config!$D18+Config!$E18)),0)*Config!$G18)*Config!$C18</f>
        <v>0</v>
      </c>
      <c r="AT13" s="67">
        <f>((Config!$F18*Commandes!AT13)+IF(ROUND((AT$8-Config!$C$7)/31,0)&gt;=(Config!$D18+Config!$E18),INDEX(Commandes!$C13:$BJ13,,COLUMN(AT$8)-COLUMN($C$8)+1-(Config!$D18+Config!$E18)),0)*Config!$G18)*Config!$C18</f>
        <v>0</v>
      </c>
      <c r="AU13" s="67">
        <f>((Config!$F18*Commandes!AU13)+IF(ROUND((AU$8-Config!$C$7)/31,0)&gt;=(Config!$D18+Config!$E18),INDEX(Commandes!$C13:$BJ13,,COLUMN(AU$8)-COLUMN($C$8)+1-(Config!$D18+Config!$E18)),0)*Config!$G18)*Config!$C18</f>
        <v>0</v>
      </c>
      <c r="AV13" s="67">
        <f>((Config!$F18*Commandes!AV13)+IF(ROUND((AV$8-Config!$C$7)/31,0)&gt;=(Config!$D18+Config!$E18),INDEX(Commandes!$C13:$BJ13,,COLUMN(AV$8)-COLUMN($C$8)+1-(Config!$D18+Config!$E18)),0)*Config!$G18)*Config!$C18</f>
        <v>0</v>
      </c>
      <c r="AW13" s="67">
        <f>((Config!$F18*Commandes!AW13)+IF(ROUND((AW$8-Config!$C$7)/31,0)&gt;=(Config!$D18+Config!$E18),INDEX(Commandes!$C13:$BJ13,,COLUMN(AW$8)-COLUMN($C$8)+1-(Config!$D18+Config!$E18)),0)*Config!$G18)*Config!$C18</f>
        <v>0</v>
      </c>
      <c r="AX13" s="67">
        <f>((Config!$F18*Commandes!AX13)+IF(ROUND((AX$8-Config!$C$7)/31,0)&gt;=(Config!$D18+Config!$E18),INDEX(Commandes!$C13:$BJ13,,COLUMN(AX$8)-COLUMN($C$8)+1-(Config!$D18+Config!$E18)),0)*Config!$G18)*Config!$C18</f>
        <v>0</v>
      </c>
      <c r="AY13" s="67">
        <f>((Config!$F18*Commandes!AY13)+IF(ROUND((AY$8-Config!$C$7)/31,0)&gt;=(Config!$D18+Config!$E18),INDEX(Commandes!$C13:$BJ13,,COLUMN(AY$8)-COLUMN($C$8)+1-(Config!$D18+Config!$E18)),0)*Config!$G18)*Config!$C18</f>
        <v>0</v>
      </c>
      <c r="AZ13" s="67">
        <f>((Config!$F18*Commandes!AZ13)+IF(ROUND((AZ$8-Config!$C$7)/31,0)&gt;=(Config!$D18+Config!$E18),INDEX(Commandes!$C13:$BJ13,,COLUMN(AZ$8)-COLUMN($C$8)+1-(Config!$D18+Config!$E18)),0)*Config!$G18)*Config!$C18</f>
        <v>0</v>
      </c>
      <c r="BA13" s="67">
        <f>((Config!$F18*Commandes!BA13)+IF(ROUND((BA$8-Config!$C$7)/31,0)&gt;=(Config!$D18+Config!$E18),INDEX(Commandes!$C13:$BJ13,,COLUMN(BA$8)-COLUMN($C$8)+1-(Config!$D18+Config!$E18)),0)*Config!$G18)*Config!$C18</f>
        <v>0</v>
      </c>
      <c r="BB13" s="67">
        <f>((Config!$F18*Commandes!BB13)+IF(ROUND((BB$8-Config!$C$7)/31,0)&gt;=(Config!$D18+Config!$E18),INDEX(Commandes!$C13:$BJ13,,COLUMN(BB$8)-COLUMN($C$8)+1-(Config!$D18+Config!$E18)),0)*Config!$G18)*Config!$C18</f>
        <v>0</v>
      </c>
      <c r="BC13" s="67">
        <f>((Config!$F18*Commandes!BC13)+IF(ROUND((BC$8-Config!$C$7)/31,0)&gt;=(Config!$D18+Config!$E18),INDEX(Commandes!$C13:$BJ13,,COLUMN(BC$8)-COLUMN($C$8)+1-(Config!$D18+Config!$E18)),0)*Config!$G18)*Config!$C18</f>
        <v>0</v>
      </c>
      <c r="BD13" s="67">
        <f>((Config!$F18*Commandes!BD13)+IF(ROUND((BD$8-Config!$C$7)/31,0)&gt;=(Config!$D18+Config!$E18),INDEX(Commandes!$C13:$BJ13,,COLUMN(BD$8)-COLUMN($C$8)+1-(Config!$D18+Config!$E18)),0)*Config!$G18)*Config!$C18</f>
        <v>0</v>
      </c>
      <c r="BE13" s="67">
        <f>((Config!$F18*Commandes!BE13)+IF(ROUND((BE$8-Config!$C$7)/31,0)&gt;=(Config!$D18+Config!$E18),INDEX(Commandes!$C13:$BJ13,,COLUMN(BE$8)-COLUMN($C$8)+1-(Config!$D18+Config!$E18)),0)*Config!$G18)*Config!$C18</f>
        <v>0</v>
      </c>
      <c r="BF13" s="67">
        <f>((Config!$F18*Commandes!BF13)+IF(ROUND((BF$8-Config!$C$7)/31,0)&gt;=(Config!$D18+Config!$E18),INDEX(Commandes!$C13:$BJ13,,COLUMN(BF$8)-COLUMN($C$8)+1-(Config!$D18+Config!$E18)),0)*Config!$G18)*Config!$C18</f>
        <v>0</v>
      </c>
      <c r="BG13" s="67">
        <f>((Config!$F18*Commandes!BG13)+IF(ROUND((BG$8-Config!$C$7)/31,0)&gt;=(Config!$D18+Config!$E18),INDEX(Commandes!$C13:$BJ13,,COLUMN(BG$8)-COLUMN($C$8)+1-(Config!$D18+Config!$E18)),0)*Config!$G18)*Config!$C18</f>
        <v>0</v>
      </c>
      <c r="BH13" s="67">
        <f>((Config!$F18*Commandes!BH13)+IF(ROUND((BH$8-Config!$C$7)/31,0)&gt;=(Config!$D18+Config!$E18),INDEX(Commandes!$C13:$BJ13,,COLUMN(BH$8)-COLUMN($C$8)+1-(Config!$D18+Config!$E18)),0)*Config!$G18)*Config!$C18</f>
        <v>0</v>
      </c>
      <c r="BI13" s="67">
        <f>((Config!$F18*Commandes!BI13)+IF(ROUND((BI$8-Config!$C$7)/31,0)&gt;=(Config!$D18+Config!$E18),INDEX(Commandes!$C13:$BJ13,,COLUMN(BI$8)-COLUMN($C$8)+1-(Config!$D18+Config!$E18)),0)*Config!$G18)*Config!$C18</f>
        <v>0</v>
      </c>
      <c r="BJ13" s="67">
        <f>((Config!$F18*Commandes!BJ13)+IF(ROUND((BJ$8-Config!$C$7)/31,0)&gt;=(Config!$D18+Config!$E18),INDEX(Commandes!$C13:$BJ13,,COLUMN(BJ$8)-COLUMN($C$8)+1-(Config!$D18+Config!$E18)),0)*Config!$G18)*Config!$C18</f>
        <v>0</v>
      </c>
      <c r="BK13" s="70"/>
    </row>
    <row r="14" spans="2:63" x14ac:dyDescent="0.2">
      <c r="B14" s="46">
        <f>Config!$B$19</f>
        <v>0</v>
      </c>
      <c r="C14" s="67">
        <f>((Config!$F19*Commandes!C14)+IF(ROUND((C$8-Config!$C$7)/31,0)&gt;=(Config!$D19+Config!$E19),INDEX(Commandes!$C14:$BJ14,,COLUMN(C$8)-COLUMN($C$8)+1-(Config!$D19+Config!$E19)),0)*Config!$G19)*Config!$C19</f>
        <v>0</v>
      </c>
      <c r="D14" s="67">
        <f>((Config!$F19*Commandes!D14)+IF(ROUND((D$8-Config!$C$7)/31,0)&gt;=(Config!$D19+Config!$E19),INDEX(Commandes!$C14:$BJ14,,COLUMN(D$8)-COLUMN($C$8)+1-(Config!$D19+Config!$E19)),0)*Config!$G19)*Config!$C19</f>
        <v>0</v>
      </c>
      <c r="E14" s="67">
        <f>((Config!$F19*Commandes!E14)+IF(ROUND((E$8-Config!$C$7)/31,0)&gt;=(Config!$D19+Config!$E19),INDEX(Commandes!$C14:$BJ14,,COLUMN(E$8)-COLUMN($C$8)+1-(Config!$D19+Config!$E19)),0)*Config!$G19)*Config!$C19</f>
        <v>0</v>
      </c>
      <c r="F14" s="67">
        <f>((Config!$F19*Commandes!F14)+IF(ROUND((F$8-Config!$C$7)/31,0)&gt;=(Config!$D19+Config!$E19),INDEX(Commandes!$C14:$BJ14,,COLUMN(F$8)-COLUMN($C$8)+1-(Config!$D19+Config!$E19)),0)*Config!$G19)*Config!$C19</f>
        <v>0</v>
      </c>
      <c r="G14" s="67">
        <f>((Config!$F19*Commandes!G14)+IF(ROUND((G$8-Config!$C$7)/31,0)&gt;=(Config!$D19+Config!$E19),INDEX(Commandes!$C14:$BJ14,,COLUMN(G$8)-COLUMN($C$8)+1-(Config!$D19+Config!$E19)),0)*Config!$G19)*Config!$C19</f>
        <v>0</v>
      </c>
      <c r="H14" s="67">
        <f>((Config!$F19*Commandes!H14)+IF(ROUND((H$8-Config!$C$7)/31,0)&gt;=(Config!$D19+Config!$E19),INDEX(Commandes!$C14:$BJ14,,COLUMN(H$8)-COLUMN($C$8)+1-(Config!$D19+Config!$E19)),0)*Config!$G19)*Config!$C19</f>
        <v>0</v>
      </c>
      <c r="I14" s="67">
        <f>((Config!$F19*Commandes!I14)+IF(ROUND((I$8-Config!$C$7)/31,0)&gt;=(Config!$D19+Config!$E19),INDEX(Commandes!$C14:$BJ14,,COLUMN(I$8)-COLUMN($C$8)+1-(Config!$D19+Config!$E19)),0)*Config!$G19)*Config!$C19</f>
        <v>0</v>
      </c>
      <c r="J14" s="67">
        <f>((Config!$F19*Commandes!J14)+IF(ROUND((J$8-Config!$C$7)/31,0)&gt;=(Config!$D19+Config!$E19),INDEX(Commandes!$C14:$BJ14,,COLUMN(J$8)-COLUMN($C$8)+1-(Config!$D19+Config!$E19)),0)*Config!$G19)*Config!$C19</f>
        <v>0</v>
      </c>
      <c r="K14" s="67">
        <f>((Config!$F19*Commandes!K14)+IF(ROUND((K$8-Config!$C$7)/31,0)&gt;=(Config!$D19+Config!$E19),INDEX(Commandes!$C14:$BJ14,,COLUMN(K$8)-COLUMN($C$8)+1-(Config!$D19+Config!$E19)),0)*Config!$G19)*Config!$C19</f>
        <v>0</v>
      </c>
      <c r="L14" s="67">
        <f>((Config!$F19*Commandes!L14)+IF(ROUND((L$8-Config!$C$7)/31,0)&gt;=(Config!$D19+Config!$E19),INDEX(Commandes!$C14:$BJ14,,COLUMN(L$8)-COLUMN($C$8)+1-(Config!$D19+Config!$E19)),0)*Config!$G19)*Config!$C19</f>
        <v>0</v>
      </c>
      <c r="M14" s="67">
        <f>((Config!$F19*Commandes!M14)+IF(ROUND((M$8-Config!$C$7)/31,0)&gt;=(Config!$D19+Config!$E19),INDEX(Commandes!$C14:$BJ14,,COLUMN(M$8)-COLUMN($C$8)+1-(Config!$D19+Config!$E19)),0)*Config!$G19)*Config!$C19</f>
        <v>0</v>
      </c>
      <c r="N14" s="67">
        <f>((Config!$F19*Commandes!N14)+IF(ROUND((N$8-Config!$C$7)/31,0)&gt;=(Config!$D19+Config!$E19),INDEX(Commandes!$C14:$BJ14,,COLUMN(N$8)-COLUMN($C$8)+1-(Config!$D19+Config!$E19)),0)*Config!$G19)*Config!$C19</f>
        <v>0</v>
      </c>
      <c r="O14" s="67">
        <f>((Config!$F19*Commandes!O14)+IF(ROUND((O$8-Config!$C$7)/31,0)&gt;=(Config!$D19+Config!$E19),INDEX(Commandes!$C14:$BJ14,,COLUMN(O$8)-COLUMN($C$8)+1-(Config!$D19+Config!$E19)),0)*Config!$G19)*Config!$C19</f>
        <v>0</v>
      </c>
      <c r="P14" s="67">
        <f>((Config!$F19*Commandes!P14)+IF(ROUND((P$8-Config!$C$7)/31,0)&gt;=(Config!$D19+Config!$E19),INDEX(Commandes!$C14:$BJ14,,COLUMN(P$8)-COLUMN($C$8)+1-(Config!$D19+Config!$E19)),0)*Config!$G19)*Config!$C19</f>
        <v>0</v>
      </c>
      <c r="Q14" s="67">
        <f>((Config!$F19*Commandes!Q14)+IF(ROUND((Q$8-Config!$C$7)/31,0)&gt;=(Config!$D19+Config!$E19),INDEX(Commandes!$C14:$BJ14,,COLUMN(Q$8)-COLUMN($C$8)+1-(Config!$D19+Config!$E19)),0)*Config!$G19)*Config!$C19</f>
        <v>0</v>
      </c>
      <c r="R14" s="67">
        <f>((Config!$F19*Commandes!R14)+IF(ROUND((R$8-Config!$C$7)/31,0)&gt;=(Config!$D19+Config!$E19),INDEX(Commandes!$C14:$BJ14,,COLUMN(R$8)-COLUMN($C$8)+1-(Config!$D19+Config!$E19)),0)*Config!$G19)*Config!$C19</f>
        <v>0</v>
      </c>
      <c r="S14" s="67">
        <f>((Config!$F19*Commandes!S14)+IF(ROUND((S$8-Config!$C$7)/31,0)&gt;=(Config!$D19+Config!$E19),INDEX(Commandes!$C14:$BJ14,,COLUMN(S$8)-COLUMN($C$8)+1-(Config!$D19+Config!$E19)),0)*Config!$G19)*Config!$C19</f>
        <v>0</v>
      </c>
      <c r="T14" s="67">
        <f>((Config!$F19*Commandes!T14)+IF(ROUND((T$8-Config!$C$7)/31,0)&gt;=(Config!$D19+Config!$E19),INDEX(Commandes!$C14:$BJ14,,COLUMN(T$8)-COLUMN($C$8)+1-(Config!$D19+Config!$E19)),0)*Config!$G19)*Config!$C19</f>
        <v>0</v>
      </c>
      <c r="U14" s="67">
        <f>((Config!$F19*Commandes!U14)+IF(ROUND((U$8-Config!$C$7)/31,0)&gt;=(Config!$D19+Config!$E19),INDEX(Commandes!$C14:$BJ14,,COLUMN(U$8)-COLUMN($C$8)+1-(Config!$D19+Config!$E19)),0)*Config!$G19)*Config!$C19</f>
        <v>0</v>
      </c>
      <c r="V14" s="67">
        <f>((Config!$F19*Commandes!V14)+IF(ROUND((V$8-Config!$C$7)/31,0)&gt;=(Config!$D19+Config!$E19),INDEX(Commandes!$C14:$BJ14,,COLUMN(V$8)-COLUMN($C$8)+1-(Config!$D19+Config!$E19)),0)*Config!$G19)*Config!$C19</f>
        <v>0</v>
      </c>
      <c r="W14" s="67">
        <f>((Config!$F19*Commandes!W14)+IF(ROUND((W$8-Config!$C$7)/31,0)&gt;=(Config!$D19+Config!$E19),INDEX(Commandes!$C14:$BJ14,,COLUMN(W$8)-COLUMN($C$8)+1-(Config!$D19+Config!$E19)),0)*Config!$G19)*Config!$C19</f>
        <v>0</v>
      </c>
      <c r="X14" s="67">
        <f>((Config!$F19*Commandes!X14)+IF(ROUND((X$8-Config!$C$7)/31,0)&gt;=(Config!$D19+Config!$E19),INDEX(Commandes!$C14:$BJ14,,COLUMN(X$8)-COLUMN($C$8)+1-(Config!$D19+Config!$E19)),0)*Config!$G19)*Config!$C19</f>
        <v>0</v>
      </c>
      <c r="Y14" s="67">
        <f>((Config!$F19*Commandes!Y14)+IF(ROUND((Y$8-Config!$C$7)/31,0)&gt;=(Config!$D19+Config!$E19),INDEX(Commandes!$C14:$BJ14,,COLUMN(Y$8)-COLUMN($C$8)+1-(Config!$D19+Config!$E19)),0)*Config!$G19)*Config!$C19</f>
        <v>0</v>
      </c>
      <c r="Z14" s="67">
        <f>((Config!$F19*Commandes!Z14)+IF(ROUND((Z$8-Config!$C$7)/31,0)&gt;=(Config!$D19+Config!$E19),INDEX(Commandes!$C14:$BJ14,,COLUMN(Z$8)-COLUMN($C$8)+1-(Config!$D19+Config!$E19)),0)*Config!$G19)*Config!$C19</f>
        <v>0</v>
      </c>
      <c r="AA14" s="67">
        <f>((Config!$F19*Commandes!AA14)+IF(ROUND((AA$8-Config!$C$7)/31,0)&gt;=(Config!$D19+Config!$E19),INDEX(Commandes!$C14:$BJ14,,COLUMN(AA$8)-COLUMN($C$8)+1-(Config!$D19+Config!$E19)),0)*Config!$G19)*Config!$C19</f>
        <v>0</v>
      </c>
      <c r="AB14" s="67">
        <f>((Config!$F19*Commandes!AB14)+IF(ROUND((AB$8-Config!$C$7)/31,0)&gt;=(Config!$D19+Config!$E19),INDEX(Commandes!$C14:$BJ14,,COLUMN(AB$8)-COLUMN($C$8)+1-(Config!$D19+Config!$E19)),0)*Config!$G19)*Config!$C19</f>
        <v>0</v>
      </c>
      <c r="AC14" s="67">
        <f>((Config!$F19*Commandes!AC14)+IF(ROUND((AC$8-Config!$C$7)/31,0)&gt;=(Config!$D19+Config!$E19),INDEX(Commandes!$C14:$BJ14,,COLUMN(AC$8)-COLUMN($C$8)+1-(Config!$D19+Config!$E19)),0)*Config!$G19)*Config!$C19</f>
        <v>0</v>
      </c>
      <c r="AD14" s="67">
        <f>((Config!$F19*Commandes!AD14)+IF(ROUND((AD$8-Config!$C$7)/31,0)&gt;=(Config!$D19+Config!$E19),INDEX(Commandes!$C14:$BJ14,,COLUMN(AD$8)-COLUMN($C$8)+1-(Config!$D19+Config!$E19)),0)*Config!$G19)*Config!$C19</f>
        <v>0</v>
      </c>
      <c r="AE14" s="67">
        <f>((Config!$F19*Commandes!AE14)+IF(ROUND((AE$8-Config!$C$7)/31,0)&gt;=(Config!$D19+Config!$E19),INDEX(Commandes!$C14:$BJ14,,COLUMN(AE$8)-COLUMN($C$8)+1-(Config!$D19+Config!$E19)),0)*Config!$G19)*Config!$C19</f>
        <v>0</v>
      </c>
      <c r="AF14" s="67">
        <f>((Config!$F19*Commandes!AF14)+IF(ROUND((AF$8-Config!$C$7)/31,0)&gt;=(Config!$D19+Config!$E19),INDEX(Commandes!$C14:$BJ14,,COLUMN(AF$8)-COLUMN($C$8)+1-(Config!$D19+Config!$E19)),0)*Config!$G19)*Config!$C19</f>
        <v>0</v>
      </c>
      <c r="AG14" s="67">
        <f>((Config!$F19*Commandes!AG14)+IF(ROUND((AG$8-Config!$C$7)/31,0)&gt;=(Config!$D19+Config!$E19),INDEX(Commandes!$C14:$BJ14,,COLUMN(AG$8)-COLUMN($C$8)+1-(Config!$D19+Config!$E19)),0)*Config!$G19)*Config!$C19</f>
        <v>0</v>
      </c>
      <c r="AH14" s="67">
        <f>((Config!$F19*Commandes!AH14)+IF(ROUND((AH$8-Config!$C$7)/31,0)&gt;=(Config!$D19+Config!$E19),INDEX(Commandes!$C14:$BJ14,,COLUMN(AH$8)-COLUMN($C$8)+1-(Config!$D19+Config!$E19)),0)*Config!$G19)*Config!$C19</f>
        <v>0</v>
      </c>
      <c r="AI14" s="67">
        <f>((Config!$F19*Commandes!AI14)+IF(ROUND((AI$8-Config!$C$7)/31,0)&gt;=(Config!$D19+Config!$E19),INDEX(Commandes!$C14:$BJ14,,COLUMN(AI$8)-COLUMN($C$8)+1-(Config!$D19+Config!$E19)),0)*Config!$G19)*Config!$C19</f>
        <v>0</v>
      </c>
      <c r="AJ14" s="67">
        <f>((Config!$F19*Commandes!AJ14)+IF(ROUND((AJ$8-Config!$C$7)/31,0)&gt;=(Config!$D19+Config!$E19),INDEX(Commandes!$C14:$BJ14,,COLUMN(AJ$8)-COLUMN($C$8)+1-(Config!$D19+Config!$E19)),0)*Config!$G19)*Config!$C19</f>
        <v>0</v>
      </c>
      <c r="AK14" s="67">
        <f>((Config!$F19*Commandes!AK14)+IF(ROUND((AK$8-Config!$C$7)/31,0)&gt;=(Config!$D19+Config!$E19),INDEX(Commandes!$C14:$BJ14,,COLUMN(AK$8)-COLUMN($C$8)+1-(Config!$D19+Config!$E19)),0)*Config!$G19)*Config!$C19</f>
        <v>0</v>
      </c>
      <c r="AL14" s="67">
        <f>((Config!$F19*Commandes!AL14)+IF(ROUND((AL$8-Config!$C$7)/31,0)&gt;=(Config!$D19+Config!$E19),INDEX(Commandes!$C14:$BJ14,,COLUMN(AL$8)-COLUMN($C$8)+1-(Config!$D19+Config!$E19)),0)*Config!$G19)*Config!$C19</f>
        <v>0</v>
      </c>
      <c r="AM14" s="67">
        <f>((Config!$F19*Commandes!AM14)+IF(ROUND((AM$8-Config!$C$7)/31,0)&gt;=(Config!$D19+Config!$E19),INDEX(Commandes!$C14:$BJ14,,COLUMN(AM$8)-COLUMN($C$8)+1-(Config!$D19+Config!$E19)),0)*Config!$G19)*Config!$C19</f>
        <v>0</v>
      </c>
      <c r="AN14" s="67">
        <f>((Config!$F19*Commandes!AN14)+IF(ROUND((AN$8-Config!$C$7)/31,0)&gt;=(Config!$D19+Config!$E19),INDEX(Commandes!$C14:$BJ14,,COLUMN(AN$8)-COLUMN($C$8)+1-(Config!$D19+Config!$E19)),0)*Config!$G19)*Config!$C19</f>
        <v>0</v>
      </c>
      <c r="AO14" s="67">
        <f>((Config!$F19*Commandes!AO14)+IF(ROUND((AO$8-Config!$C$7)/31,0)&gt;=(Config!$D19+Config!$E19),INDEX(Commandes!$C14:$BJ14,,COLUMN(AO$8)-COLUMN($C$8)+1-(Config!$D19+Config!$E19)),0)*Config!$G19)*Config!$C19</f>
        <v>0</v>
      </c>
      <c r="AP14" s="67">
        <f>((Config!$F19*Commandes!AP14)+IF(ROUND((AP$8-Config!$C$7)/31,0)&gt;=(Config!$D19+Config!$E19),INDEX(Commandes!$C14:$BJ14,,COLUMN(AP$8)-COLUMN($C$8)+1-(Config!$D19+Config!$E19)),0)*Config!$G19)*Config!$C19</f>
        <v>0</v>
      </c>
      <c r="AQ14" s="67">
        <f>((Config!$F19*Commandes!AQ14)+IF(ROUND((AQ$8-Config!$C$7)/31,0)&gt;=(Config!$D19+Config!$E19),INDEX(Commandes!$C14:$BJ14,,COLUMN(AQ$8)-COLUMN($C$8)+1-(Config!$D19+Config!$E19)),0)*Config!$G19)*Config!$C19</f>
        <v>0</v>
      </c>
      <c r="AR14" s="67">
        <f>((Config!$F19*Commandes!AR14)+IF(ROUND((AR$8-Config!$C$7)/31,0)&gt;=(Config!$D19+Config!$E19),INDEX(Commandes!$C14:$BJ14,,COLUMN(AR$8)-COLUMN($C$8)+1-(Config!$D19+Config!$E19)),0)*Config!$G19)*Config!$C19</f>
        <v>0</v>
      </c>
      <c r="AS14" s="67">
        <f>((Config!$F19*Commandes!AS14)+IF(ROUND((AS$8-Config!$C$7)/31,0)&gt;=(Config!$D19+Config!$E19),INDEX(Commandes!$C14:$BJ14,,COLUMN(AS$8)-COLUMN($C$8)+1-(Config!$D19+Config!$E19)),0)*Config!$G19)*Config!$C19</f>
        <v>0</v>
      </c>
      <c r="AT14" s="67">
        <f>((Config!$F19*Commandes!AT14)+IF(ROUND((AT$8-Config!$C$7)/31,0)&gt;=(Config!$D19+Config!$E19),INDEX(Commandes!$C14:$BJ14,,COLUMN(AT$8)-COLUMN($C$8)+1-(Config!$D19+Config!$E19)),0)*Config!$G19)*Config!$C19</f>
        <v>0</v>
      </c>
      <c r="AU14" s="67">
        <f>((Config!$F19*Commandes!AU14)+IF(ROUND((AU$8-Config!$C$7)/31,0)&gt;=(Config!$D19+Config!$E19),INDEX(Commandes!$C14:$BJ14,,COLUMN(AU$8)-COLUMN($C$8)+1-(Config!$D19+Config!$E19)),0)*Config!$G19)*Config!$C19</f>
        <v>0</v>
      </c>
      <c r="AV14" s="67">
        <f>((Config!$F19*Commandes!AV14)+IF(ROUND((AV$8-Config!$C$7)/31,0)&gt;=(Config!$D19+Config!$E19),INDEX(Commandes!$C14:$BJ14,,COLUMN(AV$8)-COLUMN($C$8)+1-(Config!$D19+Config!$E19)),0)*Config!$G19)*Config!$C19</f>
        <v>0</v>
      </c>
      <c r="AW14" s="67">
        <f>((Config!$F19*Commandes!AW14)+IF(ROUND((AW$8-Config!$C$7)/31,0)&gt;=(Config!$D19+Config!$E19),INDEX(Commandes!$C14:$BJ14,,COLUMN(AW$8)-COLUMN($C$8)+1-(Config!$D19+Config!$E19)),0)*Config!$G19)*Config!$C19</f>
        <v>0</v>
      </c>
      <c r="AX14" s="67">
        <f>((Config!$F19*Commandes!AX14)+IF(ROUND((AX$8-Config!$C$7)/31,0)&gt;=(Config!$D19+Config!$E19),INDEX(Commandes!$C14:$BJ14,,COLUMN(AX$8)-COLUMN($C$8)+1-(Config!$D19+Config!$E19)),0)*Config!$G19)*Config!$C19</f>
        <v>0</v>
      </c>
      <c r="AY14" s="67">
        <f>((Config!$F19*Commandes!AY14)+IF(ROUND((AY$8-Config!$C$7)/31,0)&gt;=(Config!$D19+Config!$E19),INDEX(Commandes!$C14:$BJ14,,COLUMN(AY$8)-COLUMN($C$8)+1-(Config!$D19+Config!$E19)),0)*Config!$G19)*Config!$C19</f>
        <v>0</v>
      </c>
      <c r="AZ14" s="67">
        <f>((Config!$F19*Commandes!AZ14)+IF(ROUND((AZ$8-Config!$C$7)/31,0)&gt;=(Config!$D19+Config!$E19),INDEX(Commandes!$C14:$BJ14,,COLUMN(AZ$8)-COLUMN($C$8)+1-(Config!$D19+Config!$E19)),0)*Config!$G19)*Config!$C19</f>
        <v>0</v>
      </c>
      <c r="BA14" s="67">
        <f>((Config!$F19*Commandes!BA14)+IF(ROUND((BA$8-Config!$C$7)/31,0)&gt;=(Config!$D19+Config!$E19),INDEX(Commandes!$C14:$BJ14,,COLUMN(BA$8)-COLUMN($C$8)+1-(Config!$D19+Config!$E19)),0)*Config!$G19)*Config!$C19</f>
        <v>0</v>
      </c>
      <c r="BB14" s="67">
        <f>((Config!$F19*Commandes!BB14)+IF(ROUND((BB$8-Config!$C$7)/31,0)&gt;=(Config!$D19+Config!$E19),INDEX(Commandes!$C14:$BJ14,,COLUMN(BB$8)-COLUMN($C$8)+1-(Config!$D19+Config!$E19)),0)*Config!$G19)*Config!$C19</f>
        <v>0</v>
      </c>
      <c r="BC14" s="67">
        <f>((Config!$F19*Commandes!BC14)+IF(ROUND((BC$8-Config!$C$7)/31,0)&gt;=(Config!$D19+Config!$E19),INDEX(Commandes!$C14:$BJ14,,COLUMN(BC$8)-COLUMN($C$8)+1-(Config!$D19+Config!$E19)),0)*Config!$G19)*Config!$C19</f>
        <v>0</v>
      </c>
      <c r="BD14" s="67">
        <f>((Config!$F19*Commandes!BD14)+IF(ROUND((BD$8-Config!$C$7)/31,0)&gt;=(Config!$D19+Config!$E19),INDEX(Commandes!$C14:$BJ14,,COLUMN(BD$8)-COLUMN($C$8)+1-(Config!$D19+Config!$E19)),0)*Config!$G19)*Config!$C19</f>
        <v>0</v>
      </c>
      <c r="BE14" s="67">
        <f>((Config!$F19*Commandes!BE14)+IF(ROUND((BE$8-Config!$C$7)/31,0)&gt;=(Config!$D19+Config!$E19),INDEX(Commandes!$C14:$BJ14,,COLUMN(BE$8)-COLUMN($C$8)+1-(Config!$D19+Config!$E19)),0)*Config!$G19)*Config!$C19</f>
        <v>0</v>
      </c>
      <c r="BF14" s="67">
        <f>((Config!$F19*Commandes!BF14)+IF(ROUND((BF$8-Config!$C$7)/31,0)&gt;=(Config!$D19+Config!$E19),INDEX(Commandes!$C14:$BJ14,,COLUMN(BF$8)-COLUMN($C$8)+1-(Config!$D19+Config!$E19)),0)*Config!$G19)*Config!$C19</f>
        <v>0</v>
      </c>
      <c r="BG14" s="67">
        <f>((Config!$F19*Commandes!BG14)+IF(ROUND((BG$8-Config!$C$7)/31,0)&gt;=(Config!$D19+Config!$E19),INDEX(Commandes!$C14:$BJ14,,COLUMN(BG$8)-COLUMN($C$8)+1-(Config!$D19+Config!$E19)),0)*Config!$G19)*Config!$C19</f>
        <v>0</v>
      </c>
      <c r="BH14" s="67">
        <f>((Config!$F19*Commandes!BH14)+IF(ROUND((BH$8-Config!$C$7)/31,0)&gt;=(Config!$D19+Config!$E19),INDEX(Commandes!$C14:$BJ14,,COLUMN(BH$8)-COLUMN($C$8)+1-(Config!$D19+Config!$E19)),0)*Config!$G19)*Config!$C19</f>
        <v>0</v>
      </c>
      <c r="BI14" s="67">
        <f>((Config!$F19*Commandes!BI14)+IF(ROUND((BI$8-Config!$C$7)/31,0)&gt;=(Config!$D19+Config!$E19),INDEX(Commandes!$C14:$BJ14,,COLUMN(BI$8)-COLUMN($C$8)+1-(Config!$D19+Config!$E19)),0)*Config!$G19)*Config!$C19</f>
        <v>0</v>
      </c>
      <c r="BJ14" s="67">
        <f>((Config!$F19*Commandes!BJ14)+IF(ROUND((BJ$8-Config!$C$7)/31,0)&gt;=(Config!$D19+Config!$E19),INDEX(Commandes!$C14:$BJ14,,COLUMN(BJ$8)-COLUMN($C$8)+1-(Config!$D19+Config!$E19)),0)*Config!$G19)*Config!$C19</f>
        <v>0</v>
      </c>
      <c r="BK14" s="70"/>
    </row>
    <row r="15" spans="2:63" x14ac:dyDescent="0.2">
      <c r="B15" s="46">
        <f>Config!$B$20</f>
        <v>0</v>
      </c>
      <c r="C15" s="67">
        <f>((Config!$F20*Commandes!C15)+IF(ROUND((C$8-Config!$C$7)/31,0)&gt;=(Config!$D20+Config!$E20),INDEX(Commandes!$C15:$BJ15,,COLUMN(C$8)-COLUMN($C$8)+1-(Config!$D20+Config!$E20)),0)*Config!$G20)*Config!$C20</f>
        <v>0</v>
      </c>
      <c r="D15" s="67">
        <f>((Config!$F20*Commandes!D15)+IF(ROUND((D$8-Config!$C$7)/31,0)&gt;=(Config!$D20+Config!$E20),INDEX(Commandes!$C15:$BJ15,,COLUMN(D$8)-COLUMN($C$8)+1-(Config!$D20+Config!$E20)),0)*Config!$G20)*Config!$C20</f>
        <v>0</v>
      </c>
      <c r="E15" s="67">
        <f>((Config!$F20*Commandes!E15)+IF(ROUND((E$8-Config!$C$7)/31,0)&gt;=(Config!$D20+Config!$E20),INDEX(Commandes!$C15:$BJ15,,COLUMN(E$8)-COLUMN($C$8)+1-(Config!$D20+Config!$E20)),0)*Config!$G20)*Config!$C20</f>
        <v>0</v>
      </c>
      <c r="F15" s="67">
        <f>((Config!$F20*Commandes!F15)+IF(ROUND((F$8-Config!$C$7)/31,0)&gt;=(Config!$D20+Config!$E20),INDEX(Commandes!$C15:$BJ15,,COLUMN(F$8)-COLUMN($C$8)+1-(Config!$D20+Config!$E20)),0)*Config!$G20)*Config!$C20</f>
        <v>0</v>
      </c>
      <c r="G15" s="67">
        <f>((Config!$F20*Commandes!G15)+IF(ROUND((G$8-Config!$C$7)/31,0)&gt;=(Config!$D20+Config!$E20),INDEX(Commandes!$C15:$BJ15,,COLUMN(G$8)-COLUMN($C$8)+1-(Config!$D20+Config!$E20)),0)*Config!$G20)*Config!$C20</f>
        <v>0</v>
      </c>
      <c r="H15" s="67">
        <f>((Config!$F20*Commandes!H15)+IF(ROUND((H$8-Config!$C$7)/31,0)&gt;=(Config!$D20+Config!$E20),INDEX(Commandes!$C15:$BJ15,,COLUMN(H$8)-COLUMN($C$8)+1-(Config!$D20+Config!$E20)),0)*Config!$G20)*Config!$C20</f>
        <v>0</v>
      </c>
      <c r="I15" s="67">
        <f>((Config!$F20*Commandes!I15)+IF(ROUND((I$8-Config!$C$7)/31,0)&gt;=(Config!$D20+Config!$E20),INDEX(Commandes!$C15:$BJ15,,COLUMN(I$8)-COLUMN($C$8)+1-(Config!$D20+Config!$E20)),0)*Config!$G20)*Config!$C20</f>
        <v>0</v>
      </c>
      <c r="J15" s="67">
        <f>((Config!$F20*Commandes!J15)+IF(ROUND((J$8-Config!$C$7)/31,0)&gt;=(Config!$D20+Config!$E20),INDEX(Commandes!$C15:$BJ15,,COLUMN(J$8)-COLUMN($C$8)+1-(Config!$D20+Config!$E20)),0)*Config!$G20)*Config!$C20</f>
        <v>0</v>
      </c>
      <c r="K15" s="67">
        <f>((Config!$F20*Commandes!K15)+IF(ROUND((K$8-Config!$C$7)/31,0)&gt;=(Config!$D20+Config!$E20),INDEX(Commandes!$C15:$BJ15,,COLUMN(K$8)-COLUMN($C$8)+1-(Config!$D20+Config!$E20)),0)*Config!$G20)*Config!$C20</f>
        <v>0</v>
      </c>
      <c r="L15" s="67">
        <f>((Config!$F20*Commandes!L15)+IF(ROUND((L$8-Config!$C$7)/31,0)&gt;=(Config!$D20+Config!$E20),INDEX(Commandes!$C15:$BJ15,,COLUMN(L$8)-COLUMN($C$8)+1-(Config!$D20+Config!$E20)),0)*Config!$G20)*Config!$C20</f>
        <v>0</v>
      </c>
      <c r="M15" s="67">
        <f>((Config!$F20*Commandes!M15)+IF(ROUND((M$8-Config!$C$7)/31,0)&gt;=(Config!$D20+Config!$E20),INDEX(Commandes!$C15:$BJ15,,COLUMN(M$8)-COLUMN($C$8)+1-(Config!$D20+Config!$E20)),0)*Config!$G20)*Config!$C20</f>
        <v>0</v>
      </c>
      <c r="N15" s="67">
        <f>((Config!$F20*Commandes!N15)+IF(ROUND((N$8-Config!$C$7)/31,0)&gt;=(Config!$D20+Config!$E20),INDEX(Commandes!$C15:$BJ15,,COLUMN(N$8)-COLUMN($C$8)+1-(Config!$D20+Config!$E20)),0)*Config!$G20)*Config!$C20</f>
        <v>0</v>
      </c>
      <c r="O15" s="67">
        <f>((Config!$F20*Commandes!O15)+IF(ROUND((O$8-Config!$C$7)/31,0)&gt;=(Config!$D20+Config!$E20),INDEX(Commandes!$C15:$BJ15,,COLUMN(O$8)-COLUMN($C$8)+1-(Config!$D20+Config!$E20)),0)*Config!$G20)*Config!$C20</f>
        <v>0</v>
      </c>
      <c r="P15" s="67">
        <f>((Config!$F20*Commandes!P15)+IF(ROUND((P$8-Config!$C$7)/31,0)&gt;=(Config!$D20+Config!$E20),INDEX(Commandes!$C15:$BJ15,,COLUMN(P$8)-COLUMN($C$8)+1-(Config!$D20+Config!$E20)),0)*Config!$G20)*Config!$C20</f>
        <v>0</v>
      </c>
      <c r="Q15" s="67">
        <f>((Config!$F20*Commandes!Q15)+IF(ROUND((Q$8-Config!$C$7)/31,0)&gt;=(Config!$D20+Config!$E20),INDEX(Commandes!$C15:$BJ15,,COLUMN(Q$8)-COLUMN($C$8)+1-(Config!$D20+Config!$E20)),0)*Config!$G20)*Config!$C20</f>
        <v>0</v>
      </c>
      <c r="R15" s="67">
        <f>((Config!$F20*Commandes!R15)+IF(ROUND((R$8-Config!$C$7)/31,0)&gt;=(Config!$D20+Config!$E20),INDEX(Commandes!$C15:$BJ15,,COLUMN(R$8)-COLUMN($C$8)+1-(Config!$D20+Config!$E20)),0)*Config!$G20)*Config!$C20</f>
        <v>0</v>
      </c>
      <c r="S15" s="67">
        <f>((Config!$F20*Commandes!S15)+IF(ROUND((S$8-Config!$C$7)/31,0)&gt;=(Config!$D20+Config!$E20),INDEX(Commandes!$C15:$BJ15,,COLUMN(S$8)-COLUMN($C$8)+1-(Config!$D20+Config!$E20)),0)*Config!$G20)*Config!$C20</f>
        <v>0</v>
      </c>
      <c r="T15" s="67">
        <f>((Config!$F20*Commandes!T15)+IF(ROUND((T$8-Config!$C$7)/31,0)&gt;=(Config!$D20+Config!$E20),INDEX(Commandes!$C15:$BJ15,,COLUMN(T$8)-COLUMN($C$8)+1-(Config!$D20+Config!$E20)),0)*Config!$G20)*Config!$C20</f>
        <v>0</v>
      </c>
      <c r="U15" s="67">
        <f>((Config!$F20*Commandes!U15)+IF(ROUND((U$8-Config!$C$7)/31,0)&gt;=(Config!$D20+Config!$E20),INDEX(Commandes!$C15:$BJ15,,COLUMN(U$8)-COLUMN($C$8)+1-(Config!$D20+Config!$E20)),0)*Config!$G20)*Config!$C20</f>
        <v>0</v>
      </c>
      <c r="V15" s="67">
        <f>((Config!$F20*Commandes!V15)+IF(ROUND((V$8-Config!$C$7)/31,0)&gt;=(Config!$D20+Config!$E20),INDEX(Commandes!$C15:$BJ15,,COLUMN(V$8)-COLUMN($C$8)+1-(Config!$D20+Config!$E20)),0)*Config!$G20)*Config!$C20</f>
        <v>0</v>
      </c>
      <c r="W15" s="67">
        <f>((Config!$F20*Commandes!W15)+IF(ROUND((W$8-Config!$C$7)/31,0)&gt;=(Config!$D20+Config!$E20),INDEX(Commandes!$C15:$BJ15,,COLUMN(W$8)-COLUMN($C$8)+1-(Config!$D20+Config!$E20)),0)*Config!$G20)*Config!$C20</f>
        <v>0</v>
      </c>
      <c r="X15" s="67">
        <f>((Config!$F20*Commandes!X15)+IF(ROUND((X$8-Config!$C$7)/31,0)&gt;=(Config!$D20+Config!$E20),INDEX(Commandes!$C15:$BJ15,,COLUMN(X$8)-COLUMN($C$8)+1-(Config!$D20+Config!$E20)),0)*Config!$G20)*Config!$C20</f>
        <v>0</v>
      </c>
      <c r="Y15" s="67">
        <f>((Config!$F20*Commandes!Y15)+IF(ROUND((Y$8-Config!$C$7)/31,0)&gt;=(Config!$D20+Config!$E20),INDEX(Commandes!$C15:$BJ15,,COLUMN(Y$8)-COLUMN($C$8)+1-(Config!$D20+Config!$E20)),0)*Config!$G20)*Config!$C20</f>
        <v>0</v>
      </c>
      <c r="Z15" s="67">
        <f>((Config!$F20*Commandes!Z15)+IF(ROUND((Z$8-Config!$C$7)/31,0)&gt;=(Config!$D20+Config!$E20),INDEX(Commandes!$C15:$BJ15,,COLUMN(Z$8)-COLUMN($C$8)+1-(Config!$D20+Config!$E20)),0)*Config!$G20)*Config!$C20</f>
        <v>0</v>
      </c>
      <c r="AA15" s="67">
        <f>((Config!$F20*Commandes!AA15)+IF(ROUND((AA$8-Config!$C$7)/31,0)&gt;=(Config!$D20+Config!$E20),INDEX(Commandes!$C15:$BJ15,,COLUMN(AA$8)-COLUMN($C$8)+1-(Config!$D20+Config!$E20)),0)*Config!$G20)*Config!$C20</f>
        <v>0</v>
      </c>
      <c r="AB15" s="67">
        <f>((Config!$F20*Commandes!AB15)+IF(ROUND((AB$8-Config!$C$7)/31,0)&gt;=(Config!$D20+Config!$E20),INDEX(Commandes!$C15:$BJ15,,COLUMN(AB$8)-COLUMN($C$8)+1-(Config!$D20+Config!$E20)),0)*Config!$G20)*Config!$C20</f>
        <v>0</v>
      </c>
      <c r="AC15" s="67">
        <f>((Config!$F20*Commandes!AC15)+IF(ROUND((AC$8-Config!$C$7)/31,0)&gt;=(Config!$D20+Config!$E20),INDEX(Commandes!$C15:$BJ15,,COLUMN(AC$8)-COLUMN($C$8)+1-(Config!$D20+Config!$E20)),0)*Config!$G20)*Config!$C20</f>
        <v>0</v>
      </c>
      <c r="AD15" s="67">
        <f>((Config!$F20*Commandes!AD15)+IF(ROUND((AD$8-Config!$C$7)/31,0)&gt;=(Config!$D20+Config!$E20),INDEX(Commandes!$C15:$BJ15,,COLUMN(AD$8)-COLUMN($C$8)+1-(Config!$D20+Config!$E20)),0)*Config!$G20)*Config!$C20</f>
        <v>0</v>
      </c>
      <c r="AE15" s="67">
        <f>((Config!$F20*Commandes!AE15)+IF(ROUND((AE$8-Config!$C$7)/31,0)&gt;=(Config!$D20+Config!$E20),INDEX(Commandes!$C15:$BJ15,,COLUMN(AE$8)-COLUMN($C$8)+1-(Config!$D20+Config!$E20)),0)*Config!$G20)*Config!$C20</f>
        <v>0</v>
      </c>
      <c r="AF15" s="67">
        <f>((Config!$F20*Commandes!AF15)+IF(ROUND((AF$8-Config!$C$7)/31,0)&gt;=(Config!$D20+Config!$E20),INDEX(Commandes!$C15:$BJ15,,COLUMN(AF$8)-COLUMN($C$8)+1-(Config!$D20+Config!$E20)),0)*Config!$G20)*Config!$C20</f>
        <v>0</v>
      </c>
      <c r="AG15" s="67">
        <f>((Config!$F20*Commandes!AG15)+IF(ROUND((AG$8-Config!$C$7)/31,0)&gt;=(Config!$D20+Config!$E20),INDEX(Commandes!$C15:$BJ15,,COLUMN(AG$8)-COLUMN($C$8)+1-(Config!$D20+Config!$E20)),0)*Config!$G20)*Config!$C20</f>
        <v>0</v>
      </c>
      <c r="AH15" s="67">
        <f>((Config!$F20*Commandes!AH15)+IF(ROUND((AH$8-Config!$C$7)/31,0)&gt;=(Config!$D20+Config!$E20),INDEX(Commandes!$C15:$BJ15,,COLUMN(AH$8)-COLUMN($C$8)+1-(Config!$D20+Config!$E20)),0)*Config!$G20)*Config!$C20</f>
        <v>0</v>
      </c>
      <c r="AI15" s="67">
        <f>((Config!$F20*Commandes!AI15)+IF(ROUND((AI$8-Config!$C$7)/31,0)&gt;=(Config!$D20+Config!$E20),INDEX(Commandes!$C15:$BJ15,,COLUMN(AI$8)-COLUMN($C$8)+1-(Config!$D20+Config!$E20)),0)*Config!$G20)*Config!$C20</f>
        <v>0</v>
      </c>
      <c r="AJ15" s="67">
        <f>((Config!$F20*Commandes!AJ15)+IF(ROUND((AJ$8-Config!$C$7)/31,0)&gt;=(Config!$D20+Config!$E20),INDEX(Commandes!$C15:$BJ15,,COLUMN(AJ$8)-COLUMN($C$8)+1-(Config!$D20+Config!$E20)),0)*Config!$G20)*Config!$C20</f>
        <v>0</v>
      </c>
      <c r="AK15" s="67">
        <f>((Config!$F20*Commandes!AK15)+IF(ROUND((AK$8-Config!$C$7)/31,0)&gt;=(Config!$D20+Config!$E20),INDEX(Commandes!$C15:$BJ15,,COLUMN(AK$8)-COLUMN($C$8)+1-(Config!$D20+Config!$E20)),0)*Config!$G20)*Config!$C20</f>
        <v>0</v>
      </c>
      <c r="AL15" s="67">
        <f>((Config!$F20*Commandes!AL15)+IF(ROUND((AL$8-Config!$C$7)/31,0)&gt;=(Config!$D20+Config!$E20),INDEX(Commandes!$C15:$BJ15,,COLUMN(AL$8)-COLUMN($C$8)+1-(Config!$D20+Config!$E20)),0)*Config!$G20)*Config!$C20</f>
        <v>0</v>
      </c>
      <c r="AM15" s="67">
        <f>((Config!$F20*Commandes!AM15)+IF(ROUND((AM$8-Config!$C$7)/31,0)&gt;=(Config!$D20+Config!$E20),INDEX(Commandes!$C15:$BJ15,,COLUMN(AM$8)-COLUMN($C$8)+1-(Config!$D20+Config!$E20)),0)*Config!$G20)*Config!$C20</f>
        <v>0</v>
      </c>
      <c r="AN15" s="67">
        <f>((Config!$F20*Commandes!AN15)+IF(ROUND((AN$8-Config!$C$7)/31,0)&gt;=(Config!$D20+Config!$E20),INDEX(Commandes!$C15:$BJ15,,COLUMN(AN$8)-COLUMN($C$8)+1-(Config!$D20+Config!$E20)),0)*Config!$G20)*Config!$C20</f>
        <v>0</v>
      </c>
      <c r="AO15" s="67">
        <f>((Config!$F20*Commandes!AO15)+IF(ROUND((AO$8-Config!$C$7)/31,0)&gt;=(Config!$D20+Config!$E20),INDEX(Commandes!$C15:$BJ15,,COLUMN(AO$8)-COLUMN($C$8)+1-(Config!$D20+Config!$E20)),0)*Config!$G20)*Config!$C20</f>
        <v>0</v>
      </c>
      <c r="AP15" s="67">
        <f>((Config!$F20*Commandes!AP15)+IF(ROUND((AP$8-Config!$C$7)/31,0)&gt;=(Config!$D20+Config!$E20),INDEX(Commandes!$C15:$BJ15,,COLUMN(AP$8)-COLUMN($C$8)+1-(Config!$D20+Config!$E20)),0)*Config!$G20)*Config!$C20</f>
        <v>0</v>
      </c>
      <c r="AQ15" s="67">
        <f>((Config!$F20*Commandes!AQ15)+IF(ROUND((AQ$8-Config!$C$7)/31,0)&gt;=(Config!$D20+Config!$E20),INDEX(Commandes!$C15:$BJ15,,COLUMN(AQ$8)-COLUMN($C$8)+1-(Config!$D20+Config!$E20)),0)*Config!$G20)*Config!$C20</f>
        <v>0</v>
      </c>
      <c r="AR15" s="67">
        <f>((Config!$F20*Commandes!AR15)+IF(ROUND((AR$8-Config!$C$7)/31,0)&gt;=(Config!$D20+Config!$E20),INDEX(Commandes!$C15:$BJ15,,COLUMN(AR$8)-COLUMN($C$8)+1-(Config!$D20+Config!$E20)),0)*Config!$G20)*Config!$C20</f>
        <v>0</v>
      </c>
      <c r="AS15" s="67">
        <f>((Config!$F20*Commandes!AS15)+IF(ROUND((AS$8-Config!$C$7)/31,0)&gt;=(Config!$D20+Config!$E20),INDEX(Commandes!$C15:$BJ15,,COLUMN(AS$8)-COLUMN($C$8)+1-(Config!$D20+Config!$E20)),0)*Config!$G20)*Config!$C20</f>
        <v>0</v>
      </c>
      <c r="AT15" s="67">
        <f>((Config!$F20*Commandes!AT15)+IF(ROUND((AT$8-Config!$C$7)/31,0)&gt;=(Config!$D20+Config!$E20),INDEX(Commandes!$C15:$BJ15,,COLUMN(AT$8)-COLUMN($C$8)+1-(Config!$D20+Config!$E20)),0)*Config!$G20)*Config!$C20</f>
        <v>0</v>
      </c>
      <c r="AU15" s="67">
        <f>((Config!$F20*Commandes!AU15)+IF(ROUND((AU$8-Config!$C$7)/31,0)&gt;=(Config!$D20+Config!$E20),INDEX(Commandes!$C15:$BJ15,,COLUMN(AU$8)-COLUMN($C$8)+1-(Config!$D20+Config!$E20)),0)*Config!$G20)*Config!$C20</f>
        <v>0</v>
      </c>
      <c r="AV15" s="67">
        <f>((Config!$F20*Commandes!AV15)+IF(ROUND((AV$8-Config!$C$7)/31,0)&gt;=(Config!$D20+Config!$E20),INDEX(Commandes!$C15:$BJ15,,COLUMN(AV$8)-COLUMN($C$8)+1-(Config!$D20+Config!$E20)),0)*Config!$G20)*Config!$C20</f>
        <v>0</v>
      </c>
      <c r="AW15" s="67">
        <f>((Config!$F20*Commandes!AW15)+IF(ROUND((AW$8-Config!$C$7)/31,0)&gt;=(Config!$D20+Config!$E20),INDEX(Commandes!$C15:$BJ15,,COLUMN(AW$8)-COLUMN($C$8)+1-(Config!$D20+Config!$E20)),0)*Config!$G20)*Config!$C20</f>
        <v>0</v>
      </c>
      <c r="AX15" s="67">
        <f>((Config!$F20*Commandes!AX15)+IF(ROUND((AX$8-Config!$C$7)/31,0)&gt;=(Config!$D20+Config!$E20),INDEX(Commandes!$C15:$BJ15,,COLUMN(AX$8)-COLUMN($C$8)+1-(Config!$D20+Config!$E20)),0)*Config!$G20)*Config!$C20</f>
        <v>0</v>
      </c>
      <c r="AY15" s="67">
        <f>((Config!$F20*Commandes!AY15)+IF(ROUND((AY$8-Config!$C$7)/31,0)&gt;=(Config!$D20+Config!$E20),INDEX(Commandes!$C15:$BJ15,,COLUMN(AY$8)-COLUMN($C$8)+1-(Config!$D20+Config!$E20)),0)*Config!$G20)*Config!$C20</f>
        <v>0</v>
      </c>
      <c r="AZ15" s="67">
        <f>((Config!$F20*Commandes!AZ15)+IF(ROUND((AZ$8-Config!$C$7)/31,0)&gt;=(Config!$D20+Config!$E20),INDEX(Commandes!$C15:$BJ15,,COLUMN(AZ$8)-COLUMN($C$8)+1-(Config!$D20+Config!$E20)),0)*Config!$G20)*Config!$C20</f>
        <v>0</v>
      </c>
      <c r="BA15" s="67">
        <f>((Config!$F20*Commandes!BA15)+IF(ROUND((BA$8-Config!$C$7)/31,0)&gt;=(Config!$D20+Config!$E20),INDEX(Commandes!$C15:$BJ15,,COLUMN(BA$8)-COLUMN($C$8)+1-(Config!$D20+Config!$E20)),0)*Config!$G20)*Config!$C20</f>
        <v>0</v>
      </c>
      <c r="BB15" s="67">
        <f>((Config!$F20*Commandes!BB15)+IF(ROUND((BB$8-Config!$C$7)/31,0)&gt;=(Config!$D20+Config!$E20),INDEX(Commandes!$C15:$BJ15,,COLUMN(BB$8)-COLUMN($C$8)+1-(Config!$D20+Config!$E20)),0)*Config!$G20)*Config!$C20</f>
        <v>0</v>
      </c>
      <c r="BC15" s="67">
        <f>((Config!$F20*Commandes!BC15)+IF(ROUND((BC$8-Config!$C$7)/31,0)&gt;=(Config!$D20+Config!$E20),INDEX(Commandes!$C15:$BJ15,,COLUMN(BC$8)-COLUMN($C$8)+1-(Config!$D20+Config!$E20)),0)*Config!$G20)*Config!$C20</f>
        <v>0</v>
      </c>
      <c r="BD15" s="67">
        <f>((Config!$F20*Commandes!BD15)+IF(ROUND((BD$8-Config!$C$7)/31,0)&gt;=(Config!$D20+Config!$E20),INDEX(Commandes!$C15:$BJ15,,COLUMN(BD$8)-COLUMN($C$8)+1-(Config!$D20+Config!$E20)),0)*Config!$G20)*Config!$C20</f>
        <v>0</v>
      </c>
      <c r="BE15" s="67">
        <f>((Config!$F20*Commandes!BE15)+IF(ROUND((BE$8-Config!$C$7)/31,0)&gt;=(Config!$D20+Config!$E20),INDEX(Commandes!$C15:$BJ15,,COLUMN(BE$8)-COLUMN($C$8)+1-(Config!$D20+Config!$E20)),0)*Config!$G20)*Config!$C20</f>
        <v>0</v>
      </c>
      <c r="BF15" s="67">
        <f>((Config!$F20*Commandes!BF15)+IF(ROUND((BF$8-Config!$C$7)/31,0)&gt;=(Config!$D20+Config!$E20),INDEX(Commandes!$C15:$BJ15,,COLUMN(BF$8)-COLUMN($C$8)+1-(Config!$D20+Config!$E20)),0)*Config!$G20)*Config!$C20</f>
        <v>0</v>
      </c>
      <c r="BG15" s="67">
        <f>((Config!$F20*Commandes!BG15)+IF(ROUND((BG$8-Config!$C$7)/31,0)&gt;=(Config!$D20+Config!$E20),INDEX(Commandes!$C15:$BJ15,,COLUMN(BG$8)-COLUMN($C$8)+1-(Config!$D20+Config!$E20)),0)*Config!$G20)*Config!$C20</f>
        <v>0</v>
      </c>
      <c r="BH15" s="67">
        <f>((Config!$F20*Commandes!BH15)+IF(ROUND((BH$8-Config!$C$7)/31,0)&gt;=(Config!$D20+Config!$E20),INDEX(Commandes!$C15:$BJ15,,COLUMN(BH$8)-COLUMN($C$8)+1-(Config!$D20+Config!$E20)),0)*Config!$G20)*Config!$C20</f>
        <v>0</v>
      </c>
      <c r="BI15" s="67">
        <f>((Config!$F20*Commandes!BI15)+IF(ROUND((BI$8-Config!$C$7)/31,0)&gt;=(Config!$D20+Config!$E20),INDEX(Commandes!$C15:$BJ15,,COLUMN(BI$8)-COLUMN($C$8)+1-(Config!$D20+Config!$E20)),0)*Config!$G20)*Config!$C20</f>
        <v>0</v>
      </c>
      <c r="BJ15" s="67">
        <f>((Config!$F20*Commandes!BJ15)+IF(ROUND((BJ$8-Config!$C$7)/31,0)&gt;=(Config!$D20+Config!$E20),INDEX(Commandes!$C15:$BJ15,,COLUMN(BJ$8)-COLUMN($C$8)+1-(Config!$D20+Config!$E20)),0)*Config!$G20)*Config!$C20</f>
        <v>0</v>
      </c>
      <c r="BK15" s="70"/>
    </row>
    <row r="16" spans="2:63" x14ac:dyDescent="0.2">
      <c r="B16" s="46">
        <f>Config!$B$21</f>
        <v>0</v>
      </c>
      <c r="C16" s="67">
        <f>((Config!$F21*Commandes!C16)+IF(ROUND((C$8-Config!$C$7)/31,0)&gt;=(Config!$D21+Config!$E21),INDEX(Commandes!$C16:$BJ16,,COLUMN(C$8)-COLUMN($C$8)+1-(Config!$D21+Config!$E21)),0)*Config!$G21)*Config!$C21</f>
        <v>0</v>
      </c>
      <c r="D16" s="67">
        <f>((Config!$F21*Commandes!D16)+IF(ROUND((D$8-Config!$C$7)/31,0)&gt;=(Config!$D21+Config!$E21),INDEX(Commandes!$C16:$BJ16,,COLUMN(D$8)-COLUMN($C$8)+1-(Config!$D21+Config!$E21)),0)*Config!$G21)*Config!$C21</f>
        <v>0</v>
      </c>
      <c r="E16" s="67">
        <f>((Config!$F21*Commandes!E16)+IF(ROUND((E$8-Config!$C$7)/31,0)&gt;=(Config!$D21+Config!$E21),INDEX(Commandes!$C16:$BJ16,,COLUMN(E$8)-COLUMN($C$8)+1-(Config!$D21+Config!$E21)),0)*Config!$G21)*Config!$C21</f>
        <v>0</v>
      </c>
      <c r="F16" s="67">
        <f>((Config!$F21*Commandes!F16)+IF(ROUND((F$8-Config!$C$7)/31,0)&gt;=(Config!$D21+Config!$E21),INDEX(Commandes!$C16:$BJ16,,COLUMN(F$8)-COLUMN($C$8)+1-(Config!$D21+Config!$E21)),0)*Config!$G21)*Config!$C21</f>
        <v>0</v>
      </c>
      <c r="G16" s="67">
        <f>((Config!$F21*Commandes!G16)+IF(ROUND((G$8-Config!$C$7)/31,0)&gt;=(Config!$D21+Config!$E21),INDEX(Commandes!$C16:$BJ16,,COLUMN(G$8)-COLUMN($C$8)+1-(Config!$D21+Config!$E21)),0)*Config!$G21)*Config!$C21</f>
        <v>0</v>
      </c>
      <c r="H16" s="67">
        <f>((Config!$F21*Commandes!H16)+IF(ROUND((H$8-Config!$C$7)/31,0)&gt;=(Config!$D21+Config!$E21),INDEX(Commandes!$C16:$BJ16,,COLUMN(H$8)-COLUMN($C$8)+1-(Config!$D21+Config!$E21)),0)*Config!$G21)*Config!$C21</f>
        <v>0</v>
      </c>
      <c r="I16" s="67">
        <f>((Config!$F21*Commandes!I16)+IF(ROUND((I$8-Config!$C$7)/31,0)&gt;=(Config!$D21+Config!$E21),INDEX(Commandes!$C16:$BJ16,,COLUMN(I$8)-COLUMN($C$8)+1-(Config!$D21+Config!$E21)),0)*Config!$G21)*Config!$C21</f>
        <v>0</v>
      </c>
      <c r="J16" s="67">
        <f>((Config!$F21*Commandes!J16)+IF(ROUND((J$8-Config!$C$7)/31,0)&gt;=(Config!$D21+Config!$E21),INDEX(Commandes!$C16:$BJ16,,COLUMN(J$8)-COLUMN($C$8)+1-(Config!$D21+Config!$E21)),0)*Config!$G21)*Config!$C21</f>
        <v>0</v>
      </c>
      <c r="K16" s="67">
        <f>((Config!$F21*Commandes!K16)+IF(ROUND((K$8-Config!$C$7)/31,0)&gt;=(Config!$D21+Config!$E21),INDEX(Commandes!$C16:$BJ16,,COLUMN(K$8)-COLUMN($C$8)+1-(Config!$D21+Config!$E21)),0)*Config!$G21)*Config!$C21</f>
        <v>0</v>
      </c>
      <c r="L16" s="67">
        <f>((Config!$F21*Commandes!L16)+IF(ROUND((L$8-Config!$C$7)/31,0)&gt;=(Config!$D21+Config!$E21),INDEX(Commandes!$C16:$BJ16,,COLUMN(L$8)-COLUMN($C$8)+1-(Config!$D21+Config!$E21)),0)*Config!$G21)*Config!$C21</f>
        <v>0</v>
      </c>
      <c r="M16" s="67">
        <f>((Config!$F21*Commandes!M16)+IF(ROUND((M$8-Config!$C$7)/31,0)&gt;=(Config!$D21+Config!$E21),INDEX(Commandes!$C16:$BJ16,,COLUMN(M$8)-COLUMN($C$8)+1-(Config!$D21+Config!$E21)),0)*Config!$G21)*Config!$C21</f>
        <v>0</v>
      </c>
      <c r="N16" s="67">
        <f>((Config!$F21*Commandes!N16)+IF(ROUND((N$8-Config!$C$7)/31,0)&gt;=(Config!$D21+Config!$E21),INDEX(Commandes!$C16:$BJ16,,COLUMN(N$8)-COLUMN($C$8)+1-(Config!$D21+Config!$E21)),0)*Config!$G21)*Config!$C21</f>
        <v>0</v>
      </c>
      <c r="O16" s="67">
        <f>((Config!$F21*Commandes!O16)+IF(ROUND((O$8-Config!$C$7)/31,0)&gt;=(Config!$D21+Config!$E21),INDEX(Commandes!$C16:$BJ16,,COLUMN(O$8)-COLUMN($C$8)+1-(Config!$D21+Config!$E21)),0)*Config!$G21)*Config!$C21</f>
        <v>0</v>
      </c>
      <c r="P16" s="67">
        <f>((Config!$F21*Commandes!P16)+IF(ROUND((P$8-Config!$C$7)/31,0)&gt;=(Config!$D21+Config!$E21),INDEX(Commandes!$C16:$BJ16,,COLUMN(P$8)-COLUMN($C$8)+1-(Config!$D21+Config!$E21)),0)*Config!$G21)*Config!$C21</f>
        <v>0</v>
      </c>
      <c r="Q16" s="67">
        <f>((Config!$F21*Commandes!Q16)+IF(ROUND((Q$8-Config!$C$7)/31,0)&gt;=(Config!$D21+Config!$E21),INDEX(Commandes!$C16:$BJ16,,COLUMN(Q$8)-COLUMN($C$8)+1-(Config!$D21+Config!$E21)),0)*Config!$G21)*Config!$C21</f>
        <v>0</v>
      </c>
      <c r="R16" s="67">
        <f>((Config!$F21*Commandes!R16)+IF(ROUND((R$8-Config!$C$7)/31,0)&gt;=(Config!$D21+Config!$E21),INDEX(Commandes!$C16:$BJ16,,COLUMN(R$8)-COLUMN($C$8)+1-(Config!$D21+Config!$E21)),0)*Config!$G21)*Config!$C21</f>
        <v>0</v>
      </c>
      <c r="S16" s="67">
        <f>((Config!$F21*Commandes!S16)+IF(ROUND((S$8-Config!$C$7)/31,0)&gt;=(Config!$D21+Config!$E21),INDEX(Commandes!$C16:$BJ16,,COLUMN(S$8)-COLUMN($C$8)+1-(Config!$D21+Config!$E21)),0)*Config!$G21)*Config!$C21</f>
        <v>0</v>
      </c>
      <c r="T16" s="67">
        <f>((Config!$F21*Commandes!T16)+IF(ROUND((T$8-Config!$C$7)/31,0)&gt;=(Config!$D21+Config!$E21),INDEX(Commandes!$C16:$BJ16,,COLUMN(T$8)-COLUMN($C$8)+1-(Config!$D21+Config!$E21)),0)*Config!$G21)*Config!$C21</f>
        <v>0</v>
      </c>
      <c r="U16" s="67">
        <f>((Config!$F21*Commandes!U16)+IF(ROUND((U$8-Config!$C$7)/31,0)&gt;=(Config!$D21+Config!$E21),INDEX(Commandes!$C16:$BJ16,,COLUMN(U$8)-COLUMN($C$8)+1-(Config!$D21+Config!$E21)),0)*Config!$G21)*Config!$C21</f>
        <v>0</v>
      </c>
      <c r="V16" s="67">
        <f>((Config!$F21*Commandes!V16)+IF(ROUND((V$8-Config!$C$7)/31,0)&gt;=(Config!$D21+Config!$E21),INDEX(Commandes!$C16:$BJ16,,COLUMN(V$8)-COLUMN($C$8)+1-(Config!$D21+Config!$E21)),0)*Config!$G21)*Config!$C21</f>
        <v>0</v>
      </c>
      <c r="W16" s="67">
        <f>((Config!$F21*Commandes!W16)+IF(ROUND((W$8-Config!$C$7)/31,0)&gt;=(Config!$D21+Config!$E21),INDEX(Commandes!$C16:$BJ16,,COLUMN(W$8)-COLUMN($C$8)+1-(Config!$D21+Config!$E21)),0)*Config!$G21)*Config!$C21</f>
        <v>0</v>
      </c>
      <c r="X16" s="67">
        <f>((Config!$F21*Commandes!X16)+IF(ROUND((X$8-Config!$C$7)/31,0)&gt;=(Config!$D21+Config!$E21),INDEX(Commandes!$C16:$BJ16,,COLUMN(X$8)-COLUMN($C$8)+1-(Config!$D21+Config!$E21)),0)*Config!$G21)*Config!$C21</f>
        <v>0</v>
      </c>
      <c r="Y16" s="67">
        <f>((Config!$F21*Commandes!Y16)+IF(ROUND((Y$8-Config!$C$7)/31,0)&gt;=(Config!$D21+Config!$E21),INDEX(Commandes!$C16:$BJ16,,COLUMN(Y$8)-COLUMN($C$8)+1-(Config!$D21+Config!$E21)),0)*Config!$G21)*Config!$C21</f>
        <v>0</v>
      </c>
      <c r="Z16" s="67">
        <f>((Config!$F21*Commandes!Z16)+IF(ROUND((Z$8-Config!$C$7)/31,0)&gt;=(Config!$D21+Config!$E21),INDEX(Commandes!$C16:$BJ16,,COLUMN(Z$8)-COLUMN($C$8)+1-(Config!$D21+Config!$E21)),0)*Config!$G21)*Config!$C21</f>
        <v>0</v>
      </c>
      <c r="AA16" s="67">
        <f>((Config!$F21*Commandes!AA16)+IF(ROUND((AA$8-Config!$C$7)/31,0)&gt;=(Config!$D21+Config!$E21),INDEX(Commandes!$C16:$BJ16,,COLUMN(AA$8)-COLUMN($C$8)+1-(Config!$D21+Config!$E21)),0)*Config!$G21)*Config!$C21</f>
        <v>0</v>
      </c>
      <c r="AB16" s="67">
        <f>((Config!$F21*Commandes!AB16)+IF(ROUND((AB$8-Config!$C$7)/31,0)&gt;=(Config!$D21+Config!$E21),INDEX(Commandes!$C16:$BJ16,,COLUMN(AB$8)-COLUMN($C$8)+1-(Config!$D21+Config!$E21)),0)*Config!$G21)*Config!$C21</f>
        <v>0</v>
      </c>
      <c r="AC16" s="67">
        <f>((Config!$F21*Commandes!AC16)+IF(ROUND((AC$8-Config!$C$7)/31,0)&gt;=(Config!$D21+Config!$E21),INDEX(Commandes!$C16:$BJ16,,COLUMN(AC$8)-COLUMN($C$8)+1-(Config!$D21+Config!$E21)),0)*Config!$G21)*Config!$C21</f>
        <v>0</v>
      </c>
      <c r="AD16" s="67">
        <f>((Config!$F21*Commandes!AD16)+IF(ROUND((AD$8-Config!$C$7)/31,0)&gt;=(Config!$D21+Config!$E21),INDEX(Commandes!$C16:$BJ16,,COLUMN(AD$8)-COLUMN($C$8)+1-(Config!$D21+Config!$E21)),0)*Config!$G21)*Config!$C21</f>
        <v>0</v>
      </c>
      <c r="AE16" s="67">
        <f>((Config!$F21*Commandes!AE16)+IF(ROUND((AE$8-Config!$C$7)/31,0)&gt;=(Config!$D21+Config!$E21),INDEX(Commandes!$C16:$BJ16,,COLUMN(AE$8)-COLUMN($C$8)+1-(Config!$D21+Config!$E21)),0)*Config!$G21)*Config!$C21</f>
        <v>0</v>
      </c>
      <c r="AF16" s="67">
        <f>((Config!$F21*Commandes!AF16)+IF(ROUND((AF$8-Config!$C$7)/31,0)&gt;=(Config!$D21+Config!$E21),INDEX(Commandes!$C16:$BJ16,,COLUMN(AF$8)-COLUMN($C$8)+1-(Config!$D21+Config!$E21)),0)*Config!$G21)*Config!$C21</f>
        <v>0</v>
      </c>
      <c r="AG16" s="67">
        <f>((Config!$F21*Commandes!AG16)+IF(ROUND((AG$8-Config!$C$7)/31,0)&gt;=(Config!$D21+Config!$E21),INDEX(Commandes!$C16:$BJ16,,COLUMN(AG$8)-COLUMN($C$8)+1-(Config!$D21+Config!$E21)),0)*Config!$G21)*Config!$C21</f>
        <v>0</v>
      </c>
      <c r="AH16" s="67">
        <f>((Config!$F21*Commandes!AH16)+IF(ROUND((AH$8-Config!$C$7)/31,0)&gt;=(Config!$D21+Config!$E21),INDEX(Commandes!$C16:$BJ16,,COLUMN(AH$8)-COLUMN($C$8)+1-(Config!$D21+Config!$E21)),0)*Config!$G21)*Config!$C21</f>
        <v>0</v>
      </c>
      <c r="AI16" s="67">
        <f>((Config!$F21*Commandes!AI16)+IF(ROUND((AI$8-Config!$C$7)/31,0)&gt;=(Config!$D21+Config!$E21),INDEX(Commandes!$C16:$BJ16,,COLUMN(AI$8)-COLUMN($C$8)+1-(Config!$D21+Config!$E21)),0)*Config!$G21)*Config!$C21</f>
        <v>0</v>
      </c>
      <c r="AJ16" s="67">
        <f>((Config!$F21*Commandes!AJ16)+IF(ROUND((AJ$8-Config!$C$7)/31,0)&gt;=(Config!$D21+Config!$E21),INDEX(Commandes!$C16:$BJ16,,COLUMN(AJ$8)-COLUMN($C$8)+1-(Config!$D21+Config!$E21)),0)*Config!$G21)*Config!$C21</f>
        <v>0</v>
      </c>
      <c r="AK16" s="67">
        <f>((Config!$F21*Commandes!AK16)+IF(ROUND((AK$8-Config!$C$7)/31,0)&gt;=(Config!$D21+Config!$E21),INDEX(Commandes!$C16:$BJ16,,COLUMN(AK$8)-COLUMN($C$8)+1-(Config!$D21+Config!$E21)),0)*Config!$G21)*Config!$C21</f>
        <v>0</v>
      </c>
      <c r="AL16" s="67">
        <f>((Config!$F21*Commandes!AL16)+IF(ROUND((AL$8-Config!$C$7)/31,0)&gt;=(Config!$D21+Config!$E21),INDEX(Commandes!$C16:$BJ16,,COLUMN(AL$8)-COLUMN($C$8)+1-(Config!$D21+Config!$E21)),0)*Config!$G21)*Config!$C21</f>
        <v>0</v>
      </c>
      <c r="AM16" s="67">
        <f>((Config!$F21*Commandes!AM16)+IF(ROUND((AM$8-Config!$C$7)/31,0)&gt;=(Config!$D21+Config!$E21),INDEX(Commandes!$C16:$BJ16,,COLUMN(AM$8)-COLUMN($C$8)+1-(Config!$D21+Config!$E21)),0)*Config!$G21)*Config!$C21</f>
        <v>0</v>
      </c>
      <c r="AN16" s="67">
        <f>((Config!$F21*Commandes!AN16)+IF(ROUND((AN$8-Config!$C$7)/31,0)&gt;=(Config!$D21+Config!$E21),INDEX(Commandes!$C16:$BJ16,,COLUMN(AN$8)-COLUMN($C$8)+1-(Config!$D21+Config!$E21)),0)*Config!$G21)*Config!$C21</f>
        <v>0</v>
      </c>
      <c r="AO16" s="67">
        <f>((Config!$F21*Commandes!AO16)+IF(ROUND((AO$8-Config!$C$7)/31,0)&gt;=(Config!$D21+Config!$E21),INDEX(Commandes!$C16:$BJ16,,COLUMN(AO$8)-COLUMN($C$8)+1-(Config!$D21+Config!$E21)),0)*Config!$G21)*Config!$C21</f>
        <v>0</v>
      </c>
      <c r="AP16" s="67">
        <f>((Config!$F21*Commandes!AP16)+IF(ROUND((AP$8-Config!$C$7)/31,0)&gt;=(Config!$D21+Config!$E21),INDEX(Commandes!$C16:$BJ16,,COLUMN(AP$8)-COLUMN($C$8)+1-(Config!$D21+Config!$E21)),0)*Config!$G21)*Config!$C21</f>
        <v>0</v>
      </c>
      <c r="AQ16" s="67">
        <f>((Config!$F21*Commandes!AQ16)+IF(ROUND((AQ$8-Config!$C$7)/31,0)&gt;=(Config!$D21+Config!$E21),INDEX(Commandes!$C16:$BJ16,,COLUMN(AQ$8)-COLUMN($C$8)+1-(Config!$D21+Config!$E21)),0)*Config!$G21)*Config!$C21</f>
        <v>0</v>
      </c>
      <c r="AR16" s="67">
        <f>((Config!$F21*Commandes!AR16)+IF(ROUND((AR$8-Config!$C$7)/31,0)&gt;=(Config!$D21+Config!$E21),INDEX(Commandes!$C16:$BJ16,,COLUMN(AR$8)-COLUMN($C$8)+1-(Config!$D21+Config!$E21)),0)*Config!$G21)*Config!$C21</f>
        <v>0</v>
      </c>
      <c r="AS16" s="67">
        <f>((Config!$F21*Commandes!AS16)+IF(ROUND((AS$8-Config!$C$7)/31,0)&gt;=(Config!$D21+Config!$E21),INDEX(Commandes!$C16:$BJ16,,COLUMN(AS$8)-COLUMN($C$8)+1-(Config!$D21+Config!$E21)),0)*Config!$G21)*Config!$C21</f>
        <v>0</v>
      </c>
      <c r="AT16" s="67">
        <f>((Config!$F21*Commandes!AT16)+IF(ROUND((AT$8-Config!$C$7)/31,0)&gt;=(Config!$D21+Config!$E21),INDEX(Commandes!$C16:$BJ16,,COLUMN(AT$8)-COLUMN($C$8)+1-(Config!$D21+Config!$E21)),0)*Config!$G21)*Config!$C21</f>
        <v>0</v>
      </c>
      <c r="AU16" s="67">
        <f>((Config!$F21*Commandes!AU16)+IF(ROUND((AU$8-Config!$C$7)/31,0)&gt;=(Config!$D21+Config!$E21),INDEX(Commandes!$C16:$BJ16,,COLUMN(AU$8)-COLUMN($C$8)+1-(Config!$D21+Config!$E21)),0)*Config!$G21)*Config!$C21</f>
        <v>0</v>
      </c>
      <c r="AV16" s="67">
        <f>((Config!$F21*Commandes!AV16)+IF(ROUND((AV$8-Config!$C$7)/31,0)&gt;=(Config!$D21+Config!$E21),INDEX(Commandes!$C16:$BJ16,,COLUMN(AV$8)-COLUMN($C$8)+1-(Config!$D21+Config!$E21)),0)*Config!$G21)*Config!$C21</f>
        <v>0</v>
      </c>
      <c r="AW16" s="67">
        <f>((Config!$F21*Commandes!AW16)+IF(ROUND((AW$8-Config!$C$7)/31,0)&gt;=(Config!$D21+Config!$E21),INDEX(Commandes!$C16:$BJ16,,COLUMN(AW$8)-COLUMN($C$8)+1-(Config!$D21+Config!$E21)),0)*Config!$G21)*Config!$C21</f>
        <v>0</v>
      </c>
      <c r="AX16" s="67">
        <f>((Config!$F21*Commandes!AX16)+IF(ROUND((AX$8-Config!$C$7)/31,0)&gt;=(Config!$D21+Config!$E21),INDEX(Commandes!$C16:$BJ16,,COLUMN(AX$8)-COLUMN($C$8)+1-(Config!$D21+Config!$E21)),0)*Config!$G21)*Config!$C21</f>
        <v>0</v>
      </c>
      <c r="AY16" s="67">
        <f>((Config!$F21*Commandes!AY16)+IF(ROUND((AY$8-Config!$C$7)/31,0)&gt;=(Config!$D21+Config!$E21),INDEX(Commandes!$C16:$BJ16,,COLUMN(AY$8)-COLUMN($C$8)+1-(Config!$D21+Config!$E21)),0)*Config!$G21)*Config!$C21</f>
        <v>0</v>
      </c>
      <c r="AZ16" s="67">
        <f>((Config!$F21*Commandes!AZ16)+IF(ROUND((AZ$8-Config!$C$7)/31,0)&gt;=(Config!$D21+Config!$E21),INDEX(Commandes!$C16:$BJ16,,COLUMN(AZ$8)-COLUMN($C$8)+1-(Config!$D21+Config!$E21)),0)*Config!$G21)*Config!$C21</f>
        <v>0</v>
      </c>
      <c r="BA16" s="67">
        <f>((Config!$F21*Commandes!BA16)+IF(ROUND((BA$8-Config!$C$7)/31,0)&gt;=(Config!$D21+Config!$E21),INDEX(Commandes!$C16:$BJ16,,COLUMN(BA$8)-COLUMN($C$8)+1-(Config!$D21+Config!$E21)),0)*Config!$G21)*Config!$C21</f>
        <v>0</v>
      </c>
      <c r="BB16" s="67">
        <f>((Config!$F21*Commandes!BB16)+IF(ROUND((BB$8-Config!$C$7)/31,0)&gt;=(Config!$D21+Config!$E21),INDEX(Commandes!$C16:$BJ16,,COLUMN(BB$8)-COLUMN($C$8)+1-(Config!$D21+Config!$E21)),0)*Config!$G21)*Config!$C21</f>
        <v>0</v>
      </c>
      <c r="BC16" s="67">
        <f>((Config!$F21*Commandes!BC16)+IF(ROUND((BC$8-Config!$C$7)/31,0)&gt;=(Config!$D21+Config!$E21),INDEX(Commandes!$C16:$BJ16,,COLUMN(BC$8)-COLUMN($C$8)+1-(Config!$D21+Config!$E21)),0)*Config!$G21)*Config!$C21</f>
        <v>0</v>
      </c>
      <c r="BD16" s="67">
        <f>((Config!$F21*Commandes!BD16)+IF(ROUND((BD$8-Config!$C$7)/31,0)&gt;=(Config!$D21+Config!$E21),INDEX(Commandes!$C16:$BJ16,,COLUMN(BD$8)-COLUMN($C$8)+1-(Config!$D21+Config!$E21)),0)*Config!$G21)*Config!$C21</f>
        <v>0</v>
      </c>
      <c r="BE16" s="67">
        <f>((Config!$F21*Commandes!BE16)+IF(ROUND((BE$8-Config!$C$7)/31,0)&gt;=(Config!$D21+Config!$E21),INDEX(Commandes!$C16:$BJ16,,COLUMN(BE$8)-COLUMN($C$8)+1-(Config!$D21+Config!$E21)),0)*Config!$G21)*Config!$C21</f>
        <v>0</v>
      </c>
      <c r="BF16" s="67">
        <f>((Config!$F21*Commandes!BF16)+IF(ROUND((BF$8-Config!$C$7)/31,0)&gt;=(Config!$D21+Config!$E21),INDEX(Commandes!$C16:$BJ16,,COLUMN(BF$8)-COLUMN($C$8)+1-(Config!$D21+Config!$E21)),0)*Config!$G21)*Config!$C21</f>
        <v>0</v>
      </c>
      <c r="BG16" s="67">
        <f>((Config!$F21*Commandes!BG16)+IF(ROUND((BG$8-Config!$C$7)/31,0)&gt;=(Config!$D21+Config!$E21),INDEX(Commandes!$C16:$BJ16,,COLUMN(BG$8)-COLUMN($C$8)+1-(Config!$D21+Config!$E21)),0)*Config!$G21)*Config!$C21</f>
        <v>0</v>
      </c>
      <c r="BH16" s="67">
        <f>((Config!$F21*Commandes!BH16)+IF(ROUND((BH$8-Config!$C$7)/31,0)&gt;=(Config!$D21+Config!$E21),INDEX(Commandes!$C16:$BJ16,,COLUMN(BH$8)-COLUMN($C$8)+1-(Config!$D21+Config!$E21)),0)*Config!$G21)*Config!$C21</f>
        <v>0</v>
      </c>
      <c r="BI16" s="67">
        <f>((Config!$F21*Commandes!BI16)+IF(ROUND((BI$8-Config!$C$7)/31,0)&gt;=(Config!$D21+Config!$E21),INDEX(Commandes!$C16:$BJ16,,COLUMN(BI$8)-COLUMN($C$8)+1-(Config!$D21+Config!$E21)),0)*Config!$G21)*Config!$C21</f>
        <v>0</v>
      </c>
      <c r="BJ16" s="67">
        <f>((Config!$F21*Commandes!BJ16)+IF(ROUND((BJ$8-Config!$C$7)/31,0)&gt;=(Config!$D21+Config!$E21),INDEX(Commandes!$C16:$BJ16,,COLUMN(BJ$8)-COLUMN($C$8)+1-(Config!$D21+Config!$E21)),0)*Config!$G21)*Config!$C21</f>
        <v>0</v>
      </c>
      <c r="BK16" s="70"/>
    </row>
    <row r="17" spans="2:63" x14ac:dyDescent="0.2">
      <c r="B17" s="46">
        <f>Config!$B$22</f>
        <v>0</v>
      </c>
      <c r="C17" s="67">
        <f>((Config!$F22*Commandes!C17)+IF(ROUND((C$8-Config!$C$7)/31,0)&gt;=(Config!$D22+Config!$E22),INDEX(Commandes!$C17:$BJ17,,COLUMN(C$8)-COLUMN($C$8)+1-(Config!$D22+Config!$E22)),0)*Config!$G22)*Config!$C22</f>
        <v>0</v>
      </c>
      <c r="D17" s="67">
        <f>((Config!$F22*Commandes!D17)+IF(ROUND((D$8-Config!$C$7)/31,0)&gt;=(Config!$D22+Config!$E22),INDEX(Commandes!$C17:$BJ17,,COLUMN(D$8)-COLUMN($C$8)+1-(Config!$D22+Config!$E22)),0)*Config!$G22)*Config!$C22</f>
        <v>0</v>
      </c>
      <c r="E17" s="67">
        <f>((Config!$F22*Commandes!E17)+IF(ROUND((E$8-Config!$C$7)/31,0)&gt;=(Config!$D22+Config!$E22),INDEX(Commandes!$C17:$BJ17,,COLUMN(E$8)-COLUMN($C$8)+1-(Config!$D22+Config!$E22)),0)*Config!$G22)*Config!$C22</f>
        <v>0</v>
      </c>
      <c r="F17" s="67">
        <f>((Config!$F22*Commandes!F17)+IF(ROUND((F$8-Config!$C$7)/31,0)&gt;=(Config!$D22+Config!$E22),INDEX(Commandes!$C17:$BJ17,,COLUMN(F$8)-COLUMN($C$8)+1-(Config!$D22+Config!$E22)),0)*Config!$G22)*Config!$C22</f>
        <v>0</v>
      </c>
      <c r="G17" s="67">
        <f>((Config!$F22*Commandes!G17)+IF(ROUND((G$8-Config!$C$7)/31,0)&gt;=(Config!$D22+Config!$E22),INDEX(Commandes!$C17:$BJ17,,COLUMN(G$8)-COLUMN($C$8)+1-(Config!$D22+Config!$E22)),0)*Config!$G22)*Config!$C22</f>
        <v>0</v>
      </c>
      <c r="H17" s="67">
        <f>((Config!$F22*Commandes!H17)+IF(ROUND((H$8-Config!$C$7)/31,0)&gt;=(Config!$D22+Config!$E22),INDEX(Commandes!$C17:$BJ17,,COLUMN(H$8)-COLUMN($C$8)+1-(Config!$D22+Config!$E22)),0)*Config!$G22)*Config!$C22</f>
        <v>0</v>
      </c>
      <c r="I17" s="67">
        <f>((Config!$F22*Commandes!I17)+IF(ROUND((I$8-Config!$C$7)/31,0)&gt;=(Config!$D22+Config!$E22),INDEX(Commandes!$C17:$BJ17,,COLUMN(I$8)-COLUMN($C$8)+1-(Config!$D22+Config!$E22)),0)*Config!$G22)*Config!$C22</f>
        <v>0</v>
      </c>
      <c r="J17" s="67">
        <f>((Config!$F22*Commandes!J17)+IF(ROUND((J$8-Config!$C$7)/31,0)&gt;=(Config!$D22+Config!$E22),INDEX(Commandes!$C17:$BJ17,,COLUMN(J$8)-COLUMN($C$8)+1-(Config!$D22+Config!$E22)),0)*Config!$G22)*Config!$C22</f>
        <v>0</v>
      </c>
      <c r="K17" s="67">
        <f>((Config!$F22*Commandes!K17)+IF(ROUND((K$8-Config!$C$7)/31,0)&gt;=(Config!$D22+Config!$E22),INDEX(Commandes!$C17:$BJ17,,COLUMN(K$8)-COLUMN($C$8)+1-(Config!$D22+Config!$E22)),0)*Config!$G22)*Config!$C22</f>
        <v>0</v>
      </c>
      <c r="L17" s="67">
        <f>((Config!$F22*Commandes!L17)+IF(ROUND((L$8-Config!$C$7)/31,0)&gt;=(Config!$D22+Config!$E22),INDEX(Commandes!$C17:$BJ17,,COLUMN(L$8)-COLUMN($C$8)+1-(Config!$D22+Config!$E22)),0)*Config!$G22)*Config!$C22</f>
        <v>0</v>
      </c>
      <c r="M17" s="67">
        <f>((Config!$F22*Commandes!M17)+IF(ROUND((M$8-Config!$C$7)/31,0)&gt;=(Config!$D22+Config!$E22),INDEX(Commandes!$C17:$BJ17,,COLUMN(M$8)-COLUMN($C$8)+1-(Config!$D22+Config!$E22)),0)*Config!$G22)*Config!$C22</f>
        <v>0</v>
      </c>
      <c r="N17" s="67">
        <f>((Config!$F22*Commandes!N17)+IF(ROUND((N$8-Config!$C$7)/31,0)&gt;=(Config!$D22+Config!$E22),INDEX(Commandes!$C17:$BJ17,,COLUMN(N$8)-COLUMN($C$8)+1-(Config!$D22+Config!$E22)),0)*Config!$G22)*Config!$C22</f>
        <v>0</v>
      </c>
      <c r="O17" s="67">
        <f>((Config!$F22*Commandes!O17)+IF(ROUND((O$8-Config!$C$7)/31,0)&gt;=(Config!$D22+Config!$E22),INDEX(Commandes!$C17:$BJ17,,COLUMN(O$8)-COLUMN($C$8)+1-(Config!$D22+Config!$E22)),0)*Config!$G22)*Config!$C22</f>
        <v>0</v>
      </c>
      <c r="P17" s="67">
        <f>((Config!$F22*Commandes!P17)+IF(ROUND((P$8-Config!$C$7)/31,0)&gt;=(Config!$D22+Config!$E22),INDEX(Commandes!$C17:$BJ17,,COLUMN(P$8)-COLUMN($C$8)+1-(Config!$D22+Config!$E22)),0)*Config!$G22)*Config!$C22</f>
        <v>0</v>
      </c>
      <c r="Q17" s="67">
        <f>((Config!$F22*Commandes!Q17)+IF(ROUND((Q$8-Config!$C$7)/31,0)&gt;=(Config!$D22+Config!$E22),INDEX(Commandes!$C17:$BJ17,,COLUMN(Q$8)-COLUMN($C$8)+1-(Config!$D22+Config!$E22)),0)*Config!$G22)*Config!$C22</f>
        <v>0</v>
      </c>
      <c r="R17" s="67">
        <f>((Config!$F22*Commandes!R17)+IF(ROUND((R$8-Config!$C$7)/31,0)&gt;=(Config!$D22+Config!$E22),INDEX(Commandes!$C17:$BJ17,,COLUMN(R$8)-COLUMN($C$8)+1-(Config!$D22+Config!$E22)),0)*Config!$G22)*Config!$C22</f>
        <v>0</v>
      </c>
      <c r="S17" s="67">
        <f>((Config!$F22*Commandes!S17)+IF(ROUND((S$8-Config!$C$7)/31,0)&gt;=(Config!$D22+Config!$E22),INDEX(Commandes!$C17:$BJ17,,COLUMN(S$8)-COLUMN($C$8)+1-(Config!$D22+Config!$E22)),0)*Config!$G22)*Config!$C22</f>
        <v>0</v>
      </c>
      <c r="T17" s="67">
        <f>((Config!$F22*Commandes!T17)+IF(ROUND((T$8-Config!$C$7)/31,0)&gt;=(Config!$D22+Config!$E22),INDEX(Commandes!$C17:$BJ17,,COLUMN(T$8)-COLUMN($C$8)+1-(Config!$D22+Config!$E22)),0)*Config!$G22)*Config!$C22</f>
        <v>0</v>
      </c>
      <c r="U17" s="67">
        <f>((Config!$F22*Commandes!U17)+IF(ROUND((U$8-Config!$C$7)/31,0)&gt;=(Config!$D22+Config!$E22),INDEX(Commandes!$C17:$BJ17,,COLUMN(U$8)-COLUMN($C$8)+1-(Config!$D22+Config!$E22)),0)*Config!$G22)*Config!$C22</f>
        <v>0</v>
      </c>
      <c r="V17" s="67">
        <f>((Config!$F22*Commandes!V17)+IF(ROUND((V$8-Config!$C$7)/31,0)&gt;=(Config!$D22+Config!$E22),INDEX(Commandes!$C17:$BJ17,,COLUMN(V$8)-COLUMN($C$8)+1-(Config!$D22+Config!$E22)),0)*Config!$G22)*Config!$C22</f>
        <v>0</v>
      </c>
      <c r="W17" s="67">
        <f>((Config!$F22*Commandes!W17)+IF(ROUND((W$8-Config!$C$7)/31,0)&gt;=(Config!$D22+Config!$E22),INDEX(Commandes!$C17:$BJ17,,COLUMN(W$8)-COLUMN($C$8)+1-(Config!$D22+Config!$E22)),0)*Config!$G22)*Config!$C22</f>
        <v>0</v>
      </c>
      <c r="X17" s="67">
        <f>((Config!$F22*Commandes!X17)+IF(ROUND((X$8-Config!$C$7)/31,0)&gt;=(Config!$D22+Config!$E22),INDEX(Commandes!$C17:$BJ17,,COLUMN(X$8)-COLUMN($C$8)+1-(Config!$D22+Config!$E22)),0)*Config!$G22)*Config!$C22</f>
        <v>0</v>
      </c>
      <c r="Y17" s="67">
        <f>((Config!$F22*Commandes!Y17)+IF(ROUND((Y$8-Config!$C$7)/31,0)&gt;=(Config!$D22+Config!$E22),INDEX(Commandes!$C17:$BJ17,,COLUMN(Y$8)-COLUMN($C$8)+1-(Config!$D22+Config!$E22)),0)*Config!$G22)*Config!$C22</f>
        <v>0</v>
      </c>
      <c r="Z17" s="67">
        <f>((Config!$F22*Commandes!Z17)+IF(ROUND((Z$8-Config!$C$7)/31,0)&gt;=(Config!$D22+Config!$E22),INDEX(Commandes!$C17:$BJ17,,COLUMN(Z$8)-COLUMN($C$8)+1-(Config!$D22+Config!$E22)),0)*Config!$G22)*Config!$C22</f>
        <v>0</v>
      </c>
      <c r="AA17" s="67">
        <f>((Config!$F22*Commandes!AA17)+IF(ROUND((AA$8-Config!$C$7)/31,0)&gt;=(Config!$D22+Config!$E22),INDEX(Commandes!$C17:$BJ17,,COLUMN(AA$8)-COLUMN($C$8)+1-(Config!$D22+Config!$E22)),0)*Config!$G22)*Config!$C22</f>
        <v>0</v>
      </c>
      <c r="AB17" s="67">
        <f>((Config!$F22*Commandes!AB17)+IF(ROUND((AB$8-Config!$C$7)/31,0)&gt;=(Config!$D22+Config!$E22),INDEX(Commandes!$C17:$BJ17,,COLUMN(AB$8)-COLUMN($C$8)+1-(Config!$D22+Config!$E22)),0)*Config!$G22)*Config!$C22</f>
        <v>0</v>
      </c>
      <c r="AC17" s="67">
        <f>((Config!$F22*Commandes!AC17)+IF(ROUND((AC$8-Config!$C$7)/31,0)&gt;=(Config!$D22+Config!$E22),INDEX(Commandes!$C17:$BJ17,,COLUMN(AC$8)-COLUMN($C$8)+1-(Config!$D22+Config!$E22)),0)*Config!$G22)*Config!$C22</f>
        <v>0</v>
      </c>
      <c r="AD17" s="67">
        <f>((Config!$F22*Commandes!AD17)+IF(ROUND((AD$8-Config!$C$7)/31,0)&gt;=(Config!$D22+Config!$E22),INDEX(Commandes!$C17:$BJ17,,COLUMN(AD$8)-COLUMN($C$8)+1-(Config!$D22+Config!$E22)),0)*Config!$G22)*Config!$C22</f>
        <v>0</v>
      </c>
      <c r="AE17" s="67">
        <f>((Config!$F22*Commandes!AE17)+IF(ROUND((AE$8-Config!$C$7)/31,0)&gt;=(Config!$D22+Config!$E22),INDEX(Commandes!$C17:$BJ17,,COLUMN(AE$8)-COLUMN($C$8)+1-(Config!$D22+Config!$E22)),0)*Config!$G22)*Config!$C22</f>
        <v>0</v>
      </c>
      <c r="AF17" s="67">
        <f>((Config!$F22*Commandes!AF17)+IF(ROUND((AF$8-Config!$C$7)/31,0)&gt;=(Config!$D22+Config!$E22),INDEX(Commandes!$C17:$BJ17,,COLUMN(AF$8)-COLUMN($C$8)+1-(Config!$D22+Config!$E22)),0)*Config!$G22)*Config!$C22</f>
        <v>0</v>
      </c>
      <c r="AG17" s="67">
        <f>((Config!$F22*Commandes!AG17)+IF(ROUND((AG$8-Config!$C$7)/31,0)&gt;=(Config!$D22+Config!$E22),INDEX(Commandes!$C17:$BJ17,,COLUMN(AG$8)-COLUMN($C$8)+1-(Config!$D22+Config!$E22)),0)*Config!$G22)*Config!$C22</f>
        <v>0</v>
      </c>
      <c r="AH17" s="67">
        <f>((Config!$F22*Commandes!AH17)+IF(ROUND((AH$8-Config!$C$7)/31,0)&gt;=(Config!$D22+Config!$E22),INDEX(Commandes!$C17:$BJ17,,COLUMN(AH$8)-COLUMN($C$8)+1-(Config!$D22+Config!$E22)),0)*Config!$G22)*Config!$C22</f>
        <v>0</v>
      </c>
      <c r="AI17" s="67">
        <f>((Config!$F22*Commandes!AI17)+IF(ROUND((AI$8-Config!$C$7)/31,0)&gt;=(Config!$D22+Config!$E22),INDEX(Commandes!$C17:$BJ17,,COLUMN(AI$8)-COLUMN($C$8)+1-(Config!$D22+Config!$E22)),0)*Config!$G22)*Config!$C22</f>
        <v>0</v>
      </c>
      <c r="AJ17" s="67">
        <f>((Config!$F22*Commandes!AJ17)+IF(ROUND((AJ$8-Config!$C$7)/31,0)&gt;=(Config!$D22+Config!$E22),INDEX(Commandes!$C17:$BJ17,,COLUMN(AJ$8)-COLUMN($C$8)+1-(Config!$D22+Config!$E22)),0)*Config!$G22)*Config!$C22</f>
        <v>0</v>
      </c>
      <c r="AK17" s="67">
        <f>((Config!$F22*Commandes!AK17)+IF(ROUND((AK$8-Config!$C$7)/31,0)&gt;=(Config!$D22+Config!$E22),INDEX(Commandes!$C17:$BJ17,,COLUMN(AK$8)-COLUMN($C$8)+1-(Config!$D22+Config!$E22)),0)*Config!$G22)*Config!$C22</f>
        <v>0</v>
      </c>
      <c r="AL17" s="67">
        <f>((Config!$F22*Commandes!AL17)+IF(ROUND((AL$8-Config!$C$7)/31,0)&gt;=(Config!$D22+Config!$E22),INDEX(Commandes!$C17:$BJ17,,COLUMN(AL$8)-COLUMN($C$8)+1-(Config!$D22+Config!$E22)),0)*Config!$G22)*Config!$C22</f>
        <v>0</v>
      </c>
      <c r="AM17" s="67">
        <f>((Config!$F22*Commandes!AM17)+IF(ROUND((AM$8-Config!$C$7)/31,0)&gt;=(Config!$D22+Config!$E22),INDEX(Commandes!$C17:$BJ17,,COLUMN(AM$8)-COLUMN($C$8)+1-(Config!$D22+Config!$E22)),0)*Config!$G22)*Config!$C22</f>
        <v>0</v>
      </c>
      <c r="AN17" s="67">
        <f>((Config!$F22*Commandes!AN17)+IF(ROUND((AN$8-Config!$C$7)/31,0)&gt;=(Config!$D22+Config!$E22),INDEX(Commandes!$C17:$BJ17,,COLUMN(AN$8)-COLUMN($C$8)+1-(Config!$D22+Config!$E22)),0)*Config!$G22)*Config!$C22</f>
        <v>0</v>
      </c>
      <c r="AO17" s="67">
        <f>((Config!$F22*Commandes!AO17)+IF(ROUND((AO$8-Config!$C$7)/31,0)&gt;=(Config!$D22+Config!$E22),INDEX(Commandes!$C17:$BJ17,,COLUMN(AO$8)-COLUMN($C$8)+1-(Config!$D22+Config!$E22)),0)*Config!$G22)*Config!$C22</f>
        <v>0</v>
      </c>
      <c r="AP17" s="67">
        <f>((Config!$F22*Commandes!AP17)+IF(ROUND((AP$8-Config!$C$7)/31,0)&gt;=(Config!$D22+Config!$E22),INDEX(Commandes!$C17:$BJ17,,COLUMN(AP$8)-COLUMN($C$8)+1-(Config!$D22+Config!$E22)),0)*Config!$G22)*Config!$C22</f>
        <v>0</v>
      </c>
      <c r="AQ17" s="67">
        <f>((Config!$F22*Commandes!AQ17)+IF(ROUND((AQ$8-Config!$C$7)/31,0)&gt;=(Config!$D22+Config!$E22),INDEX(Commandes!$C17:$BJ17,,COLUMN(AQ$8)-COLUMN($C$8)+1-(Config!$D22+Config!$E22)),0)*Config!$G22)*Config!$C22</f>
        <v>0</v>
      </c>
      <c r="AR17" s="67">
        <f>((Config!$F22*Commandes!AR17)+IF(ROUND((AR$8-Config!$C$7)/31,0)&gt;=(Config!$D22+Config!$E22),INDEX(Commandes!$C17:$BJ17,,COLUMN(AR$8)-COLUMN($C$8)+1-(Config!$D22+Config!$E22)),0)*Config!$G22)*Config!$C22</f>
        <v>0</v>
      </c>
      <c r="AS17" s="67">
        <f>((Config!$F22*Commandes!AS17)+IF(ROUND((AS$8-Config!$C$7)/31,0)&gt;=(Config!$D22+Config!$E22),INDEX(Commandes!$C17:$BJ17,,COLUMN(AS$8)-COLUMN($C$8)+1-(Config!$D22+Config!$E22)),0)*Config!$G22)*Config!$C22</f>
        <v>0</v>
      </c>
      <c r="AT17" s="67">
        <f>((Config!$F22*Commandes!AT17)+IF(ROUND((AT$8-Config!$C$7)/31,0)&gt;=(Config!$D22+Config!$E22),INDEX(Commandes!$C17:$BJ17,,COLUMN(AT$8)-COLUMN($C$8)+1-(Config!$D22+Config!$E22)),0)*Config!$G22)*Config!$C22</f>
        <v>0</v>
      </c>
      <c r="AU17" s="67">
        <f>((Config!$F22*Commandes!AU17)+IF(ROUND((AU$8-Config!$C$7)/31,0)&gt;=(Config!$D22+Config!$E22),INDEX(Commandes!$C17:$BJ17,,COLUMN(AU$8)-COLUMN($C$8)+1-(Config!$D22+Config!$E22)),0)*Config!$G22)*Config!$C22</f>
        <v>0</v>
      </c>
      <c r="AV17" s="67">
        <f>((Config!$F22*Commandes!AV17)+IF(ROUND((AV$8-Config!$C$7)/31,0)&gt;=(Config!$D22+Config!$E22),INDEX(Commandes!$C17:$BJ17,,COLUMN(AV$8)-COLUMN($C$8)+1-(Config!$D22+Config!$E22)),0)*Config!$G22)*Config!$C22</f>
        <v>0</v>
      </c>
      <c r="AW17" s="67">
        <f>((Config!$F22*Commandes!AW17)+IF(ROUND((AW$8-Config!$C$7)/31,0)&gt;=(Config!$D22+Config!$E22),INDEX(Commandes!$C17:$BJ17,,COLUMN(AW$8)-COLUMN($C$8)+1-(Config!$D22+Config!$E22)),0)*Config!$G22)*Config!$C22</f>
        <v>0</v>
      </c>
      <c r="AX17" s="67">
        <f>((Config!$F22*Commandes!AX17)+IF(ROUND((AX$8-Config!$C$7)/31,0)&gt;=(Config!$D22+Config!$E22),INDEX(Commandes!$C17:$BJ17,,COLUMN(AX$8)-COLUMN($C$8)+1-(Config!$D22+Config!$E22)),0)*Config!$G22)*Config!$C22</f>
        <v>0</v>
      </c>
      <c r="AY17" s="67">
        <f>((Config!$F22*Commandes!AY17)+IF(ROUND((AY$8-Config!$C$7)/31,0)&gt;=(Config!$D22+Config!$E22),INDEX(Commandes!$C17:$BJ17,,COLUMN(AY$8)-COLUMN($C$8)+1-(Config!$D22+Config!$E22)),0)*Config!$G22)*Config!$C22</f>
        <v>0</v>
      </c>
      <c r="AZ17" s="67">
        <f>((Config!$F22*Commandes!AZ17)+IF(ROUND((AZ$8-Config!$C$7)/31,0)&gt;=(Config!$D22+Config!$E22),INDEX(Commandes!$C17:$BJ17,,COLUMN(AZ$8)-COLUMN($C$8)+1-(Config!$D22+Config!$E22)),0)*Config!$G22)*Config!$C22</f>
        <v>0</v>
      </c>
      <c r="BA17" s="67">
        <f>((Config!$F22*Commandes!BA17)+IF(ROUND((BA$8-Config!$C$7)/31,0)&gt;=(Config!$D22+Config!$E22),INDEX(Commandes!$C17:$BJ17,,COLUMN(BA$8)-COLUMN($C$8)+1-(Config!$D22+Config!$E22)),0)*Config!$G22)*Config!$C22</f>
        <v>0</v>
      </c>
      <c r="BB17" s="67">
        <f>((Config!$F22*Commandes!BB17)+IF(ROUND((BB$8-Config!$C$7)/31,0)&gt;=(Config!$D22+Config!$E22),INDEX(Commandes!$C17:$BJ17,,COLUMN(BB$8)-COLUMN($C$8)+1-(Config!$D22+Config!$E22)),0)*Config!$G22)*Config!$C22</f>
        <v>0</v>
      </c>
      <c r="BC17" s="67">
        <f>((Config!$F22*Commandes!BC17)+IF(ROUND((BC$8-Config!$C$7)/31,0)&gt;=(Config!$D22+Config!$E22),INDEX(Commandes!$C17:$BJ17,,COLUMN(BC$8)-COLUMN($C$8)+1-(Config!$D22+Config!$E22)),0)*Config!$G22)*Config!$C22</f>
        <v>0</v>
      </c>
      <c r="BD17" s="67">
        <f>((Config!$F22*Commandes!BD17)+IF(ROUND((BD$8-Config!$C$7)/31,0)&gt;=(Config!$D22+Config!$E22),INDEX(Commandes!$C17:$BJ17,,COLUMN(BD$8)-COLUMN($C$8)+1-(Config!$D22+Config!$E22)),0)*Config!$G22)*Config!$C22</f>
        <v>0</v>
      </c>
      <c r="BE17" s="67">
        <f>((Config!$F22*Commandes!BE17)+IF(ROUND((BE$8-Config!$C$7)/31,0)&gt;=(Config!$D22+Config!$E22),INDEX(Commandes!$C17:$BJ17,,COLUMN(BE$8)-COLUMN($C$8)+1-(Config!$D22+Config!$E22)),0)*Config!$G22)*Config!$C22</f>
        <v>0</v>
      </c>
      <c r="BF17" s="67">
        <f>((Config!$F22*Commandes!BF17)+IF(ROUND((BF$8-Config!$C$7)/31,0)&gt;=(Config!$D22+Config!$E22),INDEX(Commandes!$C17:$BJ17,,COLUMN(BF$8)-COLUMN($C$8)+1-(Config!$D22+Config!$E22)),0)*Config!$G22)*Config!$C22</f>
        <v>0</v>
      </c>
      <c r="BG17" s="67">
        <f>((Config!$F22*Commandes!BG17)+IF(ROUND((BG$8-Config!$C$7)/31,0)&gt;=(Config!$D22+Config!$E22),INDEX(Commandes!$C17:$BJ17,,COLUMN(BG$8)-COLUMN($C$8)+1-(Config!$D22+Config!$E22)),0)*Config!$G22)*Config!$C22</f>
        <v>0</v>
      </c>
      <c r="BH17" s="67">
        <f>((Config!$F22*Commandes!BH17)+IF(ROUND((BH$8-Config!$C$7)/31,0)&gt;=(Config!$D22+Config!$E22),INDEX(Commandes!$C17:$BJ17,,COLUMN(BH$8)-COLUMN($C$8)+1-(Config!$D22+Config!$E22)),0)*Config!$G22)*Config!$C22</f>
        <v>0</v>
      </c>
      <c r="BI17" s="67">
        <f>((Config!$F22*Commandes!BI17)+IF(ROUND((BI$8-Config!$C$7)/31,0)&gt;=(Config!$D22+Config!$E22),INDEX(Commandes!$C17:$BJ17,,COLUMN(BI$8)-COLUMN($C$8)+1-(Config!$D22+Config!$E22)),0)*Config!$G22)*Config!$C22</f>
        <v>0</v>
      </c>
      <c r="BJ17" s="67">
        <f>((Config!$F22*Commandes!BJ17)+IF(ROUND((BJ$8-Config!$C$7)/31,0)&gt;=(Config!$D22+Config!$E22),INDEX(Commandes!$C17:$BJ17,,COLUMN(BJ$8)-COLUMN($C$8)+1-(Config!$D22+Config!$E22)),0)*Config!$G22)*Config!$C22</f>
        <v>0</v>
      </c>
      <c r="BK17" s="70"/>
    </row>
    <row r="18" spans="2:63" x14ac:dyDescent="0.2">
      <c r="B18" s="46">
        <f>Config!$B$23</f>
        <v>0</v>
      </c>
      <c r="C18" s="67">
        <f>((Config!$F23*Commandes!C18)+IF(ROUND((C$8-Config!$C$7)/31,0)&gt;=(Config!$D23+Config!$E23),INDEX(Commandes!$C18:$BJ18,,COLUMN(C$8)-COLUMN($C$8)+1-(Config!$D23+Config!$E23)),0)*Config!$G23)*Config!$C23</f>
        <v>0</v>
      </c>
      <c r="D18" s="67">
        <f>((Config!$F23*Commandes!D18)+IF(ROUND((D$8-Config!$C$7)/31,0)&gt;=(Config!$D23+Config!$E23),INDEX(Commandes!$C18:$BJ18,,COLUMN(D$8)-COLUMN($C$8)+1-(Config!$D23+Config!$E23)),0)*Config!$G23)*Config!$C23</f>
        <v>0</v>
      </c>
      <c r="E18" s="67">
        <f>((Config!$F23*Commandes!E18)+IF(ROUND((E$8-Config!$C$7)/31,0)&gt;=(Config!$D23+Config!$E23),INDEX(Commandes!$C18:$BJ18,,COLUMN(E$8)-COLUMN($C$8)+1-(Config!$D23+Config!$E23)),0)*Config!$G23)*Config!$C23</f>
        <v>0</v>
      </c>
      <c r="F18" s="67">
        <f>((Config!$F23*Commandes!F18)+IF(ROUND((F$8-Config!$C$7)/31,0)&gt;=(Config!$D23+Config!$E23),INDEX(Commandes!$C18:$BJ18,,COLUMN(F$8)-COLUMN($C$8)+1-(Config!$D23+Config!$E23)),0)*Config!$G23)*Config!$C23</f>
        <v>0</v>
      </c>
      <c r="G18" s="67">
        <f>((Config!$F23*Commandes!G18)+IF(ROUND((G$8-Config!$C$7)/31,0)&gt;=(Config!$D23+Config!$E23),INDEX(Commandes!$C18:$BJ18,,COLUMN(G$8)-COLUMN($C$8)+1-(Config!$D23+Config!$E23)),0)*Config!$G23)*Config!$C23</f>
        <v>0</v>
      </c>
      <c r="H18" s="67">
        <f>((Config!$F23*Commandes!H18)+IF(ROUND((H$8-Config!$C$7)/31,0)&gt;=(Config!$D23+Config!$E23),INDEX(Commandes!$C18:$BJ18,,COLUMN(H$8)-COLUMN($C$8)+1-(Config!$D23+Config!$E23)),0)*Config!$G23)*Config!$C23</f>
        <v>0</v>
      </c>
      <c r="I18" s="67">
        <f>((Config!$F23*Commandes!I18)+IF(ROUND((I$8-Config!$C$7)/31,0)&gt;=(Config!$D23+Config!$E23),INDEX(Commandes!$C18:$BJ18,,COLUMN(I$8)-COLUMN($C$8)+1-(Config!$D23+Config!$E23)),0)*Config!$G23)*Config!$C23</f>
        <v>0</v>
      </c>
      <c r="J18" s="67">
        <f>((Config!$F23*Commandes!J18)+IF(ROUND((J$8-Config!$C$7)/31,0)&gt;=(Config!$D23+Config!$E23),INDEX(Commandes!$C18:$BJ18,,COLUMN(J$8)-COLUMN($C$8)+1-(Config!$D23+Config!$E23)),0)*Config!$G23)*Config!$C23</f>
        <v>0</v>
      </c>
      <c r="K18" s="67">
        <f>((Config!$F23*Commandes!K18)+IF(ROUND((K$8-Config!$C$7)/31,0)&gt;=(Config!$D23+Config!$E23),INDEX(Commandes!$C18:$BJ18,,COLUMN(K$8)-COLUMN($C$8)+1-(Config!$D23+Config!$E23)),0)*Config!$G23)*Config!$C23</f>
        <v>0</v>
      </c>
      <c r="L18" s="67">
        <f>((Config!$F23*Commandes!L18)+IF(ROUND((L$8-Config!$C$7)/31,0)&gt;=(Config!$D23+Config!$E23),INDEX(Commandes!$C18:$BJ18,,COLUMN(L$8)-COLUMN($C$8)+1-(Config!$D23+Config!$E23)),0)*Config!$G23)*Config!$C23</f>
        <v>0</v>
      </c>
      <c r="M18" s="67">
        <f>((Config!$F23*Commandes!M18)+IF(ROUND((M$8-Config!$C$7)/31,0)&gt;=(Config!$D23+Config!$E23),INDEX(Commandes!$C18:$BJ18,,COLUMN(M$8)-COLUMN($C$8)+1-(Config!$D23+Config!$E23)),0)*Config!$G23)*Config!$C23</f>
        <v>0</v>
      </c>
      <c r="N18" s="67">
        <f>((Config!$F23*Commandes!N18)+IF(ROUND((N$8-Config!$C$7)/31,0)&gt;=(Config!$D23+Config!$E23),INDEX(Commandes!$C18:$BJ18,,COLUMN(N$8)-COLUMN($C$8)+1-(Config!$D23+Config!$E23)),0)*Config!$G23)*Config!$C23</f>
        <v>0</v>
      </c>
      <c r="O18" s="67">
        <f>((Config!$F23*Commandes!O18)+IF(ROUND((O$8-Config!$C$7)/31,0)&gt;=(Config!$D23+Config!$E23),INDEX(Commandes!$C18:$BJ18,,COLUMN(O$8)-COLUMN($C$8)+1-(Config!$D23+Config!$E23)),0)*Config!$G23)*Config!$C23</f>
        <v>0</v>
      </c>
      <c r="P18" s="67">
        <f>((Config!$F23*Commandes!P18)+IF(ROUND((P$8-Config!$C$7)/31,0)&gt;=(Config!$D23+Config!$E23),INDEX(Commandes!$C18:$BJ18,,COLUMN(P$8)-COLUMN($C$8)+1-(Config!$D23+Config!$E23)),0)*Config!$G23)*Config!$C23</f>
        <v>0</v>
      </c>
      <c r="Q18" s="67">
        <f>((Config!$F23*Commandes!Q18)+IF(ROUND((Q$8-Config!$C$7)/31,0)&gt;=(Config!$D23+Config!$E23),INDEX(Commandes!$C18:$BJ18,,COLUMN(Q$8)-COLUMN($C$8)+1-(Config!$D23+Config!$E23)),0)*Config!$G23)*Config!$C23</f>
        <v>0</v>
      </c>
      <c r="R18" s="67">
        <f>((Config!$F23*Commandes!R18)+IF(ROUND((R$8-Config!$C$7)/31,0)&gt;=(Config!$D23+Config!$E23),INDEX(Commandes!$C18:$BJ18,,COLUMN(R$8)-COLUMN($C$8)+1-(Config!$D23+Config!$E23)),0)*Config!$G23)*Config!$C23</f>
        <v>0</v>
      </c>
      <c r="S18" s="67">
        <f>((Config!$F23*Commandes!S18)+IF(ROUND((S$8-Config!$C$7)/31,0)&gt;=(Config!$D23+Config!$E23),INDEX(Commandes!$C18:$BJ18,,COLUMN(S$8)-COLUMN($C$8)+1-(Config!$D23+Config!$E23)),0)*Config!$G23)*Config!$C23</f>
        <v>0</v>
      </c>
      <c r="T18" s="67">
        <f>((Config!$F23*Commandes!T18)+IF(ROUND((T$8-Config!$C$7)/31,0)&gt;=(Config!$D23+Config!$E23),INDEX(Commandes!$C18:$BJ18,,COLUMN(T$8)-COLUMN($C$8)+1-(Config!$D23+Config!$E23)),0)*Config!$G23)*Config!$C23</f>
        <v>0</v>
      </c>
      <c r="U18" s="67">
        <f>((Config!$F23*Commandes!U18)+IF(ROUND((U$8-Config!$C$7)/31,0)&gt;=(Config!$D23+Config!$E23),INDEX(Commandes!$C18:$BJ18,,COLUMN(U$8)-COLUMN($C$8)+1-(Config!$D23+Config!$E23)),0)*Config!$G23)*Config!$C23</f>
        <v>0</v>
      </c>
      <c r="V18" s="67">
        <f>((Config!$F23*Commandes!V18)+IF(ROUND((V$8-Config!$C$7)/31,0)&gt;=(Config!$D23+Config!$E23),INDEX(Commandes!$C18:$BJ18,,COLUMN(V$8)-COLUMN($C$8)+1-(Config!$D23+Config!$E23)),0)*Config!$G23)*Config!$C23</f>
        <v>0</v>
      </c>
      <c r="W18" s="67">
        <f>((Config!$F23*Commandes!W18)+IF(ROUND((W$8-Config!$C$7)/31,0)&gt;=(Config!$D23+Config!$E23),INDEX(Commandes!$C18:$BJ18,,COLUMN(W$8)-COLUMN($C$8)+1-(Config!$D23+Config!$E23)),0)*Config!$G23)*Config!$C23</f>
        <v>0</v>
      </c>
      <c r="X18" s="67">
        <f>((Config!$F23*Commandes!X18)+IF(ROUND((X$8-Config!$C$7)/31,0)&gt;=(Config!$D23+Config!$E23),INDEX(Commandes!$C18:$BJ18,,COLUMN(X$8)-COLUMN($C$8)+1-(Config!$D23+Config!$E23)),0)*Config!$G23)*Config!$C23</f>
        <v>0</v>
      </c>
      <c r="Y18" s="67">
        <f>((Config!$F23*Commandes!Y18)+IF(ROUND((Y$8-Config!$C$7)/31,0)&gt;=(Config!$D23+Config!$E23),INDEX(Commandes!$C18:$BJ18,,COLUMN(Y$8)-COLUMN($C$8)+1-(Config!$D23+Config!$E23)),0)*Config!$G23)*Config!$C23</f>
        <v>0</v>
      </c>
      <c r="Z18" s="67">
        <f>((Config!$F23*Commandes!Z18)+IF(ROUND((Z$8-Config!$C$7)/31,0)&gt;=(Config!$D23+Config!$E23),INDEX(Commandes!$C18:$BJ18,,COLUMN(Z$8)-COLUMN($C$8)+1-(Config!$D23+Config!$E23)),0)*Config!$G23)*Config!$C23</f>
        <v>0</v>
      </c>
      <c r="AA18" s="67">
        <f>((Config!$F23*Commandes!AA18)+IF(ROUND((AA$8-Config!$C$7)/31,0)&gt;=(Config!$D23+Config!$E23),INDEX(Commandes!$C18:$BJ18,,COLUMN(AA$8)-COLUMN($C$8)+1-(Config!$D23+Config!$E23)),0)*Config!$G23)*Config!$C23</f>
        <v>0</v>
      </c>
      <c r="AB18" s="67">
        <f>((Config!$F23*Commandes!AB18)+IF(ROUND((AB$8-Config!$C$7)/31,0)&gt;=(Config!$D23+Config!$E23),INDEX(Commandes!$C18:$BJ18,,COLUMN(AB$8)-COLUMN($C$8)+1-(Config!$D23+Config!$E23)),0)*Config!$G23)*Config!$C23</f>
        <v>0</v>
      </c>
      <c r="AC18" s="67">
        <f>((Config!$F23*Commandes!AC18)+IF(ROUND((AC$8-Config!$C$7)/31,0)&gt;=(Config!$D23+Config!$E23),INDEX(Commandes!$C18:$BJ18,,COLUMN(AC$8)-COLUMN($C$8)+1-(Config!$D23+Config!$E23)),0)*Config!$G23)*Config!$C23</f>
        <v>0</v>
      </c>
      <c r="AD18" s="67">
        <f>((Config!$F23*Commandes!AD18)+IF(ROUND((AD$8-Config!$C$7)/31,0)&gt;=(Config!$D23+Config!$E23),INDEX(Commandes!$C18:$BJ18,,COLUMN(AD$8)-COLUMN($C$8)+1-(Config!$D23+Config!$E23)),0)*Config!$G23)*Config!$C23</f>
        <v>0</v>
      </c>
      <c r="AE18" s="67">
        <f>((Config!$F23*Commandes!AE18)+IF(ROUND((AE$8-Config!$C$7)/31,0)&gt;=(Config!$D23+Config!$E23),INDEX(Commandes!$C18:$BJ18,,COLUMN(AE$8)-COLUMN($C$8)+1-(Config!$D23+Config!$E23)),0)*Config!$G23)*Config!$C23</f>
        <v>0</v>
      </c>
      <c r="AF18" s="67">
        <f>((Config!$F23*Commandes!AF18)+IF(ROUND((AF$8-Config!$C$7)/31,0)&gt;=(Config!$D23+Config!$E23),INDEX(Commandes!$C18:$BJ18,,COLUMN(AF$8)-COLUMN($C$8)+1-(Config!$D23+Config!$E23)),0)*Config!$G23)*Config!$C23</f>
        <v>0</v>
      </c>
      <c r="AG18" s="67">
        <f>((Config!$F23*Commandes!AG18)+IF(ROUND((AG$8-Config!$C$7)/31,0)&gt;=(Config!$D23+Config!$E23),INDEX(Commandes!$C18:$BJ18,,COLUMN(AG$8)-COLUMN($C$8)+1-(Config!$D23+Config!$E23)),0)*Config!$G23)*Config!$C23</f>
        <v>0</v>
      </c>
      <c r="AH18" s="67">
        <f>((Config!$F23*Commandes!AH18)+IF(ROUND((AH$8-Config!$C$7)/31,0)&gt;=(Config!$D23+Config!$E23),INDEX(Commandes!$C18:$BJ18,,COLUMN(AH$8)-COLUMN($C$8)+1-(Config!$D23+Config!$E23)),0)*Config!$G23)*Config!$C23</f>
        <v>0</v>
      </c>
      <c r="AI18" s="67">
        <f>((Config!$F23*Commandes!AI18)+IF(ROUND((AI$8-Config!$C$7)/31,0)&gt;=(Config!$D23+Config!$E23),INDEX(Commandes!$C18:$BJ18,,COLUMN(AI$8)-COLUMN($C$8)+1-(Config!$D23+Config!$E23)),0)*Config!$G23)*Config!$C23</f>
        <v>0</v>
      </c>
      <c r="AJ18" s="67">
        <f>((Config!$F23*Commandes!AJ18)+IF(ROUND((AJ$8-Config!$C$7)/31,0)&gt;=(Config!$D23+Config!$E23),INDEX(Commandes!$C18:$BJ18,,COLUMN(AJ$8)-COLUMN($C$8)+1-(Config!$D23+Config!$E23)),0)*Config!$G23)*Config!$C23</f>
        <v>0</v>
      </c>
      <c r="AK18" s="67">
        <f>((Config!$F23*Commandes!AK18)+IF(ROUND((AK$8-Config!$C$7)/31,0)&gt;=(Config!$D23+Config!$E23),INDEX(Commandes!$C18:$BJ18,,COLUMN(AK$8)-COLUMN($C$8)+1-(Config!$D23+Config!$E23)),0)*Config!$G23)*Config!$C23</f>
        <v>0</v>
      </c>
      <c r="AL18" s="67">
        <f>((Config!$F23*Commandes!AL18)+IF(ROUND((AL$8-Config!$C$7)/31,0)&gt;=(Config!$D23+Config!$E23),INDEX(Commandes!$C18:$BJ18,,COLUMN(AL$8)-COLUMN($C$8)+1-(Config!$D23+Config!$E23)),0)*Config!$G23)*Config!$C23</f>
        <v>0</v>
      </c>
      <c r="AM18" s="67">
        <f>((Config!$F23*Commandes!AM18)+IF(ROUND((AM$8-Config!$C$7)/31,0)&gt;=(Config!$D23+Config!$E23),INDEX(Commandes!$C18:$BJ18,,COLUMN(AM$8)-COLUMN($C$8)+1-(Config!$D23+Config!$E23)),0)*Config!$G23)*Config!$C23</f>
        <v>0</v>
      </c>
      <c r="AN18" s="67">
        <f>((Config!$F23*Commandes!AN18)+IF(ROUND((AN$8-Config!$C$7)/31,0)&gt;=(Config!$D23+Config!$E23),INDEX(Commandes!$C18:$BJ18,,COLUMN(AN$8)-COLUMN($C$8)+1-(Config!$D23+Config!$E23)),0)*Config!$G23)*Config!$C23</f>
        <v>0</v>
      </c>
      <c r="AO18" s="67">
        <f>((Config!$F23*Commandes!AO18)+IF(ROUND((AO$8-Config!$C$7)/31,0)&gt;=(Config!$D23+Config!$E23),INDEX(Commandes!$C18:$BJ18,,COLUMN(AO$8)-COLUMN($C$8)+1-(Config!$D23+Config!$E23)),0)*Config!$G23)*Config!$C23</f>
        <v>0</v>
      </c>
      <c r="AP18" s="67">
        <f>((Config!$F23*Commandes!AP18)+IF(ROUND((AP$8-Config!$C$7)/31,0)&gt;=(Config!$D23+Config!$E23),INDEX(Commandes!$C18:$BJ18,,COLUMN(AP$8)-COLUMN($C$8)+1-(Config!$D23+Config!$E23)),0)*Config!$G23)*Config!$C23</f>
        <v>0</v>
      </c>
      <c r="AQ18" s="67">
        <f>((Config!$F23*Commandes!AQ18)+IF(ROUND((AQ$8-Config!$C$7)/31,0)&gt;=(Config!$D23+Config!$E23),INDEX(Commandes!$C18:$BJ18,,COLUMN(AQ$8)-COLUMN($C$8)+1-(Config!$D23+Config!$E23)),0)*Config!$G23)*Config!$C23</f>
        <v>0</v>
      </c>
      <c r="AR18" s="67">
        <f>((Config!$F23*Commandes!AR18)+IF(ROUND((AR$8-Config!$C$7)/31,0)&gt;=(Config!$D23+Config!$E23),INDEX(Commandes!$C18:$BJ18,,COLUMN(AR$8)-COLUMN($C$8)+1-(Config!$D23+Config!$E23)),0)*Config!$G23)*Config!$C23</f>
        <v>0</v>
      </c>
      <c r="AS18" s="67">
        <f>((Config!$F23*Commandes!AS18)+IF(ROUND((AS$8-Config!$C$7)/31,0)&gt;=(Config!$D23+Config!$E23),INDEX(Commandes!$C18:$BJ18,,COLUMN(AS$8)-COLUMN($C$8)+1-(Config!$D23+Config!$E23)),0)*Config!$G23)*Config!$C23</f>
        <v>0</v>
      </c>
      <c r="AT18" s="67">
        <f>((Config!$F23*Commandes!AT18)+IF(ROUND((AT$8-Config!$C$7)/31,0)&gt;=(Config!$D23+Config!$E23),INDEX(Commandes!$C18:$BJ18,,COLUMN(AT$8)-COLUMN($C$8)+1-(Config!$D23+Config!$E23)),0)*Config!$G23)*Config!$C23</f>
        <v>0</v>
      </c>
      <c r="AU18" s="67">
        <f>((Config!$F23*Commandes!AU18)+IF(ROUND((AU$8-Config!$C$7)/31,0)&gt;=(Config!$D23+Config!$E23),INDEX(Commandes!$C18:$BJ18,,COLUMN(AU$8)-COLUMN($C$8)+1-(Config!$D23+Config!$E23)),0)*Config!$G23)*Config!$C23</f>
        <v>0</v>
      </c>
      <c r="AV18" s="67">
        <f>((Config!$F23*Commandes!AV18)+IF(ROUND((AV$8-Config!$C$7)/31,0)&gt;=(Config!$D23+Config!$E23),INDEX(Commandes!$C18:$BJ18,,COLUMN(AV$8)-COLUMN($C$8)+1-(Config!$D23+Config!$E23)),0)*Config!$G23)*Config!$C23</f>
        <v>0</v>
      </c>
      <c r="AW18" s="67">
        <f>((Config!$F23*Commandes!AW18)+IF(ROUND((AW$8-Config!$C$7)/31,0)&gt;=(Config!$D23+Config!$E23),INDEX(Commandes!$C18:$BJ18,,COLUMN(AW$8)-COLUMN($C$8)+1-(Config!$D23+Config!$E23)),0)*Config!$G23)*Config!$C23</f>
        <v>0</v>
      </c>
      <c r="AX18" s="67">
        <f>((Config!$F23*Commandes!AX18)+IF(ROUND((AX$8-Config!$C$7)/31,0)&gt;=(Config!$D23+Config!$E23),INDEX(Commandes!$C18:$BJ18,,COLUMN(AX$8)-COLUMN($C$8)+1-(Config!$D23+Config!$E23)),0)*Config!$G23)*Config!$C23</f>
        <v>0</v>
      </c>
      <c r="AY18" s="67">
        <f>((Config!$F23*Commandes!AY18)+IF(ROUND((AY$8-Config!$C$7)/31,0)&gt;=(Config!$D23+Config!$E23),INDEX(Commandes!$C18:$BJ18,,COLUMN(AY$8)-COLUMN($C$8)+1-(Config!$D23+Config!$E23)),0)*Config!$G23)*Config!$C23</f>
        <v>0</v>
      </c>
      <c r="AZ18" s="67">
        <f>((Config!$F23*Commandes!AZ18)+IF(ROUND((AZ$8-Config!$C$7)/31,0)&gt;=(Config!$D23+Config!$E23),INDEX(Commandes!$C18:$BJ18,,COLUMN(AZ$8)-COLUMN($C$8)+1-(Config!$D23+Config!$E23)),0)*Config!$G23)*Config!$C23</f>
        <v>0</v>
      </c>
      <c r="BA18" s="67">
        <f>((Config!$F23*Commandes!BA18)+IF(ROUND((BA$8-Config!$C$7)/31,0)&gt;=(Config!$D23+Config!$E23),INDEX(Commandes!$C18:$BJ18,,COLUMN(BA$8)-COLUMN($C$8)+1-(Config!$D23+Config!$E23)),0)*Config!$G23)*Config!$C23</f>
        <v>0</v>
      </c>
      <c r="BB18" s="67">
        <f>((Config!$F23*Commandes!BB18)+IF(ROUND((BB$8-Config!$C$7)/31,0)&gt;=(Config!$D23+Config!$E23),INDEX(Commandes!$C18:$BJ18,,COLUMN(BB$8)-COLUMN($C$8)+1-(Config!$D23+Config!$E23)),0)*Config!$G23)*Config!$C23</f>
        <v>0</v>
      </c>
      <c r="BC18" s="67">
        <f>((Config!$F23*Commandes!BC18)+IF(ROUND((BC$8-Config!$C$7)/31,0)&gt;=(Config!$D23+Config!$E23),INDEX(Commandes!$C18:$BJ18,,COLUMN(BC$8)-COLUMN($C$8)+1-(Config!$D23+Config!$E23)),0)*Config!$G23)*Config!$C23</f>
        <v>0</v>
      </c>
      <c r="BD18" s="67">
        <f>((Config!$F23*Commandes!BD18)+IF(ROUND((BD$8-Config!$C$7)/31,0)&gt;=(Config!$D23+Config!$E23),INDEX(Commandes!$C18:$BJ18,,COLUMN(BD$8)-COLUMN($C$8)+1-(Config!$D23+Config!$E23)),0)*Config!$G23)*Config!$C23</f>
        <v>0</v>
      </c>
      <c r="BE18" s="67">
        <f>((Config!$F23*Commandes!BE18)+IF(ROUND((BE$8-Config!$C$7)/31,0)&gt;=(Config!$D23+Config!$E23),INDEX(Commandes!$C18:$BJ18,,COLUMN(BE$8)-COLUMN($C$8)+1-(Config!$D23+Config!$E23)),0)*Config!$G23)*Config!$C23</f>
        <v>0</v>
      </c>
      <c r="BF18" s="67">
        <f>((Config!$F23*Commandes!BF18)+IF(ROUND((BF$8-Config!$C$7)/31,0)&gt;=(Config!$D23+Config!$E23),INDEX(Commandes!$C18:$BJ18,,COLUMN(BF$8)-COLUMN($C$8)+1-(Config!$D23+Config!$E23)),0)*Config!$G23)*Config!$C23</f>
        <v>0</v>
      </c>
      <c r="BG18" s="67">
        <f>((Config!$F23*Commandes!BG18)+IF(ROUND((BG$8-Config!$C$7)/31,0)&gt;=(Config!$D23+Config!$E23),INDEX(Commandes!$C18:$BJ18,,COLUMN(BG$8)-COLUMN($C$8)+1-(Config!$D23+Config!$E23)),0)*Config!$G23)*Config!$C23</f>
        <v>0</v>
      </c>
      <c r="BH18" s="67">
        <f>((Config!$F23*Commandes!BH18)+IF(ROUND((BH$8-Config!$C$7)/31,0)&gt;=(Config!$D23+Config!$E23),INDEX(Commandes!$C18:$BJ18,,COLUMN(BH$8)-COLUMN($C$8)+1-(Config!$D23+Config!$E23)),0)*Config!$G23)*Config!$C23</f>
        <v>0</v>
      </c>
      <c r="BI18" s="67">
        <f>((Config!$F23*Commandes!BI18)+IF(ROUND((BI$8-Config!$C$7)/31,0)&gt;=(Config!$D23+Config!$E23),INDEX(Commandes!$C18:$BJ18,,COLUMN(BI$8)-COLUMN($C$8)+1-(Config!$D23+Config!$E23)),0)*Config!$G23)*Config!$C23</f>
        <v>0</v>
      </c>
      <c r="BJ18" s="67">
        <f>((Config!$F23*Commandes!BJ18)+IF(ROUND((BJ$8-Config!$C$7)/31,0)&gt;=(Config!$D23+Config!$E23),INDEX(Commandes!$C18:$BJ18,,COLUMN(BJ$8)-COLUMN($C$8)+1-(Config!$D23+Config!$E23)),0)*Config!$G23)*Config!$C23</f>
        <v>0</v>
      </c>
      <c r="BK18" s="70"/>
    </row>
    <row r="19" spans="2:63" x14ac:dyDescent="0.2">
      <c r="B19" s="46">
        <f>Config!$B$24</f>
        <v>0</v>
      </c>
      <c r="C19" s="67">
        <f>((Config!$F24*Commandes!C19)+IF(ROUND((C$8-Config!$C$7)/31,0)&gt;=(Config!$D24+Config!$E24),INDEX(Commandes!$C19:$BJ19,,COLUMN(C$8)-COLUMN($C$8)+1-(Config!$D24+Config!$E24)),0)*Config!$G24)*Config!$C24</f>
        <v>0</v>
      </c>
      <c r="D19" s="67">
        <f>((Config!$F24*Commandes!D19)+IF(ROUND((D$8-Config!$C$7)/31,0)&gt;=(Config!$D24+Config!$E24),INDEX(Commandes!$C19:$BJ19,,COLUMN(D$8)-COLUMN($C$8)+1-(Config!$D24+Config!$E24)),0)*Config!$G24)*Config!$C24</f>
        <v>0</v>
      </c>
      <c r="E19" s="67">
        <f>((Config!$F24*Commandes!E19)+IF(ROUND((E$8-Config!$C$7)/31,0)&gt;=(Config!$D24+Config!$E24),INDEX(Commandes!$C19:$BJ19,,COLUMN(E$8)-COLUMN($C$8)+1-(Config!$D24+Config!$E24)),0)*Config!$G24)*Config!$C24</f>
        <v>0</v>
      </c>
      <c r="F19" s="67">
        <f>((Config!$F24*Commandes!F19)+IF(ROUND((F$8-Config!$C$7)/31,0)&gt;=(Config!$D24+Config!$E24),INDEX(Commandes!$C19:$BJ19,,COLUMN(F$8)-COLUMN($C$8)+1-(Config!$D24+Config!$E24)),0)*Config!$G24)*Config!$C24</f>
        <v>0</v>
      </c>
      <c r="G19" s="67">
        <f>((Config!$F24*Commandes!G19)+IF(ROUND((G$8-Config!$C$7)/31,0)&gt;=(Config!$D24+Config!$E24),INDEX(Commandes!$C19:$BJ19,,COLUMN(G$8)-COLUMN($C$8)+1-(Config!$D24+Config!$E24)),0)*Config!$G24)*Config!$C24</f>
        <v>0</v>
      </c>
      <c r="H19" s="67">
        <f>((Config!$F24*Commandes!H19)+IF(ROUND((H$8-Config!$C$7)/31,0)&gt;=(Config!$D24+Config!$E24),INDEX(Commandes!$C19:$BJ19,,COLUMN(H$8)-COLUMN($C$8)+1-(Config!$D24+Config!$E24)),0)*Config!$G24)*Config!$C24</f>
        <v>0</v>
      </c>
      <c r="I19" s="67">
        <f>((Config!$F24*Commandes!I19)+IF(ROUND((I$8-Config!$C$7)/31,0)&gt;=(Config!$D24+Config!$E24),INDEX(Commandes!$C19:$BJ19,,COLUMN(I$8)-COLUMN($C$8)+1-(Config!$D24+Config!$E24)),0)*Config!$G24)*Config!$C24</f>
        <v>0</v>
      </c>
      <c r="J19" s="67">
        <f>((Config!$F24*Commandes!J19)+IF(ROUND((J$8-Config!$C$7)/31,0)&gt;=(Config!$D24+Config!$E24),INDEX(Commandes!$C19:$BJ19,,COLUMN(J$8)-COLUMN($C$8)+1-(Config!$D24+Config!$E24)),0)*Config!$G24)*Config!$C24</f>
        <v>0</v>
      </c>
      <c r="K19" s="67">
        <f>((Config!$F24*Commandes!K19)+IF(ROUND((K$8-Config!$C$7)/31,0)&gt;=(Config!$D24+Config!$E24),INDEX(Commandes!$C19:$BJ19,,COLUMN(K$8)-COLUMN($C$8)+1-(Config!$D24+Config!$E24)),0)*Config!$G24)*Config!$C24</f>
        <v>0</v>
      </c>
      <c r="L19" s="67">
        <f>((Config!$F24*Commandes!L19)+IF(ROUND((L$8-Config!$C$7)/31,0)&gt;=(Config!$D24+Config!$E24),INDEX(Commandes!$C19:$BJ19,,COLUMN(L$8)-COLUMN($C$8)+1-(Config!$D24+Config!$E24)),0)*Config!$G24)*Config!$C24</f>
        <v>0</v>
      </c>
      <c r="M19" s="67">
        <f>((Config!$F24*Commandes!M19)+IF(ROUND((M$8-Config!$C$7)/31,0)&gt;=(Config!$D24+Config!$E24),INDEX(Commandes!$C19:$BJ19,,COLUMN(M$8)-COLUMN($C$8)+1-(Config!$D24+Config!$E24)),0)*Config!$G24)*Config!$C24</f>
        <v>0</v>
      </c>
      <c r="N19" s="67">
        <f>((Config!$F24*Commandes!N19)+IF(ROUND((N$8-Config!$C$7)/31,0)&gt;=(Config!$D24+Config!$E24),INDEX(Commandes!$C19:$BJ19,,COLUMN(N$8)-COLUMN($C$8)+1-(Config!$D24+Config!$E24)),0)*Config!$G24)*Config!$C24</f>
        <v>0</v>
      </c>
      <c r="O19" s="67">
        <f>((Config!$F24*Commandes!O19)+IF(ROUND((O$8-Config!$C$7)/31,0)&gt;=(Config!$D24+Config!$E24),INDEX(Commandes!$C19:$BJ19,,COLUMN(O$8)-COLUMN($C$8)+1-(Config!$D24+Config!$E24)),0)*Config!$G24)*Config!$C24</f>
        <v>0</v>
      </c>
      <c r="P19" s="67">
        <f>((Config!$F24*Commandes!P19)+IF(ROUND((P$8-Config!$C$7)/31,0)&gt;=(Config!$D24+Config!$E24),INDEX(Commandes!$C19:$BJ19,,COLUMN(P$8)-COLUMN($C$8)+1-(Config!$D24+Config!$E24)),0)*Config!$G24)*Config!$C24</f>
        <v>0</v>
      </c>
      <c r="Q19" s="67">
        <f>((Config!$F24*Commandes!Q19)+IF(ROUND((Q$8-Config!$C$7)/31,0)&gt;=(Config!$D24+Config!$E24),INDEX(Commandes!$C19:$BJ19,,COLUMN(Q$8)-COLUMN($C$8)+1-(Config!$D24+Config!$E24)),0)*Config!$G24)*Config!$C24</f>
        <v>0</v>
      </c>
      <c r="R19" s="67">
        <f>((Config!$F24*Commandes!R19)+IF(ROUND((R$8-Config!$C$7)/31,0)&gt;=(Config!$D24+Config!$E24),INDEX(Commandes!$C19:$BJ19,,COLUMN(R$8)-COLUMN($C$8)+1-(Config!$D24+Config!$E24)),0)*Config!$G24)*Config!$C24</f>
        <v>0</v>
      </c>
      <c r="S19" s="67">
        <f>((Config!$F24*Commandes!S19)+IF(ROUND((S$8-Config!$C$7)/31,0)&gt;=(Config!$D24+Config!$E24),INDEX(Commandes!$C19:$BJ19,,COLUMN(S$8)-COLUMN($C$8)+1-(Config!$D24+Config!$E24)),0)*Config!$G24)*Config!$C24</f>
        <v>0</v>
      </c>
      <c r="T19" s="67">
        <f>((Config!$F24*Commandes!T19)+IF(ROUND((T$8-Config!$C$7)/31,0)&gt;=(Config!$D24+Config!$E24),INDEX(Commandes!$C19:$BJ19,,COLUMN(T$8)-COLUMN($C$8)+1-(Config!$D24+Config!$E24)),0)*Config!$G24)*Config!$C24</f>
        <v>0</v>
      </c>
      <c r="U19" s="67">
        <f>((Config!$F24*Commandes!U19)+IF(ROUND((U$8-Config!$C$7)/31,0)&gt;=(Config!$D24+Config!$E24),INDEX(Commandes!$C19:$BJ19,,COLUMN(U$8)-COLUMN($C$8)+1-(Config!$D24+Config!$E24)),0)*Config!$G24)*Config!$C24</f>
        <v>0</v>
      </c>
      <c r="V19" s="67">
        <f>((Config!$F24*Commandes!V19)+IF(ROUND((V$8-Config!$C$7)/31,0)&gt;=(Config!$D24+Config!$E24),INDEX(Commandes!$C19:$BJ19,,COLUMN(V$8)-COLUMN($C$8)+1-(Config!$D24+Config!$E24)),0)*Config!$G24)*Config!$C24</f>
        <v>0</v>
      </c>
      <c r="W19" s="67">
        <f>((Config!$F24*Commandes!W19)+IF(ROUND((W$8-Config!$C$7)/31,0)&gt;=(Config!$D24+Config!$E24),INDEX(Commandes!$C19:$BJ19,,COLUMN(W$8)-COLUMN($C$8)+1-(Config!$D24+Config!$E24)),0)*Config!$G24)*Config!$C24</f>
        <v>0</v>
      </c>
      <c r="X19" s="67">
        <f>((Config!$F24*Commandes!X19)+IF(ROUND((X$8-Config!$C$7)/31,0)&gt;=(Config!$D24+Config!$E24),INDEX(Commandes!$C19:$BJ19,,COLUMN(X$8)-COLUMN($C$8)+1-(Config!$D24+Config!$E24)),0)*Config!$G24)*Config!$C24</f>
        <v>0</v>
      </c>
      <c r="Y19" s="67">
        <f>((Config!$F24*Commandes!Y19)+IF(ROUND((Y$8-Config!$C$7)/31,0)&gt;=(Config!$D24+Config!$E24),INDEX(Commandes!$C19:$BJ19,,COLUMN(Y$8)-COLUMN($C$8)+1-(Config!$D24+Config!$E24)),0)*Config!$G24)*Config!$C24</f>
        <v>0</v>
      </c>
      <c r="Z19" s="67">
        <f>((Config!$F24*Commandes!Z19)+IF(ROUND((Z$8-Config!$C$7)/31,0)&gt;=(Config!$D24+Config!$E24),INDEX(Commandes!$C19:$BJ19,,COLUMN(Z$8)-COLUMN($C$8)+1-(Config!$D24+Config!$E24)),0)*Config!$G24)*Config!$C24</f>
        <v>0</v>
      </c>
      <c r="AA19" s="67">
        <f>((Config!$F24*Commandes!AA19)+IF(ROUND((AA$8-Config!$C$7)/31,0)&gt;=(Config!$D24+Config!$E24),INDEX(Commandes!$C19:$BJ19,,COLUMN(AA$8)-COLUMN($C$8)+1-(Config!$D24+Config!$E24)),0)*Config!$G24)*Config!$C24</f>
        <v>0</v>
      </c>
      <c r="AB19" s="67">
        <f>((Config!$F24*Commandes!AB19)+IF(ROUND((AB$8-Config!$C$7)/31,0)&gt;=(Config!$D24+Config!$E24),INDEX(Commandes!$C19:$BJ19,,COLUMN(AB$8)-COLUMN($C$8)+1-(Config!$D24+Config!$E24)),0)*Config!$G24)*Config!$C24</f>
        <v>0</v>
      </c>
      <c r="AC19" s="67">
        <f>((Config!$F24*Commandes!AC19)+IF(ROUND((AC$8-Config!$C$7)/31,0)&gt;=(Config!$D24+Config!$E24),INDEX(Commandes!$C19:$BJ19,,COLUMN(AC$8)-COLUMN($C$8)+1-(Config!$D24+Config!$E24)),0)*Config!$G24)*Config!$C24</f>
        <v>0</v>
      </c>
      <c r="AD19" s="67">
        <f>((Config!$F24*Commandes!AD19)+IF(ROUND((AD$8-Config!$C$7)/31,0)&gt;=(Config!$D24+Config!$E24),INDEX(Commandes!$C19:$BJ19,,COLUMN(AD$8)-COLUMN($C$8)+1-(Config!$D24+Config!$E24)),0)*Config!$G24)*Config!$C24</f>
        <v>0</v>
      </c>
      <c r="AE19" s="67">
        <f>((Config!$F24*Commandes!AE19)+IF(ROUND((AE$8-Config!$C$7)/31,0)&gt;=(Config!$D24+Config!$E24),INDEX(Commandes!$C19:$BJ19,,COLUMN(AE$8)-COLUMN($C$8)+1-(Config!$D24+Config!$E24)),0)*Config!$G24)*Config!$C24</f>
        <v>0</v>
      </c>
      <c r="AF19" s="67">
        <f>((Config!$F24*Commandes!AF19)+IF(ROUND((AF$8-Config!$C$7)/31,0)&gt;=(Config!$D24+Config!$E24),INDEX(Commandes!$C19:$BJ19,,COLUMN(AF$8)-COLUMN($C$8)+1-(Config!$D24+Config!$E24)),0)*Config!$G24)*Config!$C24</f>
        <v>0</v>
      </c>
      <c r="AG19" s="67">
        <f>((Config!$F24*Commandes!AG19)+IF(ROUND((AG$8-Config!$C$7)/31,0)&gt;=(Config!$D24+Config!$E24),INDEX(Commandes!$C19:$BJ19,,COLUMN(AG$8)-COLUMN($C$8)+1-(Config!$D24+Config!$E24)),0)*Config!$G24)*Config!$C24</f>
        <v>0</v>
      </c>
      <c r="AH19" s="67">
        <f>((Config!$F24*Commandes!AH19)+IF(ROUND((AH$8-Config!$C$7)/31,0)&gt;=(Config!$D24+Config!$E24),INDEX(Commandes!$C19:$BJ19,,COLUMN(AH$8)-COLUMN($C$8)+1-(Config!$D24+Config!$E24)),0)*Config!$G24)*Config!$C24</f>
        <v>0</v>
      </c>
      <c r="AI19" s="67">
        <f>((Config!$F24*Commandes!AI19)+IF(ROUND((AI$8-Config!$C$7)/31,0)&gt;=(Config!$D24+Config!$E24),INDEX(Commandes!$C19:$BJ19,,COLUMN(AI$8)-COLUMN($C$8)+1-(Config!$D24+Config!$E24)),0)*Config!$G24)*Config!$C24</f>
        <v>0</v>
      </c>
      <c r="AJ19" s="67">
        <f>((Config!$F24*Commandes!AJ19)+IF(ROUND((AJ$8-Config!$C$7)/31,0)&gt;=(Config!$D24+Config!$E24),INDEX(Commandes!$C19:$BJ19,,COLUMN(AJ$8)-COLUMN($C$8)+1-(Config!$D24+Config!$E24)),0)*Config!$G24)*Config!$C24</f>
        <v>0</v>
      </c>
      <c r="AK19" s="67">
        <f>((Config!$F24*Commandes!AK19)+IF(ROUND((AK$8-Config!$C$7)/31,0)&gt;=(Config!$D24+Config!$E24),INDEX(Commandes!$C19:$BJ19,,COLUMN(AK$8)-COLUMN($C$8)+1-(Config!$D24+Config!$E24)),0)*Config!$G24)*Config!$C24</f>
        <v>0</v>
      </c>
      <c r="AL19" s="67">
        <f>((Config!$F24*Commandes!AL19)+IF(ROUND((AL$8-Config!$C$7)/31,0)&gt;=(Config!$D24+Config!$E24),INDEX(Commandes!$C19:$BJ19,,COLUMN(AL$8)-COLUMN($C$8)+1-(Config!$D24+Config!$E24)),0)*Config!$G24)*Config!$C24</f>
        <v>0</v>
      </c>
      <c r="AM19" s="67">
        <f>((Config!$F24*Commandes!AM19)+IF(ROUND((AM$8-Config!$C$7)/31,0)&gt;=(Config!$D24+Config!$E24),INDEX(Commandes!$C19:$BJ19,,COLUMN(AM$8)-COLUMN($C$8)+1-(Config!$D24+Config!$E24)),0)*Config!$G24)*Config!$C24</f>
        <v>0</v>
      </c>
      <c r="AN19" s="67">
        <f>((Config!$F24*Commandes!AN19)+IF(ROUND((AN$8-Config!$C$7)/31,0)&gt;=(Config!$D24+Config!$E24),INDEX(Commandes!$C19:$BJ19,,COLUMN(AN$8)-COLUMN($C$8)+1-(Config!$D24+Config!$E24)),0)*Config!$G24)*Config!$C24</f>
        <v>0</v>
      </c>
      <c r="AO19" s="67">
        <f>((Config!$F24*Commandes!AO19)+IF(ROUND((AO$8-Config!$C$7)/31,0)&gt;=(Config!$D24+Config!$E24),INDEX(Commandes!$C19:$BJ19,,COLUMN(AO$8)-COLUMN($C$8)+1-(Config!$D24+Config!$E24)),0)*Config!$G24)*Config!$C24</f>
        <v>0</v>
      </c>
      <c r="AP19" s="67">
        <f>((Config!$F24*Commandes!AP19)+IF(ROUND((AP$8-Config!$C$7)/31,0)&gt;=(Config!$D24+Config!$E24),INDEX(Commandes!$C19:$BJ19,,COLUMN(AP$8)-COLUMN($C$8)+1-(Config!$D24+Config!$E24)),0)*Config!$G24)*Config!$C24</f>
        <v>0</v>
      </c>
      <c r="AQ19" s="67">
        <f>((Config!$F24*Commandes!AQ19)+IF(ROUND((AQ$8-Config!$C$7)/31,0)&gt;=(Config!$D24+Config!$E24),INDEX(Commandes!$C19:$BJ19,,COLUMN(AQ$8)-COLUMN($C$8)+1-(Config!$D24+Config!$E24)),0)*Config!$G24)*Config!$C24</f>
        <v>0</v>
      </c>
      <c r="AR19" s="67">
        <f>((Config!$F24*Commandes!AR19)+IF(ROUND((AR$8-Config!$C$7)/31,0)&gt;=(Config!$D24+Config!$E24),INDEX(Commandes!$C19:$BJ19,,COLUMN(AR$8)-COLUMN($C$8)+1-(Config!$D24+Config!$E24)),0)*Config!$G24)*Config!$C24</f>
        <v>0</v>
      </c>
      <c r="AS19" s="67">
        <f>((Config!$F24*Commandes!AS19)+IF(ROUND((AS$8-Config!$C$7)/31,0)&gt;=(Config!$D24+Config!$E24),INDEX(Commandes!$C19:$BJ19,,COLUMN(AS$8)-COLUMN($C$8)+1-(Config!$D24+Config!$E24)),0)*Config!$G24)*Config!$C24</f>
        <v>0</v>
      </c>
      <c r="AT19" s="67">
        <f>((Config!$F24*Commandes!AT19)+IF(ROUND((AT$8-Config!$C$7)/31,0)&gt;=(Config!$D24+Config!$E24),INDEX(Commandes!$C19:$BJ19,,COLUMN(AT$8)-COLUMN($C$8)+1-(Config!$D24+Config!$E24)),0)*Config!$G24)*Config!$C24</f>
        <v>0</v>
      </c>
      <c r="AU19" s="67">
        <f>((Config!$F24*Commandes!AU19)+IF(ROUND((AU$8-Config!$C$7)/31,0)&gt;=(Config!$D24+Config!$E24),INDEX(Commandes!$C19:$BJ19,,COLUMN(AU$8)-COLUMN($C$8)+1-(Config!$D24+Config!$E24)),0)*Config!$G24)*Config!$C24</f>
        <v>0</v>
      </c>
      <c r="AV19" s="67">
        <f>((Config!$F24*Commandes!AV19)+IF(ROUND((AV$8-Config!$C$7)/31,0)&gt;=(Config!$D24+Config!$E24),INDEX(Commandes!$C19:$BJ19,,COLUMN(AV$8)-COLUMN($C$8)+1-(Config!$D24+Config!$E24)),0)*Config!$G24)*Config!$C24</f>
        <v>0</v>
      </c>
      <c r="AW19" s="67">
        <f>((Config!$F24*Commandes!AW19)+IF(ROUND((AW$8-Config!$C$7)/31,0)&gt;=(Config!$D24+Config!$E24),INDEX(Commandes!$C19:$BJ19,,COLUMN(AW$8)-COLUMN($C$8)+1-(Config!$D24+Config!$E24)),0)*Config!$G24)*Config!$C24</f>
        <v>0</v>
      </c>
      <c r="AX19" s="67">
        <f>((Config!$F24*Commandes!AX19)+IF(ROUND((AX$8-Config!$C$7)/31,0)&gt;=(Config!$D24+Config!$E24),INDEX(Commandes!$C19:$BJ19,,COLUMN(AX$8)-COLUMN($C$8)+1-(Config!$D24+Config!$E24)),0)*Config!$G24)*Config!$C24</f>
        <v>0</v>
      </c>
      <c r="AY19" s="67">
        <f>((Config!$F24*Commandes!AY19)+IF(ROUND((AY$8-Config!$C$7)/31,0)&gt;=(Config!$D24+Config!$E24),INDEX(Commandes!$C19:$BJ19,,COLUMN(AY$8)-COLUMN($C$8)+1-(Config!$D24+Config!$E24)),0)*Config!$G24)*Config!$C24</f>
        <v>0</v>
      </c>
      <c r="AZ19" s="67">
        <f>((Config!$F24*Commandes!AZ19)+IF(ROUND((AZ$8-Config!$C$7)/31,0)&gt;=(Config!$D24+Config!$E24),INDEX(Commandes!$C19:$BJ19,,COLUMN(AZ$8)-COLUMN($C$8)+1-(Config!$D24+Config!$E24)),0)*Config!$G24)*Config!$C24</f>
        <v>0</v>
      </c>
      <c r="BA19" s="67">
        <f>((Config!$F24*Commandes!BA19)+IF(ROUND((BA$8-Config!$C$7)/31,0)&gt;=(Config!$D24+Config!$E24),INDEX(Commandes!$C19:$BJ19,,COLUMN(BA$8)-COLUMN($C$8)+1-(Config!$D24+Config!$E24)),0)*Config!$G24)*Config!$C24</f>
        <v>0</v>
      </c>
      <c r="BB19" s="67">
        <f>((Config!$F24*Commandes!BB19)+IF(ROUND((BB$8-Config!$C$7)/31,0)&gt;=(Config!$D24+Config!$E24),INDEX(Commandes!$C19:$BJ19,,COLUMN(BB$8)-COLUMN($C$8)+1-(Config!$D24+Config!$E24)),0)*Config!$G24)*Config!$C24</f>
        <v>0</v>
      </c>
      <c r="BC19" s="67">
        <f>((Config!$F24*Commandes!BC19)+IF(ROUND((BC$8-Config!$C$7)/31,0)&gt;=(Config!$D24+Config!$E24),INDEX(Commandes!$C19:$BJ19,,COLUMN(BC$8)-COLUMN($C$8)+1-(Config!$D24+Config!$E24)),0)*Config!$G24)*Config!$C24</f>
        <v>0</v>
      </c>
      <c r="BD19" s="67">
        <f>((Config!$F24*Commandes!BD19)+IF(ROUND((BD$8-Config!$C$7)/31,0)&gt;=(Config!$D24+Config!$E24),INDEX(Commandes!$C19:$BJ19,,COLUMN(BD$8)-COLUMN($C$8)+1-(Config!$D24+Config!$E24)),0)*Config!$G24)*Config!$C24</f>
        <v>0</v>
      </c>
      <c r="BE19" s="67">
        <f>((Config!$F24*Commandes!BE19)+IF(ROUND((BE$8-Config!$C$7)/31,0)&gt;=(Config!$D24+Config!$E24),INDEX(Commandes!$C19:$BJ19,,COLUMN(BE$8)-COLUMN($C$8)+1-(Config!$D24+Config!$E24)),0)*Config!$G24)*Config!$C24</f>
        <v>0</v>
      </c>
      <c r="BF19" s="67">
        <f>((Config!$F24*Commandes!BF19)+IF(ROUND((BF$8-Config!$C$7)/31,0)&gt;=(Config!$D24+Config!$E24),INDEX(Commandes!$C19:$BJ19,,COLUMN(BF$8)-COLUMN($C$8)+1-(Config!$D24+Config!$E24)),0)*Config!$G24)*Config!$C24</f>
        <v>0</v>
      </c>
      <c r="BG19" s="67">
        <f>((Config!$F24*Commandes!BG19)+IF(ROUND((BG$8-Config!$C$7)/31,0)&gt;=(Config!$D24+Config!$E24),INDEX(Commandes!$C19:$BJ19,,COLUMN(BG$8)-COLUMN($C$8)+1-(Config!$D24+Config!$E24)),0)*Config!$G24)*Config!$C24</f>
        <v>0</v>
      </c>
      <c r="BH19" s="67">
        <f>((Config!$F24*Commandes!BH19)+IF(ROUND((BH$8-Config!$C$7)/31,0)&gt;=(Config!$D24+Config!$E24),INDEX(Commandes!$C19:$BJ19,,COLUMN(BH$8)-COLUMN($C$8)+1-(Config!$D24+Config!$E24)),0)*Config!$G24)*Config!$C24</f>
        <v>0</v>
      </c>
      <c r="BI19" s="67">
        <f>((Config!$F24*Commandes!BI19)+IF(ROUND((BI$8-Config!$C$7)/31,0)&gt;=(Config!$D24+Config!$E24),INDEX(Commandes!$C19:$BJ19,,COLUMN(BI$8)-COLUMN($C$8)+1-(Config!$D24+Config!$E24)),0)*Config!$G24)*Config!$C24</f>
        <v>0</v>
      </c>
      <c r="BJ19" s="67">
        <f>((Config!$F24*Commandes!BJ19)+IF(ROUND((BJ$8-Config!$C$7)/31,0)&gt;=(Config!$D24+Config!$E24),INDEX(Commandes!$C19:$BJ19,,COLUMN(BJ$8)-COLUMN($C$8)+1-(Config!$D24+Config!$E24)),0)*Config!$G24)*Config!$C24</f>
        <v>0</v>
      </c>
      <c r="BK19" s="70"/>
    </row>
    <row r="20" spans="2:63" x14ac:dyDescent="0.2">
      <c r="B20" s="46">
        <f>Config!$B$25</f>
        <v>0</v>
      </c>
      <c r="C20" s="67">
        <f>((Config!$F25*Commandes!C20)+IF(ROUND((C$8-Config!$C$7)/31,0)&gt;=(Config!$D25+Config!$E25),INDEX(Commandes!$C20:$BJ20,,COLUMN(C$8)-COLUMN($C$8)+1-(Config!$D25+Config!$E25)),0)*Config!$G25)*Config!$C25</f>
        <v>0</v>
      </c>
      <c r="D20" s="67">
        <f>((Config!$F25*Commandes!D20)+IF(ROUND((D$8-Config!$C$7)/31,0)&gt;=(Config!$D25+Config!$E25),INDEX(Commandes!$C20:$BJ20,,COLUMN(D$8)-COLUMN($C$8)+1-(Config!$D25+Config!$E25)),0)*Config!$G25)*Config!$C25</f>
        <v>0</v>
      </c>
      <c r="E20" s="67">
        <f>((Config!$F25*Commandes!E20)+IF(ROUND((E$8-Config!$C$7)/31,0)&gt;=(Config!$D25+Config!$E25),INDEX(Commandes!$C20:$BJ20,,COLUMN(E$8)-COLUMN($C$8)+1-(Config!$D25+Config!$E25)),0)*Config!$G25)*Config!$C25</f>
        <v>0</v>
      </c>
      <c r="F20" s="67">
        <f>((Config!$F25*Commandes!F20)+IF(ROUND((F$8-Config!$C$7)/31,0)&gt;=(Config!$D25+Config!$E25),INDEX(Commandes!$C20:$BJ20,,COLUMN(F$8)-COLUMN($C$8)+1-(Config!$D25+Config!$E25)),0)*Config!$G25)*Config!$C25</f>
        <v>0</v>
      </c>
      <c r="G20" s="67">
        <f>((Config!$F25*Commandes!G20)+IF(ROUND((G$8-Config!$C$7)/31,0)&gt;=(Config!$D25+Config!$E25),INDEX(Commandes!$C20:$BJ20,,COLUMN(G$8)-COLUMN($C$8)+1-(Config!$D25+Config!$E25)),0)*Config!$G25)*Config!$C25</f>
        <v>0</v>
      </c>
      <c r="H20" s="67">
        <f>((Config!$F25*Commandes!H20)+IF(ROUND((H$8-Config!$C$7)/31,0)&gt;=(Config!$D25+Config!$E25),INDEX(Commandes!$C20:$BJ20,,COLUMN(H$8)-COLUMN($C$8)+1-(Config!$D25+Config!$E25)),0)*Config!$G25)*Config!$C25</f>
        <v>0</v>
      </c>
      <c r="I20" s="67">
        <f>((Config!$F25*Commandes!I20)+IF(ROUND((I$8-Config!$C$7)/31,0)&gt;=(Config!$D25+Config!$E25),INDEX(Commandes!$C20:$BJ20,,COLUMN(I$8)-COLUMN($C$8)+1-(Config!$D25+Config!$E25)),0)*Config!$G25)*Config!$C25</f>
        <v>0</v>
      </c>
      <c r="J20" s="67">
        <f>((Config!$F25*Commandes!J20)+IF(ROUND((J$8-Config!$C$7)/31,0)&gt;=(Config!$D25+Config!$E25),INDEX(Commandes!$C20:$BJ20,,COLUMN(J$8)-COLUMN($C$8)+1-(Config!$D25+Config!$E25)),0)*Config!$G25)*Config!$C25</f>
        <v>0</v>
      </c>
      <c r="K20" s="67">
        <f>((Config!$F25*Commandes!K20)+IF(ROUND((K$8-Config!$C$7)/31,0)&gt;=(Config!$D25+Config!$E25),INDEX(Commandes!$C20:$BJ20,,COLUMN(K$8)-COLUMN($C$8)+1-(Config!$D25+Config!$E25)),0)*Config!$G25)*Config!$C25</f>
        <v>0</v>
      </c>
      <c r="L20" s="67">
        <f>((Config!$F25*Commandes!L20)+IF(ROUND((L$8-Config!$C$7)/31,0)&gt;=(Config!$D25+Config!$E25),INDEX(Commandes!$C20:$BJ20,,COLUMN(L$8)-COLUMN($C$8)+1-(Config!$D25+Config!$E25)),0)*Config!$G25)*Config!$C25</f>
        <v>0</v>
      </c>
      <c r="M20" s="67">
        <f>((Config!$F25*Commandes!M20)+IF(ROUND((M$8-Config!$C$7)/31,0)&gt;=(Config!$D25+Config!$E25),INDEX(Commandes!$C20:$BJ20,,COLUMN(M$8)-COLUMN($C$8)+1-(Config!$D25+Config!$E25)),0)*Config!$G25)*Config!$C25</f>
        <v>0</v>
      </c>
      <c r="N20" s="67">
        <f>((Config!$F25*Commandes!N20)+IF(ROUND((N$8-Config!$C$7)/31,0)&gt;=(Config!$D25+Config!$E25),INDEX(Commandes!$C20:$BJ20,,COLUMN(N$8)-COLUMN($C$8)+1-(Config!$D25+Config!$E25)),0)*Config!$G25)*Config!$C25</f>
        <v>0</v>
      </c>
      <c r="O20" s="67">
        <f>((Config!$F25*Commandes!O20)+IF(ROUND((O$8-Config!$C$7)/31,0)&gt;=(Config!$D25+Config!$E25),INDEX(Commandes!$C20:$BJ20,,COLUMN(O$8)-COLUMN($C$8)+1-(Config!$D25+Config!$E25)),0)*Config!$G25)*Config!$C25</f>
        <v>0</v>
      </c>
      <c r="P20" s="67">
        <f>((Config!$F25*Commandes!P20)+IF(ROUND((P$8-Config!$C$7)/31,0)&gt;=(Config!$D25+Config!$E25),INDEX(Commandes!$C20:$BJ20,,COLUMN(P$8)-COLUMN($C$8)+1-(Config!$D25+Config!$E25)),0)*Config!$G25)*Config!$C25</f>
        <v>0</v>
      </c>
      <c r="Q20" s="67">
        <f>((Config!$F25*Commandes!Q20)+IF(ROUND((Q$8-Config!$C$7)/31,0)&gt;=(Config!$D25+Config!$E25),INDEX(Commandes!$C20:$BJ20,,COLUMN(Q$8)-COLUMN($C$8)+1-(Config!$D25+Config!$E25)),0)*Config!$G25)*Config!$C25</f>
        <v>0</v>
      </c>
      <c r="R20" s="67">
        <f>((Config!$F25*Commandes!R20)+IF(ROUND((R$8-Config!$C$7)/31,0)&gt;=(Config!$D25+Config!$E25),INDEX(Commandes!$C20:$BJ20,,COLUMN(R$8)-COLUMN($C$8)+1-(Config!$D25+Config!$E25)),0)*Config!$G25)*Config!$C25</f>
        <v>0</v>
      </c>
      <c r="S20" s="67">
        <f>((Config!$F25*Commandes!S20)+IF(ROUND((S$8-Config!$C$7)/31,0)&gt;=(Config!$D25+Config!$E25),INDEX(Commandes!$C20:$BJ20,,COLUMN(S$8)-COLUMN($C$8)+1-(Config!$D25+Config!$E25)),0)*Config!$G25)*Config!$C25</f>
        <v>0</v>
      </c>
      <c r="T20" s="67">
        <f>((Config!$F25*Commandes!T20)+IF(ROUND((T$8-Config!$C$7)/31,0)&gt;=(Config!$D25+Config!$E25),INDEX(Commandes!$C20:$BJ20,,COLUMN(T$8)-COLUMN($C$8)+1-(Config!$D25+Config!$E25)),0)*Config!$G25)*Config!$C25</f>
        <v>0</v>
      </c>
      <c r="U20" s="67">
        <f>((Config!$F25*Commandes!U20)+IF(ROUND((U$8-Config!$C$7)/31,0)&gt;=(Config!$D25+Config!$E25),INDEX(Commandes!$C20:$BJ20,,COLUMN(U$8)-COLUMN($C$8)+1-(Config!$D25+Config!$E25)),0)*Config!$G25)*Config!$C25</f>
        <v>0</v>
      </c>
      <c r="V20" s="67">
        <f>((Config!$F25*Commandes!V20)+IF(ROUND((V$8-Config!$C$7)/31,0)&gt;=(Config!$D25+Config!$E25),INDEX(Commandes!$C20:$BJ20,,COLUMN(V$8)-COLUMN($C$8)+1-(Config!$D25+Config!$E25)),0)*Config!$G25)*Config!$C25</f>
        <v>0</v>
      </c>
      <c r="W20" s="67">
        <f>((Config!$F25*Commandes!W20)+IF(ROUND((W$8-Config!$C$7)/31,0)&gt;=(Config!$D25+Config!$E25),INDEX(Commandes!$C20:$BJ20,,COLUMN(W$8)-COLUMN($C$8)+1-(Config!$D25+Config!$E25)),0)*Config!$G25)*Config!$C25</f>
        <v>0</v>
      </c>
      <c r="X20" s="67">
        <f>((Config!$F25*Commandes!X20)+IF(ROUND((X$8-Config!$C$7)/31,0)&gt;=(Config!$D25+Config!$E25),INDEX(Commandes!$C20:$BJ20,,COLUMN(X$8)-COLUMN($C$8)+1-(Config!$D25+Config!$E25)),0)*Config!$G25)*Config!$C25</f>
        <v>0</v>
      </c>
      <c r="Y20" s="67">
        <f>((Config!$F25*Commandes!Y20)+IF(ROUND((Y$8-Config!$C$7)/31,0)&gt;=(Config!$D25+Config!$E25),INDEX(Commandes!$C20:$BJ20,,COLUMN(Y$8)-COLUMN($C$8)+1-(Config!$D25+Config!$E25)),0)*Config!$G25)*Config!$C25</f>
        <v>0</v>
      </c>
      <c r="Z20" s="67">
        <f>((Config!$F25*Commandes!Z20)+IF(ROUND((Z$8-Config!$C$7)/31,0)&gt;=(Config!$D25+Config!$E25),INDEX(Commandes!$C20:$BJ20,,COLUMN(Z$8)-COLUMN($C$8)+1-(Config!$D25+Config!$E25)),0)*Config!$G25)*Config!$C25</f>
        <v>0</v>
      </c>
      <c r="AA20" s="67">
        <f>((Config!$F25*Commandes!AA20)+IF(ROUND((AA$8-Config!$C$7)/31,0)&gt;=(Config!$D25+Config!$E25),INDEX(Commandes!$C20:$BJ20,,COLUMN(AA$8)-COLUMN($C$8)+1-(Config!$D25+Config!$E25)),0)*Config!$G25)*Config!$C25</f>
        <v>0</v>
      </c>
      <c r="AB20" s="67">
        <f>((Config!$F25*Commandes!AB20)+IF(ROUND((AB$8-Config!$C$7)/31,0)&gt;=(Config!$D25+Config!$E25),INDEX(Commandes!$C20:$BJ20,,COLUMN(AB$8)-COLUMN($C$8)+1-(Config!$D25+Config!$E25)),0)*Config!$G25)*Config!$C25</f>
        <v>0</v>
      </c>
      <c r="AC20" s="67">
        <f>((Config!$F25*Commandes!AC20)+IF(ROUND((AC$8-Config!$C$7)/31,0)&gt;=(Config!$D25+Config!$E25),INDEX(Commandes!$C20:$BJ20,,COLUMN(AC$8)-COLUMN($C$8)+1-(Config!$D25+Config!$E25)),0)*Config!$G25)*Config!$C25</f>
        <v>0</v>
      </c>
      <c r="AD20" s="67">
        <f>((Config!$F25*Commandes!AD20)+IF(ROUND((AD$8-Config!$C$7)/31,0)&gt;=(Config!$D25+Config!$E25),INDEX(Commandes!$C20:$BJ20,,COLUMN(AD$8)-COLUMN($C$8)+1-(Config!$D25+Config!$E25)),0)*Config!$G25)*Config!$C25</f>
        <v>0</v>
      </c>
      <c r="AE20" s="67">
        <f>((Config!$F25*Commandes!AE20)+IF(ROUND((AE$8-Config!$C$7)/31,0)&gt;=(Config!$D25+Config!$E25),INDEX(Commandes!$C20:$BJ20,,COLUMN(AE$8)-COLUMN($C$8)+1-(Config!$D25+Config!$E25)),0)*Config!$G25)*Config!$C25</f>
        <v>0</v>
      </c>
      <c r="AF20" s="67">
        <f>((Config!$F25*Commandes!AF20)+IF(ROUND((AF$8-Config!$C$7)/31,0)&gt;=(Config!$D25+Config!$E25),INDEX(Commandes!$C20:$BJ20,,COLUMN(AF$8)-COLUMN($C$8)+1-(Config!$D25+Config!$E25)),0)*Config!$G25)*Config!$C25</f>
        <v>0</v>
      </c>
      <c r="AG20" s="67">
        <f>((Config!$F25*Commandes!AG20)+IF(ROUND((AG$8-Config!$C$7)/31,0)&gt;=(Config!$D25+Config!$E25),INDEX(Commandes!$C20:$BJ20,,COLUMN(AG$8)-COLUMN($C$8)+1-(Config!$D25+Config!$E25)),0)*Config!$G25)*Config!$C25</f>
        <v>0</v>
      </c>
      <c r="AH20" s="67">
        <f>((Config!$F25*Commandes!AH20)+IF(ROUND((AH$8-Config!$C$7)/31,0)&gt;=(Config!$D25+Config!$E25),INDEX(Commandes!$C20:$BJ20,,COLUMN(AH$8)-COLUMN($C$8)+1-(Config!$D25+Config!$E25)),0)*Config!$G25)*Config!$C25</f>
        <v>0</v>
      </c>
      <c r="AI20" s="67">
        <f>((Config!$F25*Commandes!AI20)+IF(ROUND((AI$8-Config!$C$7)/31,0)&gt;=(Config!$D25+Config!$E25),INDEX(Commandes!$C20:$BJ20,,COLUMN(AI$8)-COLUMN($C$8)+1-(Config!$D25+Config!$E25)),0)*Config!$G25)*Config!$C25</f>
        <v>0</v>
      </c>
      <c r="AJ20" s="67">
        <f>((Config!$F25*Commandes!AJ20)+IF(ROUND((AJ$8-Config!$C$7)/31,0)&gt;=(Config!$D25+Config!$E25),INDEX(Commandes!$C20:$BJ20,,COLUMN(AJ$8)-COLUMN($C$8)+1-(Config!$D25+Config!$E25)),0)*Config!$G25)*Config!$C25</f>
        <v>0</v>
      </c>
      <c r="AK20" s="67">
        <f>((Config!$F25*Commandes!AK20)+IF(ROUND((AK$8-Config!$C$7)/31,0)&gt;=(Config!$D25+Config!$E25),INDEX(Commandes!$C20:$BJ20,,COLUMN(AK$8)-COLUMN($C$8)+1-(Config!$D25+Config!$E25)),0)*Config!$G25)*Config!$C25</f>
        <v>0</v>
      </c>
      <c r="AL20" s="67">
        <f>((Config!$F25*Commandes!AL20)+IF(ROUND((AL$8-Config!$C$7)/31,0)&gt;=(Config!$D25+Config!$E25),INDEX(Commandes!$C20:$BJ20,,COLUMN(AL$8)-COLUMN($C$8)+1-(Config!$D25+Config!$E25)),0)*Config!$G25)*Config!$C25</f>
        <v>0</v>
      </c>
      <c r="AM20" s="67">
        <f>((Config!$F25*Commandes!AM20)+IF(ROUND((AM$8-Config!$C$7)/31,0)&gt;=(Config!$D25+Config!$E25),INDEX(Commandes!$C20:$BJ20,,COLUMN(AM$8)-COLUMN($C$8)+1-(Config!$D25+Config!$E25)),0)*Config!$G25)*Config!$C25</f>
        <v>0</v>
      </c>
      <c r="AN20" s="67">
        <f>((Config!$F25*Commandes!AN20)+IF(ROUND((AN$8-Config!$C$7)/31,0)&gt;=(Config!$D25+Config!$E25),INDEX(Commandes!$C20:$BJ20,,COLUMN(AN$8)-COLUMN($C$8)+1-(Config!$D25+Config!$E25)),0)*Config!$G25)*Config!$C25</f>
        <v>0</v>
      </c>
      <c r="AO20" s="67">
        <f>((Config!$F25*Commandes!AO20)+IF(ROUND((AO$8-Config!$C$7)/31,0)&gt;=(Config!$D25+Config!$E25),INDEX(Commandes!$C20:$BJ20,,COLUMN(AO$8)-COLUMN($C$8)+1-(Config!$D25+Config!$E25)),0)*Config!$G25)*Config!$C25</f>
        <v>0</v>
      </c>
      <c r="AP20" s="67">
        <f>((Config!$F25*Commandes!AP20)+IF(ROUND((AP$8-Config!$C$7)/31,0)&gt;=(Config!$D25+Config!$E25),INDEX(Commandes!$C20:$BJ20,,COLUMN(AP$8)-COLUMN($C$8)+1-(Config!$D25+Config!$E25)),0)*Config!$G25)*Config!$C25</f>
        <v>0</v>
      </c>
      <c r="AQ20" s="67">
        <f>((Config!$F25*Commandes!AQ20)+IF(ROUND((AQ$8-Config!$C$7)/31,0)&gt;=(Config!$D25+Config!$E25),INDEX(Commandes!$C20:$BJ20,,COLUMN(AQ$8)-COLUMN($C$8)+1-(Config!$D25+Config!$E25)),0)*Config!$G25)*Config!$C25</f>
        <v>0</v>
      </c>
      <c r="AR20" s="67">
        <f>((Config!$F25*Commandes!AR20)+IF(ROUND((AR$8-Config!$C$7)/31,0)&gt;=(Config!$D25+Config!$E25),INDEX(Commandes!$C20:$BJ20,,COLUMN(AR$8)-COLUMN($C$8)+1-(Config!$D25+Config!$E25)),0)*Config!$G25)*Config!$C25</f>
        <v>0</v>
      </c>
      <c r="AS20" s="67">
        <f>((Config!$F25*Commandes!AS20)+IF(ROUND((AS$8-Config!$C$7)/31,0)&gt;=(Config!$D25+Config!$E25),INDEX(Commandes!$C20:$BJ20,,COLUMN(AS$8)-COLUMN($C$8)+1-(Config!$D25+Config!$E25)),0)*Config!$G25)*Config!$C25</f>
        <v>0</v>
      </c>
      <c r="AT20" s="67">
        <f>((Config!$F25*Commandes!AT20)+IF(ROUND((AT$8-Config!$C$7)/31,0)&gt;=(Config!$D25+Config!$E25),INDEX(Commandes!$C20:$BJ20,,COLUMN(AT$8)-COLUMN($C$8)+1-(Config!$D25+Config!$E25)),0)*Config!$G25)*Config!$C25</f>
        <v>0</v>
      </c>
      <c r="AU20" s="67">
        <f>((Config!$F25*Commandes!AU20)+IF(ROUND((AU$8-Config!$C$7)/31,0)&gt;=(Config!$D25+Config!$E25),INDEX(Commandes!$C20:$BJ20,,COLUMN(AU$8)-COLUMN($C$8)+1-(Config!$D25+Config!$E25)),0)*Config!$G25)*Config!$C25</f>
        <v>0</v>
      </c>
      <c r="AV20" s="67">
        <f>((Config!$F25*Commandes!AV20)+IF(ROUND((AV$8-Config!$C$7)/31,0)&gt;=(Config!$D25+Config!$E25),INDEX(Commandes!$C20:$BJ20,,COLUMN(AV$8)-COLUMN($C$8)+1-(Config!$D25+Config!$E25)),0)*Config!$G25)*Config!$C25</f>
        <v>0</v>
      </c>
      <c r="AW20" s="67">
        <f>((Config!$F25*Commandes!AW20)+IF(ROUND((AW$8-Config!$C$7)/31,0)&gt;=(Config!$D25+Config!$E25),INDEX(Commandes!$C20:$BJ20,,COLUMN(AW$8)-COLUMN($C$8)+1-(Config!$D25+Config!$E25)),0)*Config!$G25)*Config!$C25</f>
        <v>0</v>
      </c>
      <c r="AX20" s="67">
        <f>((Config!$F25*Commandes!AX20)+IF(ROUND((AX$8-Config!$C$7)/31,0)&gt;=(Config!$D25+Config!$E25),INDEX(Commandes!$C20:$BJ20,,COLUMN(AX$8)-COLUMN($C$8)+1-(Config!$D25+Config!$E25)),0)*Config!$G25)*Config!$C25</f>
        <v>0</v>
      </c>
      <c r="AY20" s="67">
        <f>((Config!$F25*Commandes!AY20)+IF(ROUND((AY$8-Config!$C$7)/31,0)&gt;=(Config!$D25+Config!$E25),INDEX(Commandes!$C20:$BJ20,,COLUMN(AY$8)-COLUMN($C$8)+1-(Config!$D25+Config!$E25)),0)*Config!$G25)*Config!$C25</f>
        <v>0</v>
      </c>
      <c r="AZ20" s="67">
        <f>((Config!$F25*Commandes!AZ20)+IF(ROUND((AZ$8-Config!$C$7)/31,0)&gt;=(Config!$D25+Config!$E25),INDEX(Commandes!$C20:$BJ20,,COLUMN(AZ$8)-COLUMN($C$8)+1-(Config!$D25+Config!$E25)),0)*Config!$G25)*Config!$C25</f>
        <v>0</v>
      </c>
      <c r="BA20" s="67">
        <f>((Config!$F25*Commandes!BA20)+IF(ROUND((BA$8-Config!$C$7)/31,0)&gt;=(Config!$D25+Config!$E25),INDEX(Commandes!$C20:$BJ20,,COLUMN(BA$8)-COLUMN($C$8)+1-(Config!$D25+Config!$E25)),0)*Config!$G25)*Config!$C25</f>
        <v>0</v>
      </c>
      <c r="BB20" s="67">
        <f>((Config!$F25*Commandes!BB20)+IF(ROUND((BB$8-Config!$C$7)/31,0)&gt;=(Config!$D25+Config!$E25),INDEX(Commandes!$C20:$BJ20,,COLUMN(BB$8)-COLUMN($C$8)+1-(Config!$D25+Config!$E25)),0)*Config!$G25)*Config!$C25</f>
        <v>0</v>
      </c>
      <c r="BC20" s="67">
        <f>((Config!$F25*Commandes!BC20)+IF(ROUND((BC$8-Config!$C$7)/31,0)&gt;=(Config!$D25+Config!$E25),INDEX(Commandes!$C20:$BJ20,,COLUMN(BC$8)-COLUMN($C$8)+1-(Config!$D25+Config!$E25)),0)*Config!$G25)*Config!$C25</f>
        <v>0</v>
      </c>
      <c r="BD20" s="67">
        <f>((Config!$F25*Commandes!BD20)+IF(ROUND((BD$8-Config!$C$7)/31,0)&gt;=(Config!$D25+Config!$E25),INDEX(Commandes!$C20:$BJ20,,COLUMN(BD$8)-COLUMN($C$8)+1-(Config!$D25+Config!$E25)),0)*Config!$G25)*Config!$C25</f>
        <v>0</v>
      </c>
      <c r="BE20" s="67">
        <f>((Config!$F25*Commandes!BE20)+IF(ROUND((BE$8-Config!$C$7)/31,0)&gt;=(Config!$D25+Config!$E25),INDEX(Commandes!$C20:$BJ20,,COLUMN(BE$8)-COLUMN($C$8)+1-(Config!$D25+Config!$E25)),0)*Config!$G25)*Config!$C25</f>
        <v>0</v>
      </c>
      <c r="BF20" s="67">
        <f>((Config!$F25*Commandes!BF20)+IF(ROUND((BF$8-Config!$C$7)/31,0)&gt;=(Config!$D25+Config!$E25),INDEX(Commandes!$C20:$BJ20,,COLUMN(BF$8)-COLUMN($C$8)+1-(Config!$D25+Config!$E25)),0)*Config!$G25)*Config!$C25</f>
        <v>0</v>
      </c>
      <c r="BG20" s="67">
        <f>((Config!$F25*Commandes!BG20)+IF(ROUND((BG$8-Config!$C$7)/31,0)&gt;=(Config!$D25+Config!$E25),INDEX(Commandes!$C20:$BJ20,,COLUMN(BG$8)-COLUMN($C$8)+1-(Config!$D25+Config!$E25)),0)*Config!$G25)*Config!$C25</f>
        <v>0</v>
      </c>
      <c r="BH20" s="67">
        <f>((Config!$F25*Commandes!BH20)+IF(ROUND((BH$8-Config!$C$7)/31,0)&gt;=(Config!$D25+Config!$E25),INDEX(Commandes!$C20:$BJ20,,COLUMN(BH$8)-COLUMN($C$8)+1-(Config!$D25+Config!$E25)),0)*Config!$G25)*Config!$C25</f>
        <v>0</v>
      </c>
      <c r="BI20" s="67">
        <f>((Config!$F25*Commandes!BI20)+IF(ROUND((BI$8-Config!$C$7)/31,0)&gt;=(Config!$D25+Config!$E25),INDEX(Commandes!$C20:$BJ20,,COLUMN(BI$8)-COLUMN($C$8)+1-(Config!$D25+Config!$E25)),0)*Config!$G25)*Config!$C25</f>
        <v>0</v>
      </c>
      <c r="BJ20" s="67">
        <f>((Config!$F25*Commandes!BJ20)+IF(ROUND((BJ$8-Config!$C$7)/31,0)&gt;=(Config!$D25+Config!$E25),INDEX(Commandes!$C20:$BJ20,,COLUMN(BJ$8)-COLUMN($C$8)+1-(Config!$D25+Config!$E25)),0)*Config!$G25)*Config!$C25</f>
        <v>0</v>
      </c>
      <c r="BK20" s="70"/>
    </row>
    <row r="21" spans="2:63" x14ac:dyDescent="0.2">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row>
    <row r="22" spans="2:63" x14ac:dyDescent="0.2">
      <c r="B22" s="139" t="s">
        <v>97</v>
      </c>
      <c r="C22" s="67">
        <f t="shared" ref="C22:AH22" si="2">SUM(C9:C20)</f>
        <v>1739.4</v>
      </c>
      <c r="D22" s="67">
        <f t="shared" si="2"/>
        <v>3618.0999999999995</v>
      </c>
      <c r="E22" s="67">
        <f t="shared" si="2"/>
        <v>6249.4000000000005</v>
      </c>
      <c r="F22" s="67">
        <f t="shared" si="2"/>
        <v>11336.6</v>
      </c>
      <c r="G22" s="67">
        <f t="shared" si="2"/>
        <v>16881.7</v>
      </c>
      <c r="H22" s="67">
        <f t="shared" si="2"/>
        <v>21862.799999999999</v>
      </c>
      <c r="I22" s="67">
        <f t="shared" si="2"/>
        <v>21099.7</v>
      </c>
      <c r="J22" s="67">
        <f t="shared" si="2"/>
        <v>18682.600000000002</v>
      </c>
      <c r="K22" s="67">
        <f t="shared" si="2"/>
        <v>30976.5</v>
      </c>
      <c r="L22" s="67">
        <f t="shared" si="2"/>
        <v>31056.999999999996</v>
      </c>
      <c r="M22" s="67">
        <f t="shared" si="2"/>
        <v>33587.800000000003</v>
      </c>
      <c r="N22" s="67">
        <f t="shared" si="2"/>
        <v>44355.8</v>
      </c>
      <c r="O22" s="67">
        <f t="shared" si="2"/>
        <v>42753.7</v>
      </c>
      <c r="P22" s="67">
        <f t="shared" si="2"/>
        <v>42919.600000000006</v>
      </c>
      <c r="Q22" s="67">
        <f t="shared" si="2"/>
        <v>47189.8</v>
      </c>
      <c r="R22" s="67">
        <f t="shared" si="2"/>
        <v>54711.199999999997</v>
      </c>
      <c r="S22" s="67">
        <f t="shared" si="2"/>
        <v>63161.599999999999</v>
      </c>
      <c r="T22" s="67">
        <f t="shared" si="2"/>
        <v>69958</v>
      </c>
      <c r="U22" s="67">
        <f t="shared" si="2"/>
        <v>68389.099999999991</v>
      </c>
      <c r="V22" s="67">
        <f t="shared" si="2"/>
        <v>66687.5</v>
      </c>
      <c r="W22" s="67">
        <f t="shared" si="2"/>
        <v>86630.9</v>
      </c>
      <c r="X22" s="67">
        <f t="shared" si="2"/>
        <v>85905.600000000006</v>
      </c>
      <c r="Y22" s="67">
        <f t="shared" si="2"/>
        <v>90123.6</v>
      </c>
      <c r="Z22" s="67">
        <f t="shared" si="2"/>
        <v>105650</v>
      </c>
      <c r="AA22" s="67">
        <f t="shared" si="2"/>
        <v>106100</v>
      </c>
      <c r="AB22" s="67">
        <f t="shared" si="2"/>
        <v>103687.5</v>
      </c>
      <c r="AC22" s="67">
        <f t="shared" si="2"/>
        <v>108668.6</v>
      </c>
      <c r="AD22" s="67">
        <f t="shared" si="2"/>
        <v>116190</v>
      </c>
      <c r="AE22" s="67">
        <f t="shared" si="2"/>
        <v>126294.39999999999</v>
      </c>
      <c r="AF22" s="67">
        <f t="shared" si="2"/>
        <v>134744.79999999999</v>
      </c>
      <c r="AG22" s="67">
        <f t="shared" si="2"/>
        <v>129024.3</v>
      </c>
      <c r="AH22" s="67">
        <f t="shared" si="2"/>
        <v>126479.1</v>
      </c>
      <c r="AI22" s="67">
        <f t="shared" ref="AI22:BJ22" si="3">SUM(AI9:AI20)</f>
        <v>147199.70000000001</v>
      </c>
      <c r="AJ22" s="67">
        <f t="shared" si="3"/>
        <v>143166.39999999999</v>
      </c>
      <c r="AK22" s="67">
        <f t="shared" si="3"/>
        <v>147384.4</v>
      </c>
      <c r="AL22" s="67">
        <f t="shared" si="3"/>
        <v>171873</v>
      </c>
      <c r="AM22" s="67">
        <f t="shared" si="3"/>
        <v>173995.7</v>
      </c>
      <c r="AN22" s="67">
        <f t="shared" si="3"/>
        <v>167564.29999999999</v>
      </c>
      <c r="AO22" s="67">
        <f t="shared" si="3"/>
        <v>175043</v>
      </c>
      <c r="AP22" s="67">
        <f t="shared" si="3"/>
        <v>188398.6</v>
      </c>
      <c r="AQ22" s="67">
        <f t="shared" si="3"/>
        <v>202640.5</v>
      </c>
      <c r="AR22" s="67">
        <f t="shared" si="3"/>
        <v>216019.8</v>
      </c>
      <c r="AS22" s="67">
        <f t="shared" si="3"/>
        <v>210564.7</v>
      </c>
      <c r="AT22" s="67">
        <f t="shared" si="3"/>
        <v>206531.4</v>
      </c>
      <c r="AU22" s="67">
        <f t="shared" si="3"/>
        <v>239507.8</v>
      </c>
      <c r="AV22" s="67">
        <f t="shared" si="3"/>
        <v>235673.60000000001</v>
      </c>
      <c r="AW22" s="67">
        <f t="shared" si="3"/>
        <v>244109.6</v>
      </c>
      <c r="AX22" s="67">
        <f t="shared" si="3"/>
        <v>281067.5</v>
      </c>
      <c r="AY22" s="67">
        <f t="shared" si="3"/>
        <v>282265.8</v>
      </c>
      <c r="AZ22" s="67">
        <f t="shared" si="3"/>
        <v>273502.7</v>
      </c>
      <c r="BA22" s="67">
        <f t="shared" si="3"/>
        <v>282578.59999999998</v>
      </c>
      <c r="BB22" s="67">
        <f t="shared" si="3"/>
        <v>269579.3</v>
      </c>
      <c r="BC22" s="67">
        <f t="shared" si="3"/>
        <v>323579</v>
      </c>
      <c r="BD22" s="67">
        <f t="shared" si="3"/>
        <v>345408.7</v>
      </c>
      <c r="BE22" s="67">
        <f t="shared" si="3"/>
        <v>339228.3</v>
      </c>
      <c r="BF22" s="67">
        <f t="shared" si="3"/>
        <v>332583.5</v>
      </c>
      <c r="BG22" s="67">
        <f t="shared" si="3"/>
        <v>386280.5</v>
      </c>
      <c r="BH22" s="67">
        <f t="shared" si="3"/>
        <v>378413</v>
      </c>
      <c r="BI22" s="67">
        <f t="shared" si="3"/>
        <v>391067</v>
      </c>
      <c r="BJ22" s="67">
        <f t="shared" si="3"/>
        <v>452963.5</v>
      </c>
      <c r="BK22" s="70"/>
    </row>
    <row r="23" spans="2:63" x14ac:dyDescent="0.2">
      <c r="B23" s="139" t="s">
        <v>101</v>
      </c>
      <c r="C23" s="67">
        <f>C22</f>
        <v>1739.4</v>
      </c>
      <c r="D23" s="67">
        <f t="shared" ref="D23:N23" si="4">C23+D22</f>
        <v>5357.5</v>
      </c>
      <c r="E23" s="67">
        <f t="shared" si="4"/>
        <v>11606.900000000001</v>
      </c>
      <c r="F23" s="67">
        <f t="shared" si="4"/>
        <v>22943.5</v>
      </c>
      <c r="G23" s="67">
        <f t="shared" si="4"/>
        <v>39825.199999999997</v>
      </c>
      <c r="H23" s="67">
        <f t="shared" si="4"/>
        <v>61688</v>
      </c>
      <c r="I23" s="67">
        <f t="shared" si="4"/>
        <v>82787.7</v>
      </c>
      <c r="J23" s="67">
        <f t="shared" si="4"/>
        <v>101470.3</v>
      </c>
      <c r="K23" s="67">
        <f t="shared" si="4"/>
        <v>132446.79999999999</v>
      </c>
      <c r="L23" s="67">
        <f t="shared" si="4"/>
        <v>163503.79999999999</v>
      </c>
      <c r="M23" s="67">
        <f t="shared" si="4"/>
        <v>197091.59999999998</v>
      </c>
      <c r="N23" s="83">
        <f t="shared" si="4"/>
        <v>241447.39999999997</v>
      </c>
      <c r="O23" s="67">
        <f>O22</f>
        <v>42753.7</v>
      </c>
      <c r="P23" s="67">
        <f t="shared" ref="P23:Z23" si="5">O23+P22</f>
        <v>85673.3</v>
      </c>
      <c r="Q23" s="67">
        <f t="shared" si="5"/>
        <v>132863.1</v>
      </c>
      <c r="R23" s="67">
        <f t="shared" si="5"/>
        <v>187574.3</v>
      </c>
      <c r="S23" s="67">
        <f t="shared" si="5"/>
        <v>250735.9</v>
      </c>
      <c r="T23" s="67">
        <f t="shared" si="5"/>
        <v>320693.90000000002</v>
      </c>
      <c r="U23" s="67">
        <f t="shared" si="5"/>
        <v>389083</v>
      </c>
      <c r="V23" s="67">
        <f t="shared" si="5"/>
        <v>455770.5</v>
      </c>
      <c r="W23" s="67">
        <f t="shared" si="5"/>
        <v>542401.4</v>
      </c>
      <c r="X23" s="67">
        <f t="shared" si="5"/>
        <v>628307</v>
      </c>
      <c r="Y23" s="67">
        <f t="shared" si="5"/>
        <v>718430.6</v>
      </c>
      <c r="Z23" s="83">
        <f t="shared" si="5"/>
        <v>824080.6</v>
      </c>
      <c r="AA23" s="67">
        <f>AA22</f>
        <v>106100</v>
      </c>
      <c r="AB23" s="67">
        <f t="shared" ref="AB23:AL23" si="6">AA23+AB22</f>
        <v>209787.5</v>
      </c>
      <c r="AC23" s="67">
        <f t="shared" si="6"/>
        <v>318456.09999999998</v>
      </c>
      <c r="AD23" s="67">
        <f t="shared" si="6"/>
        <v>434646.1</v>
      </c>
      <c r="AE23" s="67">
        <f t="shared" si="6"/>
        <v>560940.5</v>
      </c>
      <c r="AF23" s="67">
        <f t="shared" si="6"/>
        <v>695685.3</v>
      </c>
      <c r="AG23" s="67">
        <f t="shared" si="6"/>
        <v>824709.60000000009</v>
      </c>
      <c r="AH23" s="67">
        <f t="shared" si="6"/>
        <v>951188.70000000007</v>
      </c>
      <c r="AI23" s="67">
        <f t="shared" si="6"/>
        <v>1098388.4000000001</v>
      </c>
      <c r="AJ23" s="67">
        <f t="shared" si="6"/>
        <v>1241554.8</v>
      </c>
      <c r="AK23" s="67">
        <f t="shared" si="6"/>
        <v>1388939.2</v>
      </c>
      <c r="AL23" s="83">
        <f t="shared" si="6"/>
        <v>1560812.2</v>
      </c>
      <c r="AM23" s="67">
        <f>AM22</f>
        <v>173995.7</v>
      </c>
      <c r="AN23" s="67">
        <f t="shared" ref="AN23:AX23" si="7">AM23+AN22</f>
        <v>341560</v>
      </c>
      <c r="AO23" s="67">
        <f t="shared" si="7"/>
        <v>516603</v>
      </c>
      <c r="AP23" s="67">
        <f t="shared" si="7"/>
        <v>705001.6</v>
      </c>
      <c r="AQ23" s="67">
        <f t="shared" si="7"/>
        <v>907642.1</v>
      </c>
      <c r="AR23" s="67">
        <f t="shared" si="7"/>
        <v>1123661.8999999999</v>
      </c>
      <c r="AS23" s="67">
        <f t="shared" si="7"/>
        <v>1334226.5999999999</v>
      </c>
      <c r="AT23" s="67">
        <f t="shared" si="7"/>
        <v>1540757.9999999998</v>
      </c>
      <c r="AU23" s="67">
        <f t="shared" si="7"/>
        <v>1780265.7999999998</v>
      </c>
      <c r="AV23" s="67">
        <f t="shared" si="7"/>
        <v>2015939.4</v>
      </c>
      <c r="AW23" s="67">
        <f t="shared" si="7"/>
        <v>2260049</v>
      </c>
      <c r="AX23" s="83">
        <f t="shared" si="7"/>
        <v>2541116.5</v>
      </c>
      <c r="AY23" s="67">
        <f>AY22</f>
        <v>282265.8</v>
      </c>
      <c r="AZ23" s="67">
        <f t="shared" ref="AZ23:BJ23" si="8">AY23+AZ22</f>
        <v>555768.5</v>
      </c>
      <c r="BA23" s="67">
        <f t="shared" si="8"/>
        <v>838347.1</v>
      </c>
      <c r="BB23" s="67">
        <f t="shared" si="8"/>
        <v>1107926.3999999999</v>
      </c>
      <c r="BC23" s="67">
        <f t="shared" si="8"/>
        <v>1431505.4</v>
      </c>
      <c r="BD23" s="67">
        <f t="shared" si="8"/>
        <v>1776914.0999999999</v>
      </c>
      <c r="BE23" s="67">
        <f t="shared" si="8"/>
        <v>2116142.4</v>
      </c>
      <c r="BF23" s="67">
        <f t="shared" si="8"/>
        <v>2448725.9</v>
      </c>
      <c r="BG23" s="67">
        <f t="shared" si="8"/>
        <v>2835006.4</v>
      </c>
      <c r="BH23" s="67">
        <f t="shared" si="8"/>
        <v>3213419.4</v>
      </c>
      <c r="BI23" s="67">
        <f t="shared" si="8"/>
        <v>3604486.4</v>
      </c>
      <c r="BJ23" s="83">
        <f t="shared" si="8"/>
        <v>4057449.9</v>
      </c>
      <c r="BK23" s="70"/>
    </row>
    <row r="24" spans="2:63" x14ac:dyDescent="0.2">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row>
    <row r="25" spans="2:63" ht="16" customHeight="1" x14ac:dyDescent="0.2">
      <c r="B25" s="145" t="s">
        <v>242</v>
      </c>
      <c r="C25" s="116"/>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row>
    <row r="26" spans="2:63" x14ac:dyDescent="0.2">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row>
    <row r="27" spans="2:63" x14ac:dyDescent="0.2">
      <c r="B27" s="86"/>
      <c r="C27" s="174" t="s">
        <v>77</v>
      </c>
      <c r="D27" s="157"/>
      <c r="E27" s="157"/>
      <c r="F27" s="157"/>
      <c r="G27" s="157"/>
      <c r="H27" s="157"/>
      <c r="I27" s="157"/>
      <c r="J27" s="157"/>
      <c r="K27" s="157"/>
      <c r="L27" s="157"/>
      <c r="M27" s="157"/>
      <c r="N27" s="158"/>
      <c r="O27" s="174" t="s">
        <v>78</v>
      </c>
      <c r="P27" s="157"/>
      <c r="Q27" s="157"/>
      <c r="R27" s="157"/>
      <c r="S27" s="157"/>
      <c r="T27" s="157"/>
      <c r="U27" s="157"/>
      <c r="V27" s="157"/>
      <c r="W27" s="157"/>
      <c r="X27" s="157"/>
      <c r="Y27" s="157"/>
      <c r="Z27" s="158"/>
      <c r="AA27" s="174" t="s">
        <v>79</v>
      </c>
      <c r="AB27" s="157"/>
      <c r="AC27" s="157"/>
      <c r="AD27" s="157"/>
      <c r="AE27" s="157"/>
      <c r="AF27" s="157"/>
      <c r="AG27" s="157"/>
      <c r="AH27" s="157"/>
      <c r="AI27" s="157"/>
      <c r="AJ27" s="157"/>
      <c r="AK27" s="157"/>
      <c r="AL27" s="158"/>
      <c r="AM27" s="174" t="s">
        <v>80</v>
      </c>
      <c r="AN27" s="157"/>
      <c r="AO27" s="157"/>
      <c r="AP27" s="157"/>
      <c r="AQ27" s="157"/>
      <c r="AR27" s="157"/>
      <c r="AS27" s="157"/>
      <c r="AT27" s="157"/>
      <c r="AU27" s="157"/>
      <c r="AV27" s="157"/>
      <c r="AW27" s="157"/>
      <c r="AX27" s="158"/>
      <c r="AY27" s="174" t="s">
        <v>81</v>
      </c>
      <c r="AZ27" s="157"/>
      <c r="BA27" s="157"/>
      <c r="BB27" s="157"/>
      <c r="BC27" s="157"/>
      <c r="BD27" s="157"/>
      <c r="BE27" s="157"/>
      <c r="BF27" s="157"/>
      <c r="BG27" s="157"/>
      <c r="BH27" s="157"/>
      <c r="BI27" s="157"/>
      <c r="BJ27" s="158"/>
      <c r="BK27" s="70"/>
    </row>
    <row r="28" spans="2:63" x14ac:dyDescent="0.2">
      <c r="B28" s="139" t="s">
        <v>241</v>
      </c>
      <c r="C28" s="55">
        <f>Config!$C$7</f>
        <v>46388</v>
      </c>
      <c r="D28" s="55">
        <f t="shared" ref="D28:AI28" si="9">DATE(YEAR(C28),MONTH(C28)+1,DAY(C28))</f>
        <v>46419</v>
      </c>
      <c r="E28" s="55">
        <f t="shared" si="9"/>
        <v>46447</v>
      </c>
      <c r="F28" s="55">
        <f t="shared" si="9"/>
        <v>46478</v>
      </c>
      <c r="G28" s="55">
        <f t="shared" si="9"/>
        <v>46508</v>
      </c>
      <c r="H28" s="55">
        <f t="shared" si="9"/>
        <v>46539</v>
      </c>
      <c r="I28" s="55">
        <f t="shared" si="9"/>
        <v>46569</v>
      </c>
      <c r="J28" s="55">
        <f t="shared" si="9"/>
        <v>46600</v>
      </c>
      <c r="K28" s="55">
        <f t="shared" si="9"/>
        <v>46631</v>
      </c>
      <c r="L28" s="55">
        <f t="shared" si="9"/>
        <v>46661</v>
      </c>
      <c r="M28" s="55">
        <f t="shared" si="9"/>
        <v>46692</v>
      </c>
      <c r="N28" s="55">
        <f t="shared" si="9"/>
        <v>46722</v>
      </c>
      <c r="O28" s="55">
        <f t="shared" si="9"/>
        <v>46753</v>
      </c>
      <c r="P28" s="55">
        <f t="shared" si="9"/>
        <v>46784</v>
      </c>
      <c r="Q28" s="55">
        <f t="shared" si="9"/>
        <v>46813</v>
      </c>
      <c r="R28" s="55">
        <f t="shared" si="9"/>
        <v>46844</v>
      </c>
      <c r="S28" s="55">
        <f t="shared" si="9"/>
        <v>46874</v>
      </c>
      <c r="T28" s="55">
        <f t="shared" si="9"/>
        <v>46905</v>
      </c>
      <c r="U28" s="55">
        <f t="shared" si="9"/>
        <v>46935</v>
      </c>
      <c r="V28" s="55">
        <f t="shared" si="9"/>
        <v>46966</v>
      </c>
      <c r="W28" s="55">
        <f t="shared" si="9"/>
        <v>46997</v>
      </c>
      <c r="X28" s="55">
        <f t="shared" si="9"/>
        <v>47027</v>
      </c>
      <c r="Y28" s="55">
        <f t="shared" si="9"/>
        <v>47058</v>
      </c>
      <c r="Z28" s="55">
        <f t="shared" si="9"/>
        <v>47088</v>
      </c>
      <c r="AA28" s="55">
        <f t="shared" si="9"/>
        <v>47119</v>
      </c>
      <c r="AB28" s="55">
        <f t="shared" si="9"/>
        <v>47150</v>
      </c>
      <c r="AC28" s="55">
        <f t="shared" si="9"/>
        <v>47178</v>
      </c>
      <c r="AD28" s="55">
        <f t="shared" si="9"/>
        <v>47209</v>
      </c>
      <c r="AE28" s="55">
        <f t="shared" si="9"/>
        <v>47239</v>
      </c>
      <c r="AF28" s="55">
        <f t="shared" si="9"/>
        <v>47270</v>
      </c>
      <c r="AG28" s="55">
        <f t="shared" si="9"/>
        <v>47300</v>
      </c>
      <c r="AH28" s="55">
        <f t="shared" si="9"/>
        <v>47331</v>
      </c>
      <c r="AI28" s="55">
        <f t="shared" si="9"/>
        <v>47362</v>
      </c>
      <c r="AJ28" s="55">
        <f t="shared" ref="AJ28:BJ28" si="10">DATE(YEAR(AI28),MONTH(AI28)+1,DAY(AI28))</f>
        <v>47392</v>
      </c>
      <c r="AK28" s="55">
        <f t="shared" si="10"/>
        <v>47423</v>
      </c>
      <c r="AL28" s="55">
        <f t="shared" si="10"/>
        <v>47453</v>
      </c>
      <c r="AM28" s="55">
        <f t="shared" si="10"/>
        <v>47484</v>
      </c>
      <c r="AN28" s="55">
        <f t="shared" si="10"/>
        <v>47515</v>
      </c>
      <c r="AO28" s="55">
        <f t="shared" si="10"/>
        <v>47543</v>
      </c>
      <c r="AP28" s="55">
        <f t="shared" si="10"/>
        <v>47574</v>
      </c>
      <c r="AQ28" s="55">
        <f t="shared" si="10"/>
        <v>47604</v>
      </c>
      <c r="AR28" s="55">
        <f t="shared" si="10"/>
        <v>47635</v>
      </c>
      <c r="AS28" s="55">
        <f t="shared" si="10"/>
        <v>47665</v>
      </c>
      <c r="AT28" s="55">
        <f t="shared" si="10"/>
        <v>47696</v>
      </c>
      <c r="AU28" s="55">
        <f t="shared" si="10"/>
        <v>47727</v>
      </c>
      <c r="AV28" s="55">
        <f t="shared" si="10"/>
        <v>47757</v>
      </c>
      <c r="AW28" s="55">
        <f t="shared" si="10"/>
        <v>47788</v>
      </c>
      <c r="AX28" s="55">
        <f t="shared" si="10"/>
        <v>47818</v>
      </c>
      <c r="AY28" s="55">
        <f t="shared" si="10"/>
        <v>47849</v>
      </c>
      <c r="AZ28" s="55">
        <f t="shared" si="10"/>
        <v>47880</v>
      </c>
      <c r="BA28" s="55">
        <f t="shared" si="10"/>
        <v>47908</v>
      </c>
      <c r="BB28" s="55">
        <f t="shared" si="10"/>
        <v>47939</v>
      </c>
      <c r="BC28" s="55">
        <f t="shared" si="10"/>
        <v>47969</v>
      </c>
      <c r="BD28" s="55">
        <f t="shared" si="10"/>
        <v>48000</v>
      </c>
      <c r="BE28" s="55">
        <f t="shared" si="10"/>
        <v>48030</v>
      </c>
      <c r="BF28" s="55">
        <f t="shared" si="10"/>
        <v>48061</v>
      </c>
      <c r="BG28" s="55">
        <f t="shared" si="10"/>
        <v>48092</v>
      </c>
      <c r="BH28" s="55">
        <f t="shared" si="10"/>
        <v>48122</v>
      </c>
      <c r="BI28" s="55">
        <f t="shared" si="10"/>
        <v>48153</v>
      </c>
      <c r="BJ28" s="55">
        <f t="shared" si="10"/>
        <v>48183</v>
      </c>
      <c r="BK28" s="70"/>
    </row>
    <row r="29" spans="2:63" x14ac:dyDescent="0.2">
      <c r="B29" s="46" t="str">
        <f>Config!$B$14</f>
        <v>Vente d'abonnement mensuel (30 Shots)</v>
      </c>
      <c r="C29" s="67">
        <f>Commandes!C9*Config!$C14</f>
        <v>0</v>
      </c>
      <c r="D29" s="67">
        <f>Commandes!D9*Config!$C14</f>
        <v>843.6</v>
      </c>
      <c r="E29" s="67">
        <f>Commandes!E9*Config!$C14</f>
        <v>2109</v>
      </c>
      <c r="F29" s="67">
        <f>Commandes!F9*Config!$C14</f>
        <v>3796.2</v>
      </c>
      <c r="G29" s="67">
        <f>Commandes!G9*Config!$C14</f>
        <v>5905.2</v>
      </c>
      <c r="H29" s="67">
        <f>Commandes!H9*Config!$C14</f>
        <v>8436</v>
      </c>
      <c r="I29" s="67">
        <f>Commandes!I9*Config!$C14</f>
        <v>10123.200000000001</v>
      </c>
      <c r="J29" s="67">
        <f>Commandes!J9*Config!$C14</f>
        <v>11810.4</v>
      </c>
      <c r="K29" s="67">
        <f>Commandes!K9*Config!$C14</f>
        <v>15184.8</v>
      </c>
      <c r="L29" s="67">
        <f>Commandes!L9*Config!$C14</f>
        <v>17715.599999999999</v>
      </c>
      <c r="M29" s="67">
        <f>Commandes!M9*Config!$C14</f>
        <v>20246.400000000001</v>
      </c>
      <c r="N29" s="67">
        <f>Commandes!N9*Config!$C14</f>
        <v>23620.799999999999</v>
      </c>
      <c r="O29" s="67">
        <f>Commandes!O9*Config!$C14</f>
        <v>25308</v>
      </c>
      <c r="P29" s="67">
        <f>Commandes!P9*Config!$C14</f>
        <v>27838.799999999999</v>
      </c>
      <c r="Q29" s="67">
        <f>Commandes!Q9*Config!$C14</f>
        <v>30369.599999999999</v>
      </c>
      <c r="R29" s="67">
        <f>Commandes!R9*Config!$C14</f>
        <v>33744</v>
      </c>
      <c r="S29" s="67">
        <f>Commandes!S9*Config!$C14</f>
        <v>37962</v>
      </c>
      <c r="T29" s="67">
        <f>Commandes!T9*Config!$C14</f>
        <v>42180</v>
      </c>
      <c r="U29" s="67">
        <f>Commandes!U9*Config!$C14</f>
        <v>45554.400000000001</v>
      </c>
      <c r="V29" s="67">
        <f>Commandes!V9*Config!$C14</f>
        <v>48085.2</v>
      </c>
      <c r="W29" s="67">
        <f>Commandes!W9*Config!$C14</f>
        <v>54834</v>
      </c>
      <c r="X29" s="67">
        <f>Commandes!X9*Config!$C14</f>
        <v>59052</v>
      </c>
      <c r="Y29" s="67">
        <f>Commandes!Y9*Config!$C14</f>
        <v>63270</v>
      </c>
      <c r="Z29" s="67">
        <f>Commandes!Z9*Config!$C14</f>
        <v>67488</v>
      </c>
      <c r="AA29" s="67">
        <f>Commandes!AA9*Config!$C14</f>
        <v>71706</v>
      </c>
      <c r="AB29" s="67">
        <f>Commandes!AB9*Config!$C14</f>
        <v>74236.800000000003</v>
      </c>
      <c r="AC29" s="67">
        <f>Commandes!AC9*Config!$C14</f>
        <v>76767.600000000006</v>
      </c>
      <c r="AD29" s="67">
        <f>Commandes!AD9*Config!$C14</f>
        <v>80142</v>
      </c>
      <c r="AE29" s="67">
        <f>Commandes!AE9*Config!$C14</f>
        <v>84360</v>
      </c>
      <c r="AF29" s="67">
        <f>Commandes!AF9*Config!$C14</f>
        <v>88578</v>
      </c>
      <c r="AG29" s="67">
        <f>Commandes!AG9*Config!$C14</f>
        <v>91108.800000000003</v>
      </c>
      <c r="AH29" s="67">
        <f>Commandes!AH9*Config!$C14</f>
        <v>92796</v>
      </c>
      <c r="AI29" s="67">
        <f>Commandes!AI9*Config!$C14</f>
        <v>97014</v>
      </c>
      <c r="AJ29" s="67">
        <f>Commandes!AJ9*Config!$C14</f>
        <v>101232</v>
      </c>
      <c r="AK29" s="67">
        <f>Commandes!AK9*Config!$C14</f>
        <v>105450</v>
      </c>
      <c r="AL29" s="67">
        <f>Commandes!AL9*Config!$C14</f>
        <v>109668</v>
      </c>
      <c r="AM29" s="67">
        <f>Commandes!AM9*Config!$C14</f>
        <v>113886</v>
      </c>
      <c r="AN29" s="67">
        <f>Commandes!AN9*Config!$C14</f>
        <v>116416.8</v>
      </c>
      <c r="AO29" s="67">
        <f>Commandes!AO9*Config!$C14</f>
        <v>119791.2</v>
      </c>
      <c r="AP29" s="67">
        <f>Commandes!AP9*Config!$C14</f>
        <v>124852.8</v>
      </c>
      <c r="AQ29" s="67">
        <f>Commandes!AQ9*Config!$C14</f>
        <v>130758</v>
      </c>
      <c r="AR29" s="67">
        <f>Commandes!AR9*Config!$C14</f>
        <v>139194</v>
      </c>
      <c r="AS29" s="67">
        <f>Commandes!AS9*Config!$C14</f>
        <v>143412</v>
      </c>
      <c r="AT29" s="67">
        <f>Commandes!AT9*Config!$C14</f>
        <v>147630</v>
      </c>
      <c r="AU29" s="67">
        <f>Commandes!AU9*Config!$C14</f>
        <v>156066</v>
      </c>
      <c r="AV29" s="67">
        <f>Commandes!AV9*Config!$C14</f>
        <v>164502</v>
      </c>
      <c r="AW29" s="67">
        <f>Commandes!AW9*Config!$C14</f>
        <v>172938</v>
      </c>
      <c r="AX29" s="67">
        <f>Commandes!AX9*Config!$C14</f>
        <v>181374</v>
      </c>
      <c r="AY29" s="67">
        <f>Commandes!AY9*Config!$C14</f>
        <v>185592</v>
      </c>
      <c r="AZ29" s="67">
        <f>Commandes!AZ9*Config!$C14</f>
        <v>189810</v>
      </c>
      <c r="BA29" s="67">
        <f>Commandes!BA9*Config!$C14</f>
        <v>194028</v>
      </c>
      <c r="BB29" s="67">
        <f>Commandes!BB9*Config!$C14</f>
        <v>202464</v>
      </c>
      <c r="BC29" s="67">
        <f>Commandes!BC9*Config!$C14</f>
        <v>210900</v>
      </c>
      <c r="BD29" s="67">
        <f>Commandes!BD9*Config!$C14</f>
        <v>223554</v>
      </c>
      <c r="BE29" s="67">
        <f>Commandes!BE9*Config!$C14</f>
        <v>231990</v>
      </c>
      <c r="BF29" s="67">
        <f>Commandes!BF9*Config!$C14</f>
        <v>240426</v>
      </c>
      <c r="BG29" s="67">
        <f>Commandes!BG9*Config!$C14</f>
        <v>253080</v>
      </c>
      <c r="BH29" s="67">
        <f>Commandes!BH9*Config!$C14</f>
        <v>265734</v>
      </c>
      <c r="BI29" s="67">
        <f>Commandes!BI9*Config!$C14</f>
        <v>278388</v>
      </c>
      <c r="BJ29" s="67">
        <f>Commandes!BJ9*Config!$C14</f>
        <v>295260</v>
      </c>
      <c r="BK29" s="70"/>
    </row>
    <row r="30" spans="2:63" x14ac:dyDescent="0.2">
      <c r="B30" s="46" t="str">
        <f>Config!$B$15</f>
        <v>Vente de pack découverte (9 Shots)</v>
      </c>
      <c r="C30" s="67">
        <f>Commandes!C10*Config!$C15</f>
        <v>1654</v>
      </c>
      <c r="D30" s="67">
        <f>Commandes!D10*Config!$C15</f>
        <v>2646.3999999999996</v>
      </c>
      <c r="E30" s="67">
        <f>Commandes!E10*Config!$C15</f>
        <v>3969.6</v>
      </c>
      <c r="F30" s="67">
        <f>Commandes!F10*Config!$C15</f>
        <v>6616</v>
      </c>
      <c r="G30" s="67">
        <f>Commandes!G10*Config!$C15</f>
        <v>9924</v>
      </c>
      <c r="H30" s="67">
        <f>Commandes!H10*Config!$C15</f>
        <v>11578</v>
      </c>
      <c r="I30" s="67">
        <f>Commandes!I10*Config!$C15</f>
        <v>9924</v>
      </c>
      <c r="J30" s="67">
        <f>Commandes!J10*Config!$C15</f>
        <v>6616</v>
      </c>
      <c r="K30" s="67">
        <f>Commandes!K10*Config!$C15</f>
        <v>13232</v>
      </c>
      <c r="L30" s="67">
        <f>Commandes!L10*Config!$C15</f>
        <v>11578</v>
      </c>
      <c r="M30" s="67">
        <f>Commandes!M10*Config!$C15</f>
        <v>11578</v>
      </c>
      <c r="N30" s="67">
        <f>Commandes!N10*Config!$C15</f>
        <v>16540</v>
      </c>
      <c r="O30" s="67">
        <f>Commandes!O10*Config!$C15</f>
        <v>14886</v>
      </c>
      <c r="P30" s="67">
        <f>Commandes!P10*Config!$C15</f>
        <v>13232</v>
      </c>
      <c r="Q30" s="67">
        <f>Commandes!Q10*Config!$C15</f>
        <v>14886</v>
      </c>
      <c r="R30" s="67">
        <f>Commandes!R10*Config!$C15</f>
        <v>18194</v>
      </c>
      <c r="S30" s="67">
        <f>Commandes!S10*Config!$C15</f>
        <v>21502</v>
      </c>
      <c r="T30" s="67">
        <f>Commandes!T10*Config!$C15</f>
        <v>23156</v>
      </c>
      <c r="U30" s="67">
        <f>Commandes!U10*Config!$C15</f>
        <v>19848</v>
      </c>
      <c r="V30" s="67">
        <f>Commandes!V10*Config!$C15</f>
        <v>16540</v>
      </c>
      <c r="W30" s="67">
        <f>Commandes!W10*Config!$C15</f>
        <v>26464</v>
      </c>
      <c r="X30" s="67">
        <f>Commandes!X10*Config!$C15</f>
        <v>23156</v>
      </c>
      <c r="Y30" s="67">
        <f>Commandes!Y10*Config!$C15</f>
        <v>23156</v>
      </c>
      <c r="Z30" s="67">
        <f>Commandes!Z10*Config!$C15</f>
        <v>29772</v>
      </c>
      <c r="AA30" s="67">
        <f>Commandes!AA10*Config!$C15</f>
        <v>29772</v>
      </c>
      <c r="AB30" s="67">
        <f>Commandes!AB10*Config!$C15</f>
        <v>26464</v>
      </c>
      <c r="AC30" s="67">
        <f>Commandes!AC10*Config!$C15</f>
        <v>28118</v>
      </c>
      <c r="AD30" s="67">
        <f>Commandes!AD10*Config!$C15</f>
        <v>31426</v>
      </c>
      <c r="AE30" s="67">
        <f>Commandes!AE10*Config!$C15</f>
        <v>36388</v>
      </c>
      <c r="AF30" s="67">
        <f>Commandes!AF10*Config!$C15</f>
        <v>39696</v>
      </c>
      <c r="AG30" s="67">
        <f>Commandes!AG10*Config!$C15</f>
        <v>33080</v>
      </c>
      <c r="AH30" s="67">
        <f>Commandes!AH10*Config!$C15</f>
        <v>29772</v>
      </c>
      <c r="AI30" s="67">
        <f>Commandes!AI10*Config!$C15</f>
        <v>43004</v>
      </c>
      <c r="AJ30" s="67">
        <f>Commandes!AJ10*Config!$C15</f>
        <v>36388</v>
      </c>
      <c r="AK30" s="67">
        <f>Commandes!AK10*Config!$C15</f>
        <v>36388</v>
      </c>
      <c r="AL30" s="67">
        <f>Commandes!AL10*Config!$C15</f>
        <v>49620</v>
      </c>
      <c r="AM30" s="67">
        <f>Commandes!AM10*Config!$C15</f>
        <v>52928</v>
      </c>
      <c r="AN30" s="67">
        <f>Commandes!AN10*Config!$C15</f>
        <v>46312</v>
      </c>
      <c r="AO30" s="67">
        <f>Commandes!AO10*Config!$C15</f>
        <v>49620</v>
      </c>
      <c r="AP30" s="67">
        <f>Commandes!AP10*Config!$C15</f>
        <v>56236</v>
      </c>
      <c r="AQ30" s="67">
        <f>Commandes!AQ10*Config!$C15</f>
        <v>62852</v>
      </c>
      <c r="AR30" s="67">
        <f>Commandes!AR10*Config!$C15</f>
        <v>66160</v>
      </c>
      <c r="AS30" s="67">
        <f>Commandes!AS10*Config!$C15</f>
        <v>59544</v>
      </c>
      <c r="AT30" s="67">
        <f>Commandes!AT10*Config!$C15</f>
        <v>52928</v>
      </c>
      <c r="AU30" s="67">
        <f>Commandes!AU10*Config!$C15</f>
        <v>72776</v>
      </c>
      <c r="AV30" s="67">
        <f>Commandes!AV10*Config!$C15</f>
        <v>62852</v>
      </c>
      <c r="AW30" s="67">
        <f>Commandes!AW10*Config!$C15</f>
        <v>62852</v>
      </c>
      <c r="AX30" s="67">
        <f>Commandes!AX10*Config!$C15</f>
        <v>82700</v>
      </c>
      <c r="AY30" s="67">
        <f>Commandes!AY10*Config!$C15</f>
        <v>86008</v>
      </c>
      <c r="AZ30" s="67">
        <f>Commandes!AZ10*Config!$C15</f>
        <v>76084</v>
      </c>
      <c r="BA30" s="67">
        <f>Commandes!BA10*Config!$C15</f>
        <v>79392</v>
      </c>
      <c r="BB30" s="67">
        <f>Commandes!BB10*Config!$C15</f>
        <v>56236</v>
      </c>
      <c r="BC30" s="67">
        <f>Commandes!BC10*Config!$C15</f>
        <v>99240</v>
      </c>
      <c r="BD30" s="67">
        <f>Commandes!BD10*Config!$C15</f>
        <v>105856</v>
      </c>
      <c r="BE30" s="67">
        <f>Commandes!BE10*Config!$C15</f>
        <v>95932</v>
      </c>
      <c r="BF30" s="67">
        <f>Commandes!BF10*Config!$C15</f>
        <v>82700</v>
      </c>
      <c r="BG30" s="67">
        <f>Commandes!BG10*Config!$C15</f>
        <v>115780</v>
      </c>
      <c r="BH30" s="67">
        <f>Commandes!BH10*Config!$C15</f>
        <v>99240</v>
      </c>
      <c r="BI30" s="67">
        <f>Commandes!BI10*Config!$C15</f>
        <v>99240</v>
      </c>
      <c r="BJ30" s="67">
        <f>Commandes!BJ10*Config!$C15</f>
        <v>132320</v>
      </c>
      <c r="BK30" s="70"/>
    </row>
    <row r="31" spans="2:63" x14ac:dyDescent="0.2">
      <c r="B31" s="46" t="str">
        <f>Config!$B$16</f>
        <v xml:space="preserve">Vente de shots à l'unité </v>
      </c>
      <c r="C31" s="67">
        <f>Commandes!C11*Config!$C16</f>
        <v>85.399999999999991</v>
      </c>
      <c r="D31" s="67">
        <f>Commandes!D11*Config!$C16</f>
        <v>128.1</v>
      </c>
      <c r="E31" s="67">
        <f>Commandes!E11*Config!$C16</f>
        <v>170.79999999999998</v>
      </c>
      <c r="F31" s="67">
        <f>Commandes!F11*Config!$C16</f>
        <v>213.49999999999997</v>
      </c>
      <c r="G31" s="67">
        <f>Commandes!G11*Config!$C16</f>
        <v>341.59999999999997</v>
      </c>
      <c r="H31" s="67">
        <f>Commandes!H11*Config!$C16</f>
        <v>426.99999999999994</v>
      </c>
      <c r="I31" s="67">
        <f>Commandes!I11*Config!$C16</f>
        <v>341.59999999999997</v>
      </c>
      <c r="J31" s="67">
        <f>Commandes!J11*Config!$C16</f>
        <v>256.2</v>
      </c>
      <c r="K31" s="67">
        <f>Commandes!K11*Config!$C16</f>
        <v>426.99999999999994</v>
      </c>
      <c r="L31" s="67">
        <f>Commandes!L11*Config!$C16</f>
        <v>341.59999999999997</v>
      </c>
      <c r="M31" s="67">
        <f>Commandes!M11*Config!$C16</f>
        <v>341.59999999999997</v>
      </c>
      <c r="N31" s="67">
        <f>Commandes!N11*Config!$C16</f>
        <v>640.49999999999989</v>
      </c>
      <c r="O31" s="67">
        <f>Commandes!O11*Config!$C16</f>
        <v>426.99999999999994</v>
      </c>
      <c r="P31" s="67">
        <f>Commandes!P11*Config!$C16</f>
        <v>426.99999999999994</v>
      </c>
      <c r="Q31" s="67">
        <f>Commandes!Q11*Config!$C16</f>
        <v>512.4</v>
      </c>
      <c r="R31" s="67">
        <f>Commandes!R11*Config!$C16</f>
        <v>640.49999999999989</v>
      </c>
      <c r="S31" s="67">
        <f>Commandes!S11*Config!$C16</f>
        <v>853.99999999999989</v>
      </c>
      <c r="T31" s="67">
        <f>Commandes!T11*Config!$C16</f>
        <v>1067.5</v>
      </c>
      <c r="U31" s="67">
        <f>Commandes!U11*Config!$C16</f>
        <v>853.99999999999989</v>
      </c>
      <c r="V31" s="67">
        <f>Commandes!V11*Config!$C16</f>
        <v>640.49999999999989</v>
      </c>
      <c r="W31" s="67">
        <f>Commandes!W11*Config!$C16</f>
        <v>1067.5</v>
      </c>
      <c r="X31" s="67">
        <f>Commandes!X11*Config!$C16</f>
        <v>853.99999999999989</v>
      </c>
      <c r="Y31" s="67">
        <f>Commandes!Y11*Config!$C16</f>
        <v>853.99999999999989</v>
      </c>
      <c r="Z31" s="67">
        <f>Commandes!Z11*Config!$C16</f>
        <v>1280.9999999999998</v>
      </c>
      <c r="AA31" s="67">
        <f>Commandes!AA11*Config!$C16</f>
        <v>1067.5</v>
      </c>
      <c r="AB31" s="67">
        <f>Commandes!AB11*Config!$C16</f>
        <v>853.99999999999989</v>
      </c>
      <c r="AC31" s="67">
        <f>Commandes!AC11*Config!$C16</f>
        <v>939.39999999999986</v>
      </c>
      <c r="AD31" s="67">
        <f>Commandes!AD11*Config!$C16</f>
        <v>1067.5</v>
      </c>
      <c r="AE31" s="67">
        <f>Commandes!AE11*Config!$C16</f>
        <v>1280.9999999999998</v>
      </c>
      <c r="AF31" s="67">
        <f>Commandes!AF11*Config!$C16</f>
        <v>1494.4999999999998</v>
      </c>
      <c r="AG31" s="67">
        <f>Commandes!AG11*Config!$C16</f>
        <v>1280.9999999999998</v>
      </c>
      <c r="AH31" s="67">
        <f>Commandes!AH11*Config!$C16</f>
        <v>1067.5</v>
      </c>
      <c r="AI31" s="67">
        <f>Commandes!AI11*Config!$C16</f>
        <v>1494.4999999999998</v>
      </c>
      <c r="AJ31" s="67">
        <f>Commandes!AJ11*Config!$C16</f>
        <v>1280.9999999999998</v>
      </c>
      <c r="AK31" s="67">
        <f>Commandes!AK11*Config!$C16</f>
        <v>1280.9999999999998</v>
      </c>
      <c r="AL31" s="67">
        <f>Commandes!AL11*Config!$C16</f>
        <v>1921.4999999999998</v>
      </c>
      <c r="AM31" s="67">
        <f>Commandes!AM11*Config!$C16</f>
        <v>1494.4999999999998</v>
      </c>
      <c r="AN31" s="67">
        <f>Commandes!AN11*Config!$C16</f>
        <v>1280.9999999999998</v>
      </c>
      <c r="AO31" s="67">
        <f>Commandes!AO11*Config!$C16</f>
        <v>1366.3999999999999</v>
      </c>
      <c r="AP31" s="67">
        <f>Commandes!AP11*Config!$C16</f>
        <v>1622.6</v>
      </c>
      <c r="AQ31" s="67">
        <f>Commandes!AQ11*Config!$C16</f>
        <v>1921.4999999999998</v>
      </c>
      <c r="AR31" s="67">
        <f>Commandes!AR11*Config!$C16</f>
        <v>2135</v>
      </c>
      <c r="AS31" s="67">
        <f>Commandes!AS11*Config!$C16</f>
        <v>1921.4999999999998</v>
      </c>
      <c r="AT31" s="67">
        <f>Commandes!AT11*Config!$C16</f>
        <v>1707.9999999999998</v>
      </c>
      <c r="AU31" s="67">
        <f>Commandes!AU11*Config!$C16</f>
        <v>2135</v>
      </c>
      <c r="AV31" s="67">
        <f>Commandes!AV11*Config!$C16</f>
        <v>1921.4999999999998</v>
      </c>
      <c r="AW31" s="67">
        <f>Commandes!AW11*Config!$C16</f>
        <v>1921.4999999999998</v>
      </c>
      <c r="AX31" s="67">
        <f>Commandes!AX11*Config!$C16</f>
        <v>2775.4999999999995</v>
      </c>
      <c r="AY31" s="67">
        <f>Commandes!AY11*Config!$C16</f>
        <v>2135</v>
      </c>
      <c r="AZ31" s="67">
        <f>Commandes!AZ11*Config!$C16</f>
        <v>1921.4999999999998</v>
      </c>
      <c r="BA31" s="67">
        <f>Commandes!BA11*Config!$C16</f>
        <v>2049.6</v>
      </c>
      <c r="BB31" s="67">
        <f>Commandes!BB11*Config!$C16</f>
        <v>2348.4999999999995</v>
      </c>
      <c r="BC31" s="67">
        <f>Commandes!BC11*Config!$C16</f>
        <v>2775.4999999999995</v>
      </c>
      <c r="BD31" s="67">
        <f>Commandes!BD11*Config!$C16</f>
        <v>3202.4999999999995</v>
      </c>
      <c r="BE31" s="67">
        <f>Commandes!BE11*Config!$C16</f>
        <v>2775.4999999999995</v>
      </c>
      <c r="BF31" s="67">
        <f>Commandes!BF11*Config!$C16</f>
        <v>2348.4999999999995</v>
      </c>
      <c r="BG31" s="67">
        <f>Commandes!BG11*Config!$C16</f>
        <v>3202.4999999999995</v>
      </c>
      <c r="BH31" s="67">
        <f>Commandes!BH11*Config!$C16</f>
        <v>2775.4999999999995</v>
      </c>
      <c r="BI31" s="67">
        <f>Commandes!BI11*Config!$C16</f>
        <v>2775.4999999999995</v>
      </c>
      <c r="BJ31" s="67">
        <f>Commandes!BJ11*Config!$C16</f>
        <v>4056.4999999999995</v>
      </c>
      <c r="BK31" s="70"/>
    </row>
    <row r="32" spans="2:63" x14ac:dyDescent="0.2">
      <c r="B32" s="46" t="str">
        <f>Config!$B$17</f>
        <v>Vente d'abonnement annuel (360 Shots)</v>
      </c>
      <c r="C32" s="67">
        <f>Commandes!C12*Config!$C17</f>
        <v>0</v>
      </c>
      <c r="D32" s="67">
        <f>Commandes!D12*Config!$C17</f>
        <v>0</v>
      </c>
      <c r="E32" s="67">
        <f>Commandes!E12*Config!$C17</f>
        <v>0</v>
      </c>
      <c r="F32" s="67">
        <f>Commandes!F12*Config!$C17</f>
        <v>710.9</v>
      </c>
      <c r="G32" s="67">
        <f>Commandes!G12*Config!$C17</f>
        <v>710.9</v>
      </c>
      <c r="H32" s="67">
        <f>Commandes!H12*Config!$C17</f>
        <v>1421.8</v>
      </c>
      <c r="I32" s="67">
        <f>Commandes!I12*Config!$C17</f>
        <v>710.9</v>
      </c>
      <c r="J32" s="67">
        <f>Commandes!J12*Config!$C17</f>
        <v>0</v>
      </c>
      <c r="K32" s="67">
        <f>Commandes!K12*Config!$C17</f>
        <v>2132.6999999999998</v>
      </c>
      <c r="L32" s="67">
        <f>Commandes!L12*Config!$C17</f>
        <v>1421.8</v>
      </c>
      <c r="M32" s="67">
        <f>Commandes!M12*Config!$C17</f>
        <v>1421.8</v>
      </c>
      <c r="N32" s="67">
        <f>Commandes!N12*Config!$C17</f>
        <v>3554.5</v>
      </c>
      <c r="O32" s="67">
        <f>Commandes!O12*Config!$C17</f>
        <v>2132.6999999999998</v>
      </c>
      <c r="P32" s="67">
        <f>Commandes!P12*Config!$C17</f>
        <v>1421.8</v>
      </c>
      <c r="Q32" s="67">
        <f>Commandes!Q12*Config!$C17</f>
        <v>1421.8</v>
      </c>
      <c r="R32" s="67">
        <f>Commandes!R12*Config!$C17</f>
        <v>2132.6999999999998</v>
      </c>
      <c r="S32" s="67">
        <f>Commandes!S12*Config!$C17</f>
        <v>2843.6</v>
      </c>
      <c r="T32" s="67">
        <f>Commandes!T12*Config!$C17</f>
        <v>3554.5</v>
      </c>
      <c r="U32" s="67">
        <f>Commandes!U12*Config!$C17</f>
        <v>2132.6999999999998</v>
      </c>
      <c r="V32" s="67">
        <f>Commandes!V12*Config!$C17</f>
        <v>1421.8</v>
      </c>
      <c r="W32" s="67">
        <f>Commandes!W12*Config!$C17</f>
        <v>4265.3999999999996</v>
      </c>
      <c r="X32" s="67">
        <f>Commandes!X12*Config!$C17</f>
        <v>2843.6</v>
      </c>
      <c r="Y32" s="67">
        <f>Commandes!Y12*Config!$C17</f>
        <v>2843.6</v>
      </c>
      <c r="Z32" s="67">
        <f>Commandes!Z12*Config!$C17</f>
        <v>7109</v>
      </c>
      <c r="AA32" s="67">
        <f>Commandes!AA12*Config!$C17</f>
        <v>3554.5</v>
      </c>
      <c r="AB32" s="67">
        <f>Commandes!AB12*Config!$C17</f>
        <v>2132.6999999999998</v>
      </c>
      <c r="AC32" s="67">
        <f>Commandes!AC12*Config!$C17</f>
        <v>2843.6</v>
      </c>
      <c r="AD32" s="67">
        <f>Commandes!AD12*Config!$C17</f>
        <v>3554.5</v>
      </c>
      <c r="AE32" s="67">
        <f>Commandes!AE12*Config!$C17</f>
        <v>4265.3999999999996</v>
      </c>
      <c r="AF32" s="67">
        <f>Commandes!AF12*Config!$C17</f>
        <v>4976.3</v>
      </c>
      <c r="AG32" s="67">
        <f>Commandes!AG12*Config!$C17</f>
        <v>3554.5</v>
      </c>
      <c r="AH32" s="67">
        <f>Commandes!AH12*Config!$C17</f>
        <v>2843.6</v>
      </c>
      <c r="AI32" s="67">
        <f>Commandes!AI12*Config!$C17</f>
        <v>5687.2</v>
      </c>
      <c r="AJ32" s="67">
        <f>Commandes!AJ12*Config!$C17</f>
        <v>4265.3999999999996</v>
      </c>
      <c r="AK32" s="67">
        <f>Commandes!AK12*Config!$C17</f>
        <v>4265.3999999999996</v>
      </c>
      <c r="AL32" s="67">
        <f>Commandes!AL12*Config!$C17</f>
        <v>10663.5</v>
      </c>
      <c r="AM32" s="67">
        <f>Commandes!AM12*Config!$C17</f>
        <v>5687.2</v>
      </c>
      <c r="AN32" s="67">
        <f>Commandes!AN12*Config!$C17</f>
        <v>3554.5</v>
      </c>
      <c r="AO32" s="67">
        <f>Commandes!AO12*Config!$C17</f>
        <v>4265.3999999999996</v>
      </c>
      <c r="AP32" s="67">
        <f>Commandes!AP12*Config!$C17</f>
        <v>5687.2</v>
      </c>
      <c r="AQ32" s="67">
        <f>Commandes!AQ12*Config!$C17</f>
        <v>7109</v>
      </c>
      <c r="AR32" s="67">
        <f>Commandes!AR12*Config!$C17</f>
        <v>8530.7999999999993</v>
      </c>
      <c r="AS32" s="67">
        <f>Commandes!AS12*Config!$C17</f>
        <v>5687.2</v>
      </c>
      <c r="AT32" s="67">
        <f>Commandes!AT12*Config!$C17</f>
        <v>4265.3999999999996</v>
      </c>
      <c r="AU32" s="67">
        <f>Commandes!AU12*Config!$C17</f>
        <v>8530.7999999999993</v>
      </c>
      <c r="AV32" s="67">
        <f>Commandes!AV12*Config!$C17</f>
        <v>6398.0999999999995</v>
      </c>
      <c r="AW32" s="67">
        <f>Commandes!AW12*Config!$C17</f>
        <v>6398.0999999999995</v>
      </c>
      <c r="AX32" s="67">
        <f>Commandes!AX12*Config!$C17</f>
        <v>14218</v>
      </c>
      <c r="AY32" s="67">
        <f>Commandes!AY12*Config!$C17</f>
        <v>8530.7999999999993</v>
      </c>
      <c r="AZ32" s="67">
        <f>Commandes!AZ12*Config!$C17</f>
        <v>5687.2</v>
      </c>
      <c r="BA32" s="67">
        <f>Commandes!BA12*Config!$C17</f>
        <v>7109</v>
      </c>
      <c r="BB32" s="67">
        <f>Commandes!BB12*Config!$C17</f>
        <v>8530.7999999999993</v>
      </c>
      <c r="BC32" s="67">
        <f>Commandes!BC12*Config!$C17</f>
        <v>10663.5</v>
      </c>
      <c r="BD32" s="67">
        <f>Commandes!BD12*Config!$C17</f>
        <v>12796.199999999999</v>
      </c>
      <c r="BE32" s="67">
        <f>Commandes!BE12*Config!$C17</f>
        <v>8530.7999999999993</v>
      </c>
      <c r="BF32" s="67">
        <f>Commandes!BF12*Config!$C17</f>
        <v>7109</v>
      </c>
      <c r="BG32" s="67">
        <f>Commandes!BG12*Config!$C17</f>
        <v>14218</v>
      </c>
      <c r="BH32" s="67">
        <f>Commandes!BH12*Config!$C17</f>
        <v>10663.5</v>
      </c>
      <c r="BI32" s="67">
        <f>Commandes!BI12*Config!$C17</f>
        <v>10663.5</v>
      </c>
      <c r="BJ32" s="67">
        <f>Commandes!BJ12*Config!$C17</f>
        <v>21327</v>
      </c>
      <c r="BK32" s="70"/>
    </row>
    <row r="33" spans="2:63" x14ac:dyDescent="0.2">
      <c r="B33" s="46">
        <f>Config!$B$18</f>
        <v>0</v>
      </c>
      <c r="C33" s="67">
        <f>Commandes!C13*Config!$C18</f>
        <v>0</v>
      </c>
      <c r="D33" s="67">
        <f>Commandes!D13*Config!$C18</f>
        <v>0</v>
      </c>
      <c r="E33" s="67">
        <f>Commandes!E13*Config!$C18</f>
        <v>0</v>
      </c>
      <c r="F33" s="67">
        <f>Commandes!F13*Config!$C18</f>
        <v>0</v>
      </c>
      <c r="G33" s="67">
        <f>Commandes!G13*Config!$C18</f>
        <v>0</v>
      </c>
      <c r="H33" s="67">
        <f>Commandes!H13*Config!$C18</f>
        <v>0</v>
      </c>
      <c r="I33" s="67">
        <f>Commandes!I13*Config!$C18</f>
        <v>0</v>
      </c>
      <c r="J33" s="67">
        <f>Commandes!J13*Config!$C18</f>
        <v>0</v>
      </c>
      <c r="K33" s="67">
        <f>Commandes!K13*Config!$C18</f>
        <v>0</v>
      </c>
      <c r="L33" s="67">
        <f>Commandes!L13*Config!$C18</f>
        <v>0</v>
      </c>
      <c r="M33" s="67">
        <f>Commandes!M13*Config!$C18</f>
        <v>0</v>
      </c>
      <c r="N33" s="67">
        <f>Commandes!N13*Config!$C18</f>
        <v>0</v>
      </c>
      <c r="O33" s="67">
        <f>Commandes!O13*Config!$C18</f>
        <v>0</v>
      </c>
      <c r="P33" s="67">
        <f>Commandes!P13*Config!$C18</f>
        <v>0</v>
      </c>
      <c r="Q33" s="67">
        <f>Commandes!Q13*Config!$C18</f>
        <v>0</v>
      </c>
      <c r="R33" s="67">
        <f>Commandes!R13*Config!$C18</f>
        <v>0</v>
      </c>
      <c r="S33" s="67">
        <f>Commandes!S13*Config!$C18</f>
        <v>0</v>
      </c>
      <c r="T33" s="67">
        <f>Commandes!T13*Config!$C18</f>
        <v>0</v>
      </c>
      <c r="U33" s="67">
        <f>Commandes!U13*Config!$C18</f>
        <v>0</v>
      </c>
      <c r="V33" s="67">
        <f>Commandes!V13*Config!$C18</f>
        <v>0</v>
      </c>
      <c r="W33" s="67">
        <f>Commandes!W13*Config!$C18</f>
        <v>0</v>
      </c>
      <c r="X33" s="67">
        <f>Commandes!X13*Config!$C18</f>
        <v>0</v>
      </c>
      <c r="Y33" s="67">
        <f>Commandes!Y13*Config!$C18</f>
        <v>0</v>
      </c>
      <c r="Z33" s="67">
        <f>Commandes!Z13*Config!$C18</f>
        <v>0</v>
      </c>
      <c r="AA33" s="67">
        <f>Commandes!AA13*Config!$C18</f>
        <v>0</v>
      </c>
      <c r="AB33" s="67">
        <f>Commandes!AB13*Config!$C18</f>
        <v>0</v>
      </c>
      <c r="AC33" s="67">
        <f>Commandes!AC13*Config!$C18</f>
        <v>0</v>
      </c>
      <c r="AD33" s="67">
        <f>Commandes!AD13*Config!$C18</f>
        <v>0</v>
      </c>
      <c r="AE33" s="67">
        <f>Commandes!AE13*Config!$C18</f>
        <v>0</v>
      </c>
      <c r="AF33" s="67">
        <f>Commandes!AF13*Config!$C18</f>
        <v>0</v>
      </c>
      <c r="AG33" s="67">
        <f>Commandes!AG13*Config!$C18</f>
        <v>0</v>
      </c>
      <c r="AH33" s="67">
        <f>Commandes!AH13*Config!$C18</f>
        <v>0</v>
      </c>
      <c r="AI33" s="67">
        <f>Commandes!AI13*Config!$C18</f>
        <v>0</v>
      </c>
      <c r="AJ33" s="67">
        <f>Commandes!AJ13*Config!$C18</f>
        <v>0</v>
      </c>
      <c r="AK33" s="67">
        <f>Commandes!AK13*Config!$C18</f>
        <v>0</v>
      </c>
      <c r="AL33" s="67">
        <f>Commandes!AL13*Config!$C18</f>
        <v>0</v>
      </c>
      <c r="AM33" s="67">
        <f>Commandes!AM13*Config!$C18</f>
        <v>0</v>
      </c>
      <c r="AN33" s="67">
        <f>Commandes!AN13*Config!$C18</f>
        <v>0</v>
      </c>
      <c r="AO33" s="67">
        <f>Commandes!AO13*Config!$C18</f>
        <v>0</v>
      </c>
      <c r="AP33" s="67">
        <f>Commandes!AP13*Config!$C18</f>
        <v>0</v>
      </c>
      <c r="AQ33" s="67">
        <f>Commandes!AQ13*Config!$C18</f>
        <v>0</v>
      </c>
      <c r="AR33" s="67">
        <f>Commandes!AR13*Config!$C18</f>
        <v>0</v>
      </c>
      <c r="AS33" s="67">
        <f>Commandes!AS13*Config!$C18</f>
        <v>0</v>
      </c>
      <c r="AT33" s="67">
        <f>Commandes!AT13*Config!$C18</f>
        <v>0</v>
      </c>
      <c r="AU33" s="67">
        <f>Commandes!AU13*Config!$C18</f>
        <v>0</v>
      </c>
      <c r="AV33" s="67">
        <f>Commandes!AV13*Config!$C18</f>
        <v>0</v>
      </c>
      <c r="AW33" s="67">
        <f>Commandes!AW13*Config!$C18</f>
        <v>0</v>
      </c>
      <c r="AX33" s="67">
        <f>Commandes!AX13*Config!$C18</f>
        <v>0</v>
      </c>
      <c r="AY33" s="67">
        <f>Commandes!AY13*Config!$C18</f>
        <v>0</v>
      </c>
      <c r="AZ33" s="67">
        <f>Commandes!AZ13*Config!$C18</f>
        <v>0</v>
      </c>
      <c r="BA33" s="67">
        <f>Commandes!BA13*Config!$C18</f>
        <v>0</v>
      </c>
      <c r="BB33" s="67">
        <f>Commandes!BB13*Config!$C18</f>
        <v>0</v>
      </c>
      <c r="BC33" s="67">
        <f>Commandes!BC13*Config!$C18</f>
        <v>0</v>
      </c>
      <c r="BD33" s="67">
        <f>Commandes!BD13*Config!$C18</f>
        <v>0</v>
      </c>
      <c r="BE33" s="67">
        <f>Commandes!BE13*Config!$C18</f>
        <v>0</v>
      </c>
      <c r="BF33" s="67">
        <f>Commandes!BF13*Config!$C18</f>
        <v>0</v>
      </c>
      <c r="BG33" s="67">
        <f>Commandes!BG13*Config!$C18</f>
        <v>0</v>
      </c>
      <c r="BH33" s="67">
        <f>Commandes!BH13*Config!$C18</f>
        <v>0</v>
      </c>
      <c r="BI33" s="67">
        <f>Commandes!BI13*Config!$C18</f>
        <v>0</v>
      </c>
      <c r="BJ33" s="67">
        <f>Commandes!BJ13*Config!$C18</f>
        <v>0</v>
      </c>
      <c r="BK33" s="70"/>
    </row>
    <row r="34" spans="2:63" x14ac:dyDescent="0.2">
      <c r="B34" s="46">
        <f>Config!$B$19</f>
        <v>0</v>
      </c>
      <c r="C34" s="67">
        <f>Commandes!C14*Config!$C19</f>
        <v>0</v>
      </c>
      <c r="D34" s="67">
        <f>Commandes!D14*Config!$C19</f>
        <v>0</v>
      </c>
      <c r="E34" s="67">
        <f>Commandes!E14*Config!$C19</f>
        <v>0</v>
      </c>
      <c r="F34" s="67">
        <f>Commandes!F14*Config!$C19</f>
        <v>0</v>
      </c>
      <c r="G34" s="67">
        <f>Commandes!G14*Config!$C19</f>
        <v>0</v>
      </c>
      <c r="H34" s="67">
        <f>Commandes!H14*Config!$C19</f>
        <v>0</v>
      </c>
      <c r="I34" s="67">
        <f>Commandes!I14*Config!$C19</f>
        <v>0</v>
      </c>
      <c r="J34" s="67">
        <f>Commandes!J14*Config!$C19</f>
        <v>0</v>
      </c>
      <c r="K34" s="67">
        <f>Commandes!K14*Config!$C19</f>
        <v>0</v>
      </c>
      <c r="L34" s="67">
        <f>Commandes!L14*Config!$C19</f>
        <v>0</v>
      </c>
      <c r="M34" s="67">
        <f>Commandes!M14*Config!$C19</f>
        <v>0</v>
      </c>
      <c r="N34" s="67">
        <f>Commandes!N14*Config!$C19</f>
        <v>0</v>
      </c>
      <c r="O34" s="67">
        <f>Commandes!O14*Config!$C19</f>
        <v>0</v>
      </c>
      <c r="P34" s="67">
        <f>Commandes!P14*Config!$C19</f>
        <v>0</v>
      </c>
      <c r="Q34" s="67">
        <f>Commandes!Q14*Config!$C19</f>
        <v>0</v>
      </c>
      <c r="R34" s="67">
        <f>Commandes!R14*Config!$C19</f>
        <v>0</v>
      </c>
      <c r="S34" s="67">
        <f>Commandes!S14*Config!$C19</f>
        <v>0</v>
      </c>
      <c r="T34" s="67">
        <f>Commandes!T14*Config!$C19</f>
        <v>0</v>
      </c>
      <c r="U34" s="67">
        <f>Commandes!U14*Config!$C19</f>
        <v>0</v>
      </c>
      <c r="V34" s="67">
        <f>Commandes!V14*Config!$C19</f>
        <v>0</v>
      </c>
      <c r="W34" s="67">
        <f>Commandes!W14*Config!$C19</f>
        <v>0</v>
      </c>
      <c r="X34" s="67">
        <f>Commandes!X14*Config!$C19</f>
        <v>0</v>
      </c>
      <c r="Y34" s="67">
        <f>Commandes!Y14*Config!$C19</f>
        <v>0</v>
      </c>
      <c r="Z34" s="67">
        <f>Commandes!Z14*Config!$C19</f>
        <v>0</v>
      </c>
      <c r="AA34" s="67">
        <f>Commandes!AA14*Config!$C19</f>
        <v>0</v>
      </c>
      <c r="AB34" s="67">
        <f>Commandes!AB14*Config!$C19</f>
        <v>0</v>
      </c>
      <c r="AC34" s="67">
        <f>Commandes!AC14*Config!$C19</f>
        <v>0</v>
      </c>
      <c r="AD34" s="67">
        <f>Commandes!AD14*Config!$C19</f>
        <v>0</v>
      </c>
      <c r="AE34" s="67">
        <f>Commandes!AE14*Config!$C19</f>
        <v>0</v>
      </c>
      <c r="AF34" s="67">
        <f>Commandes!AF14*Config!$C19</f>
        <v>0</v>
      </c>
      <c r="AG34" s="67">
        <f>Commandes!AG14*Config!$C19</f>
        <v>0</v>
      </c>
      <c r="AH34" s="67">
        <f>Commandes!AH14*Config!$C19</f>
        <v>0</v>
      </c>
      <c r="AI34" s="67">
        <f>Commandes!AI14*Config!$C19</f>
        <v>0</v>
      </c>
      <c r="AJ34" s="67">
        <f>Commandes!AJ14*Config!$C19</f>
        <v>0</v>
      </c>
      <c r="AK34" s="67">
        <f>Commandes!AK14*Config!$C19</f>
        <v>0</v>
      </c>
      <c r="AL34" s="67">
        <f>Commandes!AL14*Config!$C19</f>
        <v>0</v>
      </c>
      <c r="AM34" s="67">
        <f>Commandes!AM14*Config!$C19</f>
        <v>0</v>
      </c>
      <c r="AN34" s="67">
        <f>Commandes!AN14*Config!$C19</f>
        <v>0</v>
      </c>
      <c r="AO34" s="67">
        <f>Commandes!AO14*Config!$C19</f>
        <v>0</v>
      </c>
      <c r="AP34" s="67">
        <f>Commandes!AP14*Config!$C19</f>
        <v>0</v>
      </c>
      <c r="AQ34" s="67">
        <f>Commandes!AQ14*Config!$C19</f>
        <v>0</v>
      </c>
      <c r="AR34" s="67">
        <f>Commandes!AR14*Config!$C19</f>
        <v>0</v>
      </c>
      <c r="AS34" s="67">
        <f>Commandes!AS14*Config!$C19</f>
        <v>0</v>
      </c>
      <c r="AT34" s="67">
        <f>Commandes!AT14*Config!$C19</f>
        <v>0</v>
      </c>
      <c r="AU34" s="67">
        <f>Commandes!AU14*Config!$C19</f>
        <v>0</v>
      </c>
      <c r="AV34" s="67">
        <f>Commandes!AV14*Config!$C19</f>
        <v>0</v>
      </c>
      <c r="AW34" s="67">
        <f>Commandes!AW14*Config!$C19</f>
        <v>0</v>
      </c>
      <c r="AX34" s="67">
        <f>Commandes!AX14*Config!$C19</f>
        <v>0</v>
      </c>
      <c r="AY34" s="67">
        <f>Commandes!AY14*Config!$C19</f>
        <v>0</v>
      </c>
      <c r="AZ34" s="67">
        <f>Commandes!AZ14*Config!$C19</f>
        <v>0</v>
      </c>
      <c r="BA34" s="67">
        <f>Commandes!BA14*Config!$C19</f>
        <v>0</v>
      </c>
      <c r="BB34" s="67">
        <f>Commandes!BB14*Config!$C19</f>
        <v>0</v>
      </c>
      <c r="BC34" s="67">
        <f>Commandes!BC14*Config!$C19</f>
        <v>0</v>
      </c>
      <c r="BD34" s="67">
        <f>Commandes!BD14*Config!$C19</f>
        <v>0</v>
      </c>
      <c r="BE34" s="67">
        <f>Commandes!BE14*Config!$C19</f>
        <v>0</v>
      </c>
      <c r="BF34" s="67">
        <f>Commandes!BF14*Config!$C19</f>
        <v>0</v>
      </c>
      <c r="BG34" s="67">
        <f>Commandes!BG14*Config!$C19</f>
        <v>0</v>
      </c>
      <c r="BH34" s="67">
        <f>Commandes!BH14*Config!$C19</f>
        <v>0</v>
      </c>
      <c r="BI34" s="67">
        <f>Commandes!BI14*Config!$C19</f>
        <v>0</v>
      </c>
      <c r="BJ34" s="67">
        <f>Commandes!BJ14*Config!$C19</f>
        <v>0</v>
      </c>
      <c r="BK34" s="70"/>
    </row>
    <row r="35" spans="2:63" x14ac:dyDescent="0.2">
      <c r="B35" s="46">
        <f>Config!$B$20</f>
        <v>0</v>
      </c>
      <c r="C35" s="67">
        <f>Commandes!C15*Config!$C20</f>
        <v>0</v>
      </c>
      <c r="D35" s="67">
        <f>Commandes!D15*Config!$C20</f>
        <v>0</v>
      </c>
      <c r="E35" s="67">
        <f>Commandes!E15*Config!$C20</f>
        <v>0</v>
      </c>
      <c r="F35" s="67">
        <f>Commandes!F15*Config!$C20</f>
        <v>0</v>
      </c>
      <c r="G35" s="67">
        <f>Commandes!G15*Config!$C20</f>
        <v>0</v>
      </c>
      <c r="H35" s="67">
        <f>Commandes!H15*Config!$C20</f>
        <v>0</v>
      </c>
      <c r="I35" s="67">
        <f>Commandes!I15*Config!$C20</f>
        <v>0</v>
      </c>
      <c r="J35" s="67">
        <f>Commandes!J15*Config!$C20</f>
        <v>0</v>
      </c>
      <c r="K35" s="67">
        <f>Commandes!K15*Config!$C20</f>
        <v>0</v>
      </c>
      <c r="L35" s="67">
        <f>Commandes!L15*Config!$C20</f>
        <v>0</v>
      </c>
      <c r="M35" s="67">
        <f>Commandes!M15*Config!$C20</f>
        <v>0</v>
      </c>
      <c r="N35" s="67">
        <f>Commandes!N15*Config!$C20</f>
        <v>0</v>
      </c>
      <c r="O35" s="67">
        <f>Commandes!O15*Config!$C20</f>
        <v>0</v>
      </c>
      <c r="P35" s="67">
        <f>Commandes!P15*Config!$C20</f>
        <v>0</v>
      </c>
      <c r="Q35" s="67">
        <f>Commandes!Q15*Config!$C20</f>
        <v>0</v>
      </c>
      <c r="R35" s="67">
        <f>Commandes!R15*Config!$C20</f>
        <v>0</v>
      </c>
      <c r="S35" s="67">
        <f>Commandes!S15*Config!$C20</f>
        <v>0</v>
      </c>
      <c r="T35" s="67">
        <f>Commandes!T15*Config!$C20</f>
        <v>0</v>
      </c>
      <c r="U35" s="67">
        <f>Commandes!U15*Config!$C20</f>
        <v>0</v>
      </c>
      <c r="V35" s="67">
        <f>Commandes!V15*Config!$C20</f>
        <v>0</v>
      </c>
      <c r="W35" s="67">
        <f>Commandes!W15*Config!$C20</f>
        <v>0</v>
      </c>
      <c r="X35" s="67">
        <f>Commandes!X15*Config!$C20</f>
        <v>0</v>
      </c>
      <c r="Y35" s="67">
        <f>Commandes!Y15*Config!$C20</f>
        <v>0</v>
      </c>
      <c r="Z35" s="67">
        <f>Commandes!Z15*Config!$C20</f>
        <v>0</v>
      </c>
      <c r="AA35" s="67">
        <f>Commandes!AA15*Config!$C20</f>
        <v>0</v>
      </c>
      <c r="AB35" s="67">
        <f>Commandes!AB15*Config!$C20</f>
        <v>0</v>
      </c>
      <c r="AC35" s="67">
        <f>Commandes!AC15*Config!$C20</f>
        <v>0</v>
      </c>
      <c r="AD35" s="67">
        <f>Commandes!AD15*Config!$C20</f>
        <v>0</v>
      </c>
      <c r="AE35" s="67">
        <f>Commandes!AE15*Config!$C20</f>
        <v>0</v>
      </c>
      <c r="AF35" s="67">
        <f>Commandes!AF15*Config!$C20</f>
        <v>0</v>
      </c>
      <c r="AG35" s="67">
        <f>Commandes!AG15*Config!$C20</f>
        <v>0</v>
      </c>
      <c r="AH35" s="67">
        <f>Commandes!AH15*Config!$C20</f>
        <v>0</v>
      </c>
      <c r="AI35" s="67">
        <f>Commandes!AI15*Config!$C20</f>
        <v>0</v>
      </c>
      <c r="AJ35" s="67">
        <f>Commandes!AJ15*Config!$C20</f>
        <v>0</v>
      </c>
      <c r="AK35" s="67">
        <f>Commandes!AK15*Config!$C20</f>
        <v>0</v>
      </c>
      <c r="AL35" s="67">
        <f>Commandes!AL15*Config!$C20</f>
        <v>0</v>
      </c>
      <c r="AM35" s="67">
        <f>Commandes!AM15*Config!$C20</f>
        <v>0</v>
      </c>
      <c r="AN35" s="67">
        <f>Commandes!AN15*Config!$C20</f>
        <v>0</v>
      </c>
      <c r="AO35" s="67">
        <f>Commandes!AO15*Config!$C20</f>
        <v>0</v>
      </c>
      <c r="AP35" s="67">
        <f>Commandes!AP15*Config!$C20</f>
        <v>0</v>
      </c>
      <c r="AQ35" s="67">
        <f>Commandes!AQ15*Config!$C20</f>
        <v>0</v>
      </c>
      <c r="AR35" s="67">
        <f>Commandes!AR15*Config!$C20</f>
        <v>0</v>
      </c>
      <c r="AS35" s="67">
        <f>Commandes!AS15*Config!$C20</f>
        <v>0</v>
      </c>
      <c r="AT35" s="67">
        <f>Commandes!AT15*Config!$C20</f>
        <v>0</v>
      </c>
      <c r="AU35" s="67">
        <f>Commandes!AU15*Config!$C20</f>
        <v>0</v>
      </c>
      <c r="AV35" s="67">
        <f>Commandes!AV15*Config!$C20</f>
        <v>0</v>
      </c>
      <c r="AW35" s="67">
        <f>Commandes!AW15*Config!$C20</f>
        <v>0</v>
      </c>
      <c r="AX35" s="67">
        <f>Commandes!AX15*Config!$C20</f>
        <v>0</v>
      </c>
      <c r="AY35" s="67">
        <f>Commandes!AY15*Config!$C20</f>
        <v>0</v>
      </c>
      <c r="AZ35" s="67">
        <f>Commandes!AZ15*Config!$C20</f>
        <v>0</v>
      </c>
      <c r="BA35" s="67">
        <f>Commandes!BA15*Config!$C20</f>
        <v>0</v>
      </c>
      <c r="BB35" s="67">
        <f>Commandes!BB15*Config!$C20</f>
        <v>0</v>
      </c>
      <c r="BC35" s="67">
        <f>Commandes!BC15*Config!$C20</f>
        <v>0</v>
      </c>
      <c r="BD35" s="67">
        <f>Commandes!BD15*Config!$C20</f>
        <v>0</v>
      </c>
      <c r="BE35" s="67">
        <f>Commandes!BE15*Config!$C20</f>
        <v>0</v>
      </c>
      <c r="BF35" s="67">
        <f>Commandes!BF15*Config!$C20</f>
        <v>0</v>
      </c>
      <c r="BG35" s="67">
        <f>Commandes!BG15*Config!$C20</f>
        <v>0</v>
      </c>
      <c r="BH35" s="67">
        <f>Commandes!BH15*Config!$C20</f>
        <v>0</v>
      </c>
      <c r="BI35" s="67">
        <f>Commandes!BI15*Config!$C20</f>
        <v>0</v>
      </c>
      <c r="BJ35" s="67">
        <f>Commandes!BJ15*Config!$C20</f>
        <v>0</v>
      </c>
      <c r="BK35" s="70"/>
    </row>
    <row r="36" spans="2:63" x14ac:dyDescent="0.2">
      <c r="B36" s="46">
        <f>Config!$B$21</f>
        <v>0</v>
      </c>
      <c r="C36" s="67">
        <f>Commandes!C16*Config!$C21</f>
        <v>0</v>
      </c>
      <c r="D36" s="67">
        <f>Commandes!D16*Config!$C21</f>
        <v>0</v>
      </c>
      <c r="E36" s="67">
        <f>Commandes!E16*Config!$C21</f>
        <v>0</v>
      </c>
      <c r="F36" s="67">
        <f>Commandes!F16*Config!$C21</f>
        <v>0</v>
      </c>
      <c r="G36" s="67">
        <f>Commandes!G16*Config!$C21</f>
        <v>0</v>
      </c>
      <c r="H36" s="67">
        <f>Commandes!H16*Config!$C21</f>
        <v>0</v>
      </c>
      <c r="I36" s="67">
        <f>Commandes!I16*Config!$C21</f>
        <v>0</v>
      </c>
      <c r="J36" s="67">
        <f>Commandes!J16*Config!$C21</f>
        <v>0</v>
      </c>
      <c r="K36" s="67">
        <f>Commandes!K16*Config!$C21</f>
        <v>0</v>
      </c>
      <c r="L36" s="67">
        <f>Commandes!L16*Config!$C21</f>
        <v>0</v>
      </c>
      <c r="M36" s="67">
        <f>Commandes!M16*Config!$C21</f>
        <v>0</v>
      </c>
      <c r="N36" s="67">
        <f>Commandes!N16*Config!$C21</f>
        <v>0</v>
      </c>
      <c r="O36" s="67">
        <f>Commandes!O16*Config!$C21</f>
        <v>0</v>
      </c>
      <c r="P36" s="67">
        <f>Commandes!P16*Config!$C21</f>
        <v>0</v>
      </c>
      <c r="Q36" s="67">
        <f>Commandes!Q16*Config!$C21</f>
        <v>0</v>
      </c>
      <c r="R36" s="67">
        <f>Commandes!R16*Config!$C21</f>
        <v>0</v>
      </c>
      <c r="S36" s="67">
        <f>Commandes!S16*Config!$C21</f>
        <v>0</v>
      </c>
      <c r="T36" s="67">
        <f>Commandes!T16*Config!$C21</f>
        <v>0</v>
      </c>
      <c r="U36" s="67">
        <f>Commandes!U16*Config!$C21</f>
        <v>0</v>
      </c>
      <c r="V36" s="67">
        <f>Commandes!V16*Config!$C21</f>
        <v>0</v>
      </c>
      <c r="W36" s="67">
        <f>Commandes!W16*Config!$C21</f>
        <v>0</v>
      </c>
      <c r="X36" s="67">
        <f>Commandes!X16*Config!$C21</f>
        <v>0</v>
      </c>
      <c r="Y36" s="67">
        <f>Commandes!Y16*Config!$C21</f>
        <v>0</v>
      </c>
      <c r="Z36" s="67">
        <f>Commandes!Z16*Config!$C21</f>
        <v>0</v>
      </c>
      <c r="AA36" s="67">
        <f>Commandes!AA16*Config!$C21</f>
        <v>0</v>
      </c>
      <c r="AB36" s="67">
        <f>Commandes!AB16*Config!$C21</f>
        <v>0</v>
      </c>
      <c r="AC36" s="67">
        <f>Commandes!AC16*Config!$C21</f>
        <v>0</v>
      </c>
      <c r="AD36" s="67">
        <f>Commandes!AD16*Config!$C21</f>
        <v>0</v>
      </c>
      <c r="AE36" s="67">
        <f>Commandes!AE16*Config!$C21</f>
        <v>0</v>
      </c>
      <c r="AF36" s="67">
        <f>Commandes!AF16*Config!$C21</f>
        <v>0</v>
      </c>
      <c r="AG36" s="67">
        <f>Commandes!AG16*Config!$C21</f>
        <v>0</v>
      </c>
      <c r="AH36" s="67">
        <f>Commandes!AH16*Config!$C21</f>
        <v>0</v>
      </c>
      <c r="AI36" s="67">
        <f>Commandes!AI16*Config!$C21</f>
        <v>0</v>
      </c>
      <c r="AJ36" s="67">
        <f>Commandes!AJ16*Config!$C21</f>
        <v>0</v>
      </c>
      <c r="AK36" s="67">
        <f>Commandes!AK16*Config!$C21</f>
        <v>0</v>
      </c>
      <c r="AL36" s="67">
        <f>Commandes!AL16*Config!$C21</f>
        <v>0</v>
      </c>
      <c r="AM36" s="67">
        <f>Commandes!AM16*Config!$C21</f>
        <v>0</v>
      </c>
      <c r="AN36" s="67">
        <f>Commandes!AN16*Config!$C21</f>
        <v>0</v>
      </c>
      <c r="AO36" s="67">
        <f>Commandes!AO16*Config!$C21</f>
        <v>0</v>
      </c>
      <c r="AP36" s="67">
        <f>Commandes!AP16*Config!$C21</f>
        <v>0</v>
      </c>
      <c r="AQ36" s="67">
        <f>Commandes!AQ16*Config!$C21</f>
        <v>0</v>
      </c>
      <c r="AR36" s="67">
        <f>Commandes!AR16*Config!$C21</f>
        <v>0</v>
      </c>
      <c r="AS36" s="67">
        <f>Commandes!AS16*Config!$C21</f>
        <v>0</v>
      </c>
      <c r="AT36" s="67">
        <f>Commandes!AT16*Config!$C21</f>
        <v>0</v>
      </c>
      <c r="AU36" s="67">
        <f>Commandes!AU16*Config!$C21</f>
        <v>0</v>
      </c>
      <c r="AV36" s="67">
        <f>Commandes!AV16*Config!$C21</f>
        <v>0</v>
      </c>
      <c r="AW36" s="67">
        <f>Commandes!AW16*Config!$C21</f>
        <v>0</v>
      </c>
      <c r="AX36" s="67">
        <f>Commandes!AX16*Config!$C21</f>
        <v>0</v>
      </c>
      <c r="AY36" s="67">
        <f>Commandes!AY16*Config!$C21</f>
        <v>0</v>
      </c>
      <c r="AZ36" s="67">
        <f>Commandes!AZ16*Config!$C21</f>
        <v>0</v>
      </c>
      <c r="BA36" s="67">
        <f>Commandes!BA16*Config!$C21</f>
        <v>0</v>
      </c>
      <c r="BB36" s="67">
        <f>Commandes!BB16*Config!$C21</f>
        <v>0</v>
      </c>
      <c r="BC36" s="67">
        <f>Commandes!BC16*Config!$C21</f>
        <v>0</v>
      </c>
      <c r="BD36" s="67">
        <f>Commandes!BD16*Config!$C21</f>
        <v>0</v>
      </c>
      <c r="BE36" s="67">
        <f>Commandes!BE16*Config!$C21</f>
        <v>0</v>
      </c>
      <c r="BF36" s="67">
        <f>Commandes!BF16*Config!$C21</f>
        <v>0</v>
      </c>
      <c r="BG36" s="67">
        <f>Commandes!BG16*Config!$C21</f>
        <v>0</v>
      </c>
      <c r="BH36" s="67">
        <f>Commandes!BH16*Config!$C21</f>
        <v>0</v>
      </c>
      <c r="BI36" s="67">
        <f>Commandes!BI16*Config!$C21</f>
        <v>0</v>
      </c>
      <c r="BJ36" s="67">
        <f>Commandes!BJ16*Config!$C21</f>
        <v>0</v>
      </c>
      <c r="BK36" s="70"/>
    </row>
    <row r="37" spans="2:63" x14ac:dyDescent="0.2">
      <c r="B37" s="46">
        <f>Config!$B$22</f>
        <v>0</v>
      </c>
      <c r="C37" s="67">
        <f>Commandes!C17*Config!$C22</f>
        <v>0</v>
      </c>
      <c r="D37" s="67">
        <f>Commandes!D17*Config!$C22</f>
        <v>0</v>
      </c>
      <c r="E37" s="67">
        <f>Commandes!E17*Config!$C22</f>
        <v>0</v>
      </c>
      <c r="F37" s="67">
        <f>Commandes!F17*Config!$C22</f>
        <v>0</v>
      </c>
      <c r="G37" s="67">
        <f>Commandes!G17*Config!$C22</f>
        <v>0</v>
      </c>
      <c r="H37" s="67">
        <f>Commandes!H17*Config!$C22</f>
        <v>0</v>
      </c>
      <c r="I37" s="67">
        <f>Commandes!I17*Config!$C22</f>
        <v>0</v>
      </c>
      <c r="J37" s="67">
        <f>Commandes!J17*Config!$C22</f>
        <v>0</v>
      </c>
      <c r="K37" s="67">
        <f>Commandes!K17*Config!$C22</f>
        <v>0</v>
      </c>
      <c r="L37" s="67">
        <f>Commandes!L17*Config!$C22</f>
        <v>0</v>
      </c>
      <c r="M37" s="67">
        <f>Commandes!M17*Config!$C22</f>
        <v>0</v>
      </c>
      <c r="N37" s="67">
        <f>Commandes!N17*Config!$C22</f>
        <v>0</v>
      </c>
      <c r="O37" s="67">
        <f>Commandes!O17*Config!$C22</f>
        <v>0</v>
      </c>
      <c r="P37" s="67">
        <f>Commandes!P17*Config!$C22</f>
        <v>0</v>
      </c>
      <c r="Q37" s="67">
        <f>Commandes!Q17*Config!$C22</f>
        <v>0</v>
      </c>
      <c r="R37" s="67">
        <f>Commandes!R17*Config!$C22</f>
        <v>0</v>
      </c>
      <c r="S37" s="67">
        <f>Commandes!S17*Config!$C22</f>
        <v>0</v>
      </c>
      <c r="T37" s="67">
        <f>Commandes!T17*Config!$C22</f>
        <v>0</v>
      </c>
      <c r="U37" s="67">
        <f>Commandes!U17*Config!$C22</f>
        <v>0</v>
      </c>
      <c r="V37" s="67">
        <f>Commandes!V17*Config!$C22</f>
        <v>0</v>
      </c>
      <c r="W37" s="67">
        <f>Commandes!W17*Config!$C22</f>
        <v>0</v>
      </c>
      <c r="X37" s="67">
        <f>Commandes!X17*Config!$C22</f>
        <v>0</v>
      </c>
      <c r="Y37" s="67">
        <f>Commandes!Y17*Config!$C22</f>
        <v>0</v>
      </c>
      <c r="Z37" s="67">
        <f>Commandes!Z17*Config!$C22</f>
        <v>0</v>
      </c>
      <c r="AA37" s="67">
        <f>Commandes!AA17*Config!$C22</f>
        <v>0</v>
      </c>
      <c r="AB37" s="67">
        <f>Commandes!AB17*Config!$C22</f>
        <v>0</v>
      </c>
      <c r="AC37" s="67">
        <f>Commandes!AC17*Config!$C22</f>
        <v>0</v>
      </c>
      <c r="AD37" s="67">
        <f>Commandes!AD17*Config!$C22</f>
        <v>0</v>
      </c>
      <c r="AE37" s="67">
        <f>Commandes!AE17*Config!$C22</f>
        <v>0</v>
      </c>
      <c r="AF37" s="67">
        <f>Commandes!AF17*Config!$C22</f>
        <v>0</v>
      </c>
      <c r="AG37" s="67">
        <f>Commandes!AG17*Config!$C22</f>
        <v>0</v>
      </c>
      <c r="AH37" s="67">
        <f>Commandes!AH17*Config!$C22</f>
        <v>0</v>
      </c>
      <c r="AI37" s="67">
        <f>Commandes!AI17*Config!$C22</f>
        <v>0</v>
      </c>
      <c r="AJ37" s="67">
        <f>Commandes!AJ17*Config!$C22</f>
        <v>0</v>
      </c>
      <c r="AK37" s="67">
        <f>Commandes!AK17*Config!$C22</f>
        <v>0</v>
      </c>
      <c r="AL37" s="67">
        <f>Commandes!AL17*Config!$C22</f>
        <v>0</v>
      </c>
      <c r="AM37" s="67">
        <f>Commandes!AM17*Config!$C22</f>
        <v>0</v>
      </c>
      <c r="AN37" s="67">
        <f>Commandes!AN17*Config!$C22</f>
        <v>0</v>
      </c>
      <c r="AO37" s="67">
        <f>Commandes!AO17*Config!$C22</f>
        <v>0</v>
      </c>
      <c r="AP37" s="67">
        <f>Commandes!AP17*Config!$C22</f>
        <v>0</v>
      </c>
      <c r="AQ37" s="67">
        <f>Commandes!AQ17*Config!$C22</f>
        <v>0</v>
      </c>
      <c r="AR37" s="67">
        <f>Commandes!AR17*Config!$C22</f>
        <v>0</v>
      </c>
      <c r="AS37" s="67">
        <f>Commandes!AS17*Config!$C22</f>
        <v>0</v>
      </c>
      <c r="AT37" s="67">
        <f>Commandes!AT17*Config!$C22</f>
        <v>0</v>
      </c>
      <c r="AU37" s="67">
        <f>Commandes!AU17*Config!$C22</f>
        <v>0</v>
      </c>
      <c r="AV37" s="67">
        <f>Commandes!AV17*Config!$C22</f>
        <v>0</v>
      </c>
      <c r="AW37" s="67">
        <f>Commandes!AW17*Config!$C22</f>
        <v>0</v>
      </c>
      <c r="AX37" s="67">
        <f>Commandes!AX17*Config!$C22</f>
        <v>0</v>
      </c>
      <c r="AY37" s="67">
        <f>Commandes!AY17*Config!$C22</f>
        <v>0</v>
      </c>
      <c r="AZ37" s="67">
        <f>Commandes!AZ17*Config!$C22</f>
        <v>0</v>
      </c>
      <c r="BA37" s="67">
        <f>Commandes!BA17*Config!$C22</f>
        <v>0</v>
      </c>
      <c r="BB37" s="67">
        <f>Commandes!BB17*Config!$C22</f>
        <v>0</v>
      </c>
      <c r="BC37" s="67">
        <f>Commandes!BC17*Config!$C22</f>
        <v>0</v>
      </c>
      <c r="BD37" s="67">
        <f>Commandes!BD17*Config!$C22</f>
        <v>0</v>
      </c>
      <c r="BE37" s="67">
        <f>Commandes!BE17*Config!$C22</f>
        <v>0</v>
      </c>
      <c r="BF37" s="67">
        <f>Commandes!BF17*Config!$C22</f>
        <v>0</v>
      </c>
      <c r="BG37" s="67">
        <f>Commandes!BG17*Config!$C22</f>
        <v>0</v>
      </c>
      <c r="BH37" s="67">
        <f>Commandes!BH17*Config!$C22</f>
        <v>0</v>
      </c>
      <c r="BI37" s="67">
        <f>Commandes!BI17*Config!$C22</f>
        <v>0</v>
      </c>
      <c r="BJ37" s="67">
        <f>Commandes!BJ17*Config!$C22</f>
        <v>0</v>
      </c>
      <c r="BK37" s="70"/>
    </row>
    <row r="38" spans="2:63" x14ac:dyDescent="0.2">
      <c r="B38" s="46">
        <f>Config!$B$23</f>
        <v>0</v>
      </c>
      <c r="C38" s="67">
        <f>Commandes!C18*Config!$C23</f>
        <v>0</v>
      </c>
      <c r="D38" s="67">
        <f>Commandes!D18*Config!$C23</f>
        <v>0</v>
      </c>
      <c r="E38" s="67">
        <f>Commandes!E18*Config!$C23</f>
        <v>0</v>
      </c>
      <c r="F38" s="67">
        <f>Commandes!F18*Config!$C23</f>
        <v>0</v>
      </c>
      <c r="G38" s="67">
        <f>Commandes!G18*Config!$C23</f>
        <v>0</v>
      </c>
      <c r="H38" s="67">
        <f>Commandes!H18*Config!$C23</f>
        <v>0</v>
      </c>
      <c r="I38" s="67">
        <f>Commandes!I18*Config!$C23</f>
        <v>0</v>
      </c>
      <c r="J38" s="67">
        <f>Commandes!J18*Config!$C23</f>
        <v>0</v>
      </c>
      <c r="K38" s="67">
        <f>Commandes!K18*Config!$C23</f>
        <v>0</v>
      </c>
      <c r="L38" s="67">
        <f>Commandes!L18*Config!$C23</f>
        <v>0</v>
      </c>
      <c r="M38" s="67">
        <f>Commandes!M18*Config!$C23</f>
        <v>0</v>
      </c>
      <c r="N38" s="67">
        <f>Commandes!N18*Config!$C23</f>
        <v>0</v>
      </c>
      <c r="O38" s="67">
        <f>Commandes!O18*Config!$C23</f>
        <v>0</v>
      </c>
      <c r="P38" s="67">
        <f>Commandes!P18*Config!$C23</f>
        <v>0</v>
      </c>
      <c r="Q38" s="67">
        <f>Commandes!Q18*Config!$C23</f>
        <v>0</v>
      </c>
      <c r="R38" s="67">
        <f>Commandes!R18*Config!$C23</f>
        <v>0</v>
      </c>
      <c r="S38" s="67">
        <f>Commandes!S18*Config!$C23</f>
        <v>0</v>
      </c>
      <c r="T38" s="67">
        <f>Commandes!T18*Config!$C23</f>
        <v>0</v>
      </c>
      <c r="U38" s="67">
        <f>Commandes!U18*Config!$C23</f>
        <v>0</v>
      </c>
      <c r="V38" s="67">
        <f>Commandes!V18*Config!$C23</f>
        <v>0</v>
      </c>
      <c r="W38" s="67">
        <f>Commandes!W18*Config!$C23</f>
        <v>0</v>
      </c>
      <c r="X38" s="67">
        <f>Commandes!X18*Config!$C23</f>
        <v>0</v>
      </c>
      <c r="Y38" s="67">
        <f>Commandes!Y18*Config!$C23</f>
        <v>0</v>
      </c>
      <c r="Z38" s="67">
        <f>Commandes!Z18*Config!$C23</f>
        <v>0</v>
      </c>
      <c r="AA38" s="67">
        <f>Commandes!AA18*Config!$C23</f>
        <v>0</v>
      </c>
      <c r="AB38" s="67">
        <f>Commandes!AB18*Config!$C23</f>
        <v>0</v>
      </c>
      <c r="AC38" s="67">
        <f>Commandes!AC18*Config!$C23</f>
        <v>0</v>
      </c>
      <c r="AD38" s="67">
        <f>Commandes!AD18*Config!$C23</f>
        <v>0</v>
      </c>
      <c r="AE38" s="67">
        <f>Commandes!AE18*Config!$C23</f>
        <v>0</v>
      </c>
      <c r="AF38" s="67">
        <f>Commandes!AF18*Config!$C23</f>
        <v>0</v>
      </c>
      <c r="AG38" s="67">
        <f>Commandes!AG18*Config!$C23</f>
        <v>0</v>
      </c>
      <c r="AH38" s="67">
        <f>Commandes!AH18*Config!$C23</f>
        <v>0</v>
      </c>
      <c r="AI38" s="67">
        <f>Commandes!AI18*Config!$C23</f>
        <v>0</v>
      </c>
      <c r="AJ38" s="67">
        <f>Commandes!AJ18*Config!$C23</f>
        <v>0</v>
      </c>
      <c r="AK38" s="67">
        <f>Commandes!AK18*Config!$C23</f>
        <v>0</v>
      </c>
      <c r="AL38" s="67">
        <f>Commandes!AL18*Config!$C23</f>
        <v>0</v>
      </c>
      <c r="AM38" s="67">
        <f>Commandes!AM18*Config!$C23</f>
        <v>0</v>
      </c>
      <c r="AN38" s="67">
        <f>Commandes!AN18*Config!$C23</f>
        <v>0</v>
      </c>
      <c r="AO38" s="67">
        <f>Commandes!AO18*Config!$C23</f>
        <v>0</v>
      </c>
      <c r="AP38" s="67">
        <f>Commandes!AP18*Config!$C23</f>
        <v>0</v>
      </c>
      <c r="AQ38" s="67">
        <f>Commandes!AQ18*Config!$C23</f>
        <v>0</v>
      </c>
      <c r="AR38" s="67">
        <f>Commandes!AR18*Config!$C23</f>
        <v>0</v>
      </c>
      <c r="AS38" s="67">
        <f>Commandes!AS18*Config!$C23</f>
        <v>0</v>
      </c>
      <c r="AT38" s="67">
        <f>Commandes!AT18*Config!$C23</f>
        <v>0</v>
      </c>
      <c r="AU38" s="67">
        <f>Commandes!AU18*Config!$C23</f>
        <v>0</v>
      </c>
      <c r="AV38" s="67">
        <f>Commandes!AV18*Config!$C23</f>
        <v>0</v>
      </c>
      <c r="AW38" s="67">
        <f>Commandes!AW18*Config!$C23</f>
        <v>0</v>
      </c>
      <c r="AX38" s="67">
        <f>Commandes!AX18*Config!$C23</f>
        <v>0</v>
      </c>
      <c r="AY38" s="67">
        <f>Commandes!AY18*Config!$C23</f>
        <v>0</v>
      </c>
      <c r="AZ38" s="67">
        <f>Commandes!AZ18*Config!$C23</f>
        <v>0</v>
      </c>
      <c r="BA38" s="67">
        <f>Commandes!BA18*Config!$C23</f>
        <v>0</v>
      </c>
      <c r="BB38" s="67">
        <f>Commandes!BB18*Config!$C23</f>
        <v>0</v>
      </c>
      <c r="BC38" s="67">
        <f>Commandes!BC18*Config!$C23</f>
        <v>0</v>
      </c>
      <c r="BD38" s="67">
        <f>Commandes!BD18*Config!$C23</f>
        <v>0</v>
      </c>
      <c r="BE38" s="67">
        <f>Commandes!BE18*Config!$C23</f>
        <v>0</v>
      </c>
      <c r="BF38" s="67">
        <f>Commandes!BF18*Config!$C23</f>
        <v>0</v>
      </c>
      <c r="BG38" s="67">
        <f>Commandes!BG18*Config!$C23</f>
        <v>0</v>
      </c>
      <c r="BH38" s="67">
        <f>Commandes!BH18*Config!$C23</f>
        <v>0</v>
      </c>
      <c r="BI38" s="67">
        <f>Commandes!BI18*Config!$C23</f>
        <v>0</v>
      </c>
      <c r="BJ38" s="67">
        <f>Commandes!BJ18*Config!$C23</f>
        <v>0</v>
      </c>
      <c r="BK38" s="70"/>
    </row>
    <row r="39" spans="2:63" x14ac:dyDescent="0.2">
      <c r="B39" s="46">
        <f>Config!$B$24</f>
        <v>0</v>
      </c>
      <c r="C39" s="67">
        <f>Commandes!C19*Config!$C24</f>
        <v>0</v>
      </c>
      <c r="D39" s="67">
        <f>Commandes!D19*Config!$C24</f>
        <v>0</v>
      </c>
      <c r="E39" s="67">
        <f>Commandes!E19*Config!$C24</f>
        <v>0</v>
      </c>
      <c r="F39" s="67">
        <f>Commandes!F19*Config!$C24</f>
        <v>0</v>
      </c>
      <c r="G39" s="67">
        <f>Commandes!G19*Config!$C24</f>
        <v>0</v>
      </c>
      <c r="H39" s="67">
        <f>Commandes!H19*Config!$C24</f>
        <v>0</v>
      </c>
      <c r="I39" s="67">
        <f>Commandes!I19*Config!$C24</f>
        <v>0</v>
      </c>
      <c r="J39" s="67">
        <f>Commandes!J19*Config!$C24</f>
        <v>0</v>
      </c>
      <c r="K39" s="67">
        <f>Commandes!K19*Config!$C24</f>
        <v>0</v>
      </c>
      <c r="L39" s="67">
        <f>Commandes!L19*Config!$C24</f>
        <v>0</v>
      </c>
      <c r="M39" s="67">
        <f>Commandes!M19*Config!$C24</f>
        <v>0</v>
      </c>
      <c r="N39" s="67">
        <f>Commandes!N19*Config!$C24</f>
        <v>0</v>
      </c>
      <c r="O39" s="67">
        <f>Commandes!O19*Config!$C24</f>
        <v>0</v>
      </c>
      <c r="P39" s="67">
        <f>Commandes!P19*Config!$C24</f>
        <v>0</v>
      </c>
      <c r="Q39" s="67">
        <f>Commandes!Q19*Config!$C24</f>
        <v>0</v>
      </c>
      <c r="R39" s="67">
        <f>Commandes!R19*Config!$C24</f>
        <v>0</v>
      </c>
      <c r="S39" s="67">
        <f>Commandes!S19*Config!$C24</f>
        <v>0</v>
      </c>
      <c r="T39" s="67">
        <f>Commandes!T19*Config!$C24</f>
        <v>0</v>
      </c>
      <c r="U39" s="67">
        <f>Commandes!U19*Config!$C24</f>
        <v>0</v>
      </c>
      <c r="V39" s="67">
        <f>Commandes!V19*Config!$C24</f>
        <v>0</v>
      </c>
      <c r="W39" s="67">
        <f>Commandes!W19*Config!$C24</f>
        <v>0</v>
      </c>
      <c r="X39" s="67">
        <f>Commandes!X19*Config!$C24</f>
        <v>0</v>
      </c>
      <c r="Y39" s="67">
        <f>Commandes!Y19*Config!$C24</f>
        <v>0</v>
      </c>
      <c r="Z39" s="67">
        <f>Commandes!Z19*Config!$C24</f>
        <v>0</v>
      </c>
      <c r="AA39" s="67">
        <f>Commandes!AA19*Config!$C24</f>
        <v>0</v>
      </c>
      <c r="AB39" s="67">
        <f>Commandes!AB19*Config!$C24</f>
        <v>0</v>
      </c>
      <c r="AC39" s="67">
        <f>Commandes!AC19*Config!$C24</f>
        <v>0</v>
      </c>
      <c r="AD39" s="67">
        <f>Commandes!AD19*Config!$C24</f>
        <v>0</v>
      </c>
      <c r="AE39" s="67">
        <f>Commandes!AE19*Config!$C24</f>
        <v>0</v>
      </c>
      <c r="AF39" s="67">
        <f>Commandes!AF19*Config!$C24</f>
        <v>0</v>
      </c>
      <c r="AG39" s="67">
        <f>Commandes!AG19*Config!$C24</f>
        <v>0</v>
      </c>
      <c r="AH39" s="67">
        <f>Commandes!AH19*Config!$C24</f>
        <v>0</v>
      </c>
      <c r="AI39" s="67">
        <f>Commandes!AI19*Config!$C24</f>
        <v>0</v>
      </c>
      <c r="AJ39" s="67">
        <f>Commandes!AJ19*Config!$C24</f>
        <v>0</v>
      </c>
      <c r="AK39" s="67">
        <f>Commandes!AK19*Config!$C24</f>
        <v>0</v>
      </c>
      <c r="AL39" s="67">
        <f>Commandes!AL19*Config!$C24</f>
        <v>0</v>
      </c>
      <c r="AM39" s="67">
        <f>Commandes!AM19*Config!$C24</f>
        <v>0</v>
      </c>
      <c r="AN39" s="67">
        <f>Commandes!AN19*Config!$C24</f>
        <v>0</v>
      </c>
      <c r="AO39" s="67">
        <f>Commandes!AO19*Config!$C24</f>
        <v>0</v>
      </c>
      <c r="AP39" s="67">
        <f>Commandes!AP19*Config!$C24</f>
        <v>0</v>
      </c>
      <c r="AQ39" s="67">
        <f>Commandes!AQ19*Config!$C24</f>
        <v>0</v>
      </c>
      <c r="AR39" s="67">
        <f>Commandes!AR19*Config!$C24</f>
        <v>0</v>
      </c>
      <c r="AS39" s="67">
        <f>Commandes!AS19*Config!$C24</f>
        <v>0</v>
      </c>
      <c r="AT39" s="67">
        <f>Commandes!AT19*Config!$C24</f>
        <v>0</v>
      </c>
      <c r="AU39" s="67">
        <f>Commandes!AU19*Config!$C24</f>
        <v>0</v>
      </c>
      <c r="AV39" s="67">
        <f>Commandes!AV19*Config!$C24</f>
        <v>0</v>
      </c>
      <c r="AW39" s="67">
        <f>Commandes!AW19*Config!$C24</f>
        <v>0</v>
      </c>
      <c r="AX39" s="67">
        <f>Commandes!AX19*Config!$C24</f>
        <v>0</v>
      </c>
      <c r="AY39" s="67">
        <f>Commandes!AY19*Config!$C24</f>
        <v>0</v>
      </c>
      <c r="AZ39" s="67">
        <f>Commandes!AZ19*Config!$C24</f>
        <v>0</v>
      </c>
      <c r="BA39" s="67">
        <f>Commandes!BA19*Config!$C24</f>
        <v>0</v>
      </c>
      <c r="BB39" s="67">
        <f>Commandes!BB19*Config!$C24</f>
        <v>0</v>
      </c>
      <c r="BC39" s="67">
        <f>Commandes!BC19*Config!$C24</f>
        <v>0</v>
      </c>
      <c r="BD39" s="67">
        <f>Commandes!BD19*Config!$C24</f>
        <v>0</v>
      </c>
      <c r="BE39" s="67">
        <f>Commandes!BE19*Config!$C24</f>
        <v>0</v>
      </c>
      <c r="BF39" s="67">
        <f>Commandes!BF19*Config!$C24</f>
        <v>0</v>
      </c>
      <c r="BG39" s="67">
        <f>Commandes!BG19*Config!$C24</f>
        <v>0</v>
      </c>
      <c r="BH39" s="67">
        <f>Commandes!BH19*Config!$C24</f>
        <v>0</v>
      </c>
      <c r="BI39" s="67">
        <f>Commandes!BI19*Config!$C24</f>
        <v>0</v>
      </c>
      <c r="BJ39" s="67">
        <f>Commandes!BJ19*Config!$C24</f>
        <v>0</v>
      </c>
      <c r="BK39" s="70"/>
    </row>
    <row r="40" spans="2:63" x14ac:dyDescent="0.2">
      <c r="B40" s="46">
        <f>Config!$B$25</f>
        <v>0</v>
      </c>
      <c r="C40" s="67">
        <f>Commandes!C20*Config!$C25</f>
        <v>0</v>
      </c>
      <c r="D40" s="67">
        <f>Commandes!D20*Config!$C25</f>
        <v>0</v>
      </c>
      <c r="E40" s="67">
        <f>Commandes!E20*Config!$C25</f>
        <v>0</v>
      </c>
      <c r="F40" s="67">
        <f>Commandes!F20*Config!$C25</f>
        <v>0</v>
      </c>
      <c r="G40" s="67">
        <f>Commandes!G20*Config!$C25</f>
        <v>0</v>
      </c>
      <c r="H40" s="67">
        <f>Commandes!H20*Config!$C25</f>
        <v>0</v>
      </c>
      <c r="I40" s="67">
        <f>Commandes!I20*Config!$C25</f>
        <v>0</v>
      </c>
      <c r="J40" s="67">
        <f>Commandes!J20*Config!$C25</f>
        <v>0</v>
      </c>
      <c r="K40" s="67">
        <f>Commandes!K20*Config!$C25</f>
        <v>0</v>
      </c>
      <c r="L40" s="67">
        <f>Commandes!L20*Config!$C25</f>
        <v>0</v>
      </c>
      <c r="M40" s="67">
        <f>Commandes!M20*Config!$C25</f>
        <v>0</v>
      </c>
      <c r="N40" s="67">
        <f>Commandes!N20*Config!$C25</f>
        <v>0</v>
      </c>
      <c r="O40" s="67">
        <f>Commandes!O20*Config!$C25</f>
        <v>0</v>
      </c>
      <c r="P40" s="67">
        <f>Commandes!P20*Config!$C25</f>
        <v>0</v>
      </c>
      <c r="Q40" s="67">
        <f>Commandes!Q20*Config!$C25</f>
        <v>0</v>
      </c>
      <c r="R40" s="67">
        <f>Commandes!R20*Config!$C25</f>
        <v>0</v>
      </c>
      <c r="S40" s="67">
        <f>Commandes!S20*Config!$C25</f>
        <v>0</v>
      </c>
      <c r="T40" s="67">
        <f>Commandes!T20*Config!$C25</f>
        <v>0</v>
      </c>
      <c r="U40" s="67">
        <f>Commandes!U20*Config!$C25</f>
        <v>0</v>
      </c>
      <c r="V40" s="67">
        <f>Commandes!V20*Config!$C25</f>
        <v>0</v>
      </c>
      <c r="W40" s="67">
        <f>Commandes!W20*Config!$C25</f>
        <v>0</v>
      </c>
      <c r="X40" s="67">
        <f>Commandes!X20*Config!$C25</f>
        <v>0</v>
      </c>
      <c r="Y40" s="67">
        <f>Commandes!Y20*Config!$C25</f>
        <v>0</v>
      </c>
      <c r="Z40" s="67">
        <f>Commandes!Z20*Config!$C25</f>
        <v>0</v>
      </c>
      <c r="AA40" s="67">
        <f>Commandes!AA20*Config!$C25</f>
        <v>0</v>
      </c>
      <c r="AB40" s="67">
        <f>Commandes!AB20*Config!$C25</f>
        <v>0</v>
      </c>
      <c r="AC40" s="67">
        <f>Commandes!AC20*Config!$C25</f>
        <v>0</v>
      </c>
      <c r="AD40" s="67">
        <f>Commandes!AD20*Config!$C25</f>
        <v>0</v>
      </c>
      <c r="AE40" s="67">
        <f>Commandes!AE20*Config!$C25</f>
        <v>0</v>
      </c>
      <c r="AF40" s="67">
        <f>Commandes!AF20*Config!$C25</f>
        <v>0</v>
      </c>
      <c r="AG40" s="67">
        <f>Commandes!AG20*Config!$C25</f>
        <v>0</v>
      </c>
      <c r="AH40" s="67">
        <f>Commandes!AH20*Config!$C25</f>
        <v>0</v>
      </c>
      <c r="AI40" s="67">
        <f>Commandes!AI20*Config!$C25</f>
        <v>0</v>
      </c>
      <c r="AJ40" s="67">
        <f>Commandes!AJ20*Config!$C25</f>
        <v>0</v>
      </c>
      <c r="AK40" s="67">
        <f>Commandes!AK20*Config!$C25</f>
        <v>0</v>
      </c>
      <c r="AL40" s="67">
        <f>Commandes!AL20*Config!$C25</f>
        <v>0</v>
      </c>
      <c r="AM40" s="67">
        <f>Commandes!AM20*Config!$C25</f>
        <v>0</v>
      </c>
      <c r="AN40" s="67">
        <f>Commandes!AN20*Config!$C25</f>
        <v>0</v>
      </c>
      <c r="AO40" s="67">
        <f>Commandes!AO20*Config!$C25</f>
        <v>0</v>
      </c>
      <c r="AP40" s="67">
        <f>Commandes!AP20*Config!$C25</f>
        <v>0</v>
      </c>
      <c r="AQ40" s="67">
        <f>Commandes!AQ20*Config!$C25</f>
        <v>0</v>
      </c>
      <c r="AR40" s="67">
        <f>Commandes!AR20*Config!$C25</f>
        <v>0</v>
      </c>
      <c r="AS40" s="67">
        <f>Commandes!AS20*Config!$C25</f>
        <v>0</v>
      </c>
      <c r="AT40" s="67">
        <f>Commandes!AT20*Config!$C25</f>
        <v>0</v>
      </c>
      <c r="AU40" s="67">
        <f>Commandes!AU20*Config!$C25</f>
        <v>0</v>
      </c>
      <c r="AV40" s="67">
        <f>Commandes!AV20*Config!$C25</f>
        <v>0</v>
      </c>
      <c r="AW40" s="67">
        <f>Commandes!AW20*Config!$C25</f>
        <v>0</v>
      </c>
      <c r="AX40" s="67">
        <f>Commandes!AX20*Config!$C25</f>
        <v>0</v>
      </c>
      <c r="AY40" s="67">
        <f>Commandes!AY20*Config!$C25</f>
        <v>0</v>
      </c>
      <c r="AZ40" s="67">
        <f>Commandes!AZ20*Config!$C25</f>
        <v>0</v>
      </c>
      <c r="BA40" s="67">
        <f>Commandes!BA20*Config!$C25</f>
        <v>0</v>
      </c>
      <c r="BB40" s="67">
        <f>Commandes!BB20*Config!$C25</f>
        <v>0</v>
      </c>
      <c r="BC40" s="67">
        <f>Commandes!BC20*Config!$C25</f>
        <v>0</v>
      </c>
      <c r="BD40" s="67">
        <f>Commandes!BD20*Config!$C25</f>
        <v>0</v>
      </c>
      <c r="BE40" s="67">
        <f>Commandes!BE20*Config!$C25</f>
        <v>0</v>
      </c>
      <c r="BF40" s="67">
        <f>Commandes!BF20*Config!$C25</f>
        <v>0</v>
      </c>
      <c r="BG40" s="67">
        <f>Commandes!BG20*Config!$C25</f>
        <v>0</v>
      </c>
      <c r="BH40" s="67">
        <f>Commandes!BH20*Config!$C25</f>
        <v>0</v>
      </c>
      <c r="BI40" s="67">
        <f>Commandes!BI20*Config!$C25</f>
        <v>0</v>
      </c>
      <c r="BJ40" s="67">
        <f>Commandes!BJ20*Config!$C25</f>
        <v>0</v>
      </c>
      <c r="BK40" s="70"/>
    </row>
    <row r="41" spans="2:63" x14ac:dyDescent="0.2">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row>
    <row r="42" spans="2:63" x14ac:dyDescent="0.2">
      <c r="B42" s="139" t="s">
        <v>97</v>
      </c>
      <c r="C42" s="67">
        <f t="shared" ref="C42:AH42" si="11">SUM(C29:C40)</f>
        <v>1739.4</v>
      </c>
      <c r="D42" s="67">
        <f t="shared" si="11"/>
        <v>3618.0999999999995</v>
      </c>
      <c r="E42" s="67">
        <f t="shared" si="11"/>
        <v>6249.4000000000005</v>
      </c>
      <c r="F42" s="67">
        <f t="shared" si="11"/>
        <v>11336.6</v>
      </c>
      <c r="G42" s="67">
        <f t="shared" si="11"/>
        <v>16881.7</v>
      </c>
      <c r="H42" s="67">
        <f t="shared" si="11"/>
        <v>21862.799999999999</v>
      </c>
      <c r="I42" s="67">
        <f t="shared" si="11"/>
        <v>21099.7</v>
      </c>
      <c r="J42" s="67">
        <f t="shared" si="11"/>
        <v>18682.600000000002</v>
      </c>
      <c r="K42" s="67">
        <f t="shared" si="11"/>
        <v>30976.5</v>
      </c>
      <c r="L42" s="67">
        <f t="shared" si="11"/>
        <v>31056.999999999996</v>
      </c>
      <c r="M42" s="67">
        <f t="shared" si="11"/>
        <v>33587.800000000003</v>
      </c>
      <c r="N42" s="67">
        <f t="shared" si="11"/>
        <v>44355.8</v>
      </c>
      <c r="O42" s="67">
        <f t="shared" si="11"/>
        <v>42753.7</v>
      </c>
      <c r="P42" s="67">
        <f t="shared" si="11"/>
        <v>42919.600000000006</v>
      </c>
      <c r="Q42" s="67">
        <f t="shared" si="11"/>
        <v>47189.8</v>
      </c>
      <c r="R42" s="67">
        <f t="shared" si="11"/>
        <v>54711.199999999997</v>
      </c>
      <c r="S42" s="67">
        <f t="shared" si="11"/>
        <v>63161.599999999999</v>
      </c>
      <c r="T42" s="67">
        <f t="shared" si="11"/>
        <v>69958</v>
      </c>
      <c r="U42" s="67">
        <f t="shared" si="11"/>
        <v>68389.099999999991</v>
      </c>
      <c r="V42" s="67">
        <f t="shared" si="11"/>
        <v>66687.5</v>
      </c>
      <c r="W42" s="67">
        <f t="shared" si="11"/>
        <v>86630.9</v>
      </c>
      <c r="X42" s="67">
        <f t="shared" si="11"/>
        <v>85905.600000000006</v>
      </c>
      <c r="Y42" s="67">
        <f t="shared" si="11"/>
        <v>90123.6</v>
      </c>
      <c r="Z42" s="67">
        <f t="shared" si="11"/>
        <v>105650</v>
      </c>
      <c r="AA42" s="67">
        <f t="shared" si="11"/>
        <v>106100</v>
      </c>
      <c r="AB42" s="67">
        <f t="shared" si="11"/>
        <v>103687.5</v>
      </c>
      <c r="AC42" s="67">
        <f t="shared" si="11"/>
        <v>108668.6</v>
      </c>
      <c r="AD42" s="67">
        <f t="shared" si="11"/>
        <v>116190</v>
      </c>
      <c r="AE42" s="67">
        <f t="shared" si="11"/>
        <v>126294.39999999999</v>
      </c>
      <c r="AF42" s="67">
        <f t="shared" si="11"/>
        <v>134744.79999999999</v>
      </c>
      <c r="AG42" s="67">
        <f t="shared" si="11"/>
        <v>129024.3</v>
      </c>
      <c r="AH42" s="67">
        <f t="shared" si="11"/>
        <v>126479.1</v>
      </c>
      <c r="AI42" s="67">
        <f t="shared" ref="AI42:BJ42" si="12">SUM(AI29:AI40)</f>
        <v>147199.70000000001</v>
      </c>
      <c r="AJ42" s="67">
        <f t="shared" si="12"/>
        <v>143166.39999999999</v>
      </c>
      <c r="AK42" s="67">
        <f t="shared" si="12"/>
        <v>147384.4</v>
      </c>
      <c r="AL42" s="67">
        <f t="shared" si="12"/>
        <v>171873</v>
      </c>
      <c r="AM42" s="67">
        <f t="shared" si="12"/>
        <v>173995.7</v>
      </c>
      <c r="AN42" s="67">
        <f t="shared" si="12"/>
        <v>167564.29999999999</v>
      </c>
      <c r="AO42" s="67">
        <f t="shared" si="12"/>
        <v>175043</v>
      </c>
      <c r="AP42" s="67">
        <f t="shared" si="12"/>
        <v>188398.6</v>
      </c>
      <c r="AQ42" s="67">
        <f t="shared" si="12"/>
        <v>202640.5</v>
      </c>
      <c r="AR42" s="67">
        <f t="shared" si="12"/>
        <v>216019.8</v>
      </c>
      <c r="AS42" s="67">
        <f t="shared" si="12"/>
        <v>210564.7</v>
      </c>
      <c r="AT42" s="67">
        <f t="shared" si="12"/>
        <v>206531.4</v>
      </c>
      <c r="AU42" s="67">
        <f t="shared" si="12"/>
        <v>239507.8</v>
      </c>
      <c r="AV42" s="67">
        <f t="shared" si="12"/>
        <v>235673.60000000001</v>
      </c>
      <c r="AW42" s="67">
        <f t="shared" si="12"/>
        <v>244109.6</v>
      </c>
      <c r="AX42" s="67">
        <f t="shared" si="12"/>
        <v>281067.5</v>
      </c>
      <c r="AY42" s="67">
        <f t="shared" si="12"/>
        <v>282265.8</v>
      </c>
      <c r="AZ42" s="67">
        <f t="shared" si="12"/>
        <v>273502.7</v>
      </c>
      <c r="BA42" s="67">
        <f t="shared" si="12"/>
        <v>282578.59999999998</v>
      </c>
      <c r="BB42" s="67">
        <f t="shared" si="12"/>
        <v>269579.3</v>
      </c>
      <c r="BC42" s="67">
        <f t="shared" si="12"/>
        <v>323579</v>
      </c>
      <c r="BD42" s="67">
        <f t="shared" si="12"/>
        <v>345408.7</v>
      </c>
      <c r="BE42" s="67">
        <f t="shared" si="12"/>
        <v>339228.3</v>
      </c>
      <c r="BF42" s="67">
        <f t="shared" si="12"/>
        <v>332583.5</v>
      </c>
      <c r="BG42" s="67">
        <f t="shared" si="12"/>
        <v>386280.5</v>
      </c>
      <c r="BH42" s="67">
        <f t="shared" si="12"/>
        <v>378413</v>
      </c>
      <c r="BI42" s="67">
        <f t="shared" si="12"/>
        <v>391067</v>
      </c>
      <c r="BJ42" s="67">
        <f t="shared" si="12"/>
        <v>452963.5</v>
      </c>
      <c r="BK42" s="70"/>
    </row>
    <row r="43" spans="2:63" x14ac:dyDescent="0.2">
      <c r="B43" s="139" t="s">
        <v>101</v>
      </c>
      <c r="C43" s="67">
        <f>C42</f>
        <v>1739.4</v>
      </c>
      <c r="D43" s="67">
        <f t="shared" ref="D43:N43" si="13">C43+D42</f>
        <v>5357.5</v>
      </c>
      <c r="E43" s="67">
        <f t="shared" si="13"/>
        <v>11606.900000000001</v>
      </c>
      <c r="F43" s="67">
        <f t="shared" si="13"/>
        <v>22943.5</v>
      </c>
      <c r="G43" s="67">
        <f t="shared" si="13"/>
        <v>39825.199999999997</v>
      </c>
      <c r="H43" s="67">
        <f t="shared" si="13"/>
        <v>61688</v>
      </c>
      <c r="I43" s="67">
        <f t="shared" si="13"/>
        <v>82787.7</v>
      </c>
      <c r="J43" s="67">
        <f t="shared" si="13"/>
        <v>101470.3</v>
      </c>
      <c r="K43" s="67">
        <f t="shared" si="13"/>
        <v>132446.79999999999</v>
      </c>
      <c r="L43" s="67">
        <f t="shared" si="13"/>
        <v>163503.79999999999</v>
      </c>
      <c r="M43" s="67">
        <f t="shared" si="13"/>
        <v>197091.59999999998</v>
      </c>
      <c r="N43" s="83">
        <f t="shared" si="13"/>
        <v>241447.39999999997</v>
      </c>
      <c r="O43" s="67">
        <f>O42</f>
        <v>42753.7</v>
      </c>
      <c r="P43" s="67">
        <f t="shared" ref="P43:Z43" si="14">O43+P42</f>
        <v>85673.3</v>
      </c>
      <c r="Q43" s="67">
        <f t="shared" si="14"/>
        <v>132863.1</v>
      </c>
      <c r="R43" s="67">
        <f t="shared" si="14"/>
        <v>187574.3</v>
      </c>
      <c r="S43" s="67">
        <f t="shared" si="14"/>
        <v>250735.9</v>
      </c>
      <c r="T43" s="67">
        <f t="shared" si="14"/>
        <v>320693.90000000002</v>
      </c>
      <c r="U43" s="67">
        <f t="shared" si="14"/>
        <v>389083</v>
      </c>
      <c r="V43" s="67">
        <f t="shared" si="14"/>
        <v>455770.5</v>
      </c>
      <c r="W43" s="67">
        <f t="shared" si="14"/>
        <v>542401.4</v>
      </c>
      <c r="X43" s="67">
        <f t="shared" si="14"/>
        <v>628307</v>
      </c>
      <c r="Y43" s="67">
        <f t="shared" si="14"/>
        <v>718430.6</v>
      </c>
      <c r="Z43" s="83">
        <f t="shared" si="14"/>
        <v>824080.6</v>
      </c>
      <c r="AA43" s="67">
        <f>AA42</f>
        <v>106100</v>
      </c>
      <c r="AB43" s="67">
        <f t="shared" ref="AB43:AL43" si="15">AA43+AB42</f>
        <v>209787.5</v>
      </c>
      <c r="AC43" s="67">
        <f t="shared" si="15"/>
        <v>318456.09999999998</v>
      </c>
      <c r="AD43" s="67">
        <f t="shared" si="15"/>
        <v>434646.1</v>
      </c>
      <c r="AE43" s="67">
        <f t="shared" si="15"/>
        <v>560940.5</v>
      </c>
      <c r="AF43" s="67">
        <f t="shared" si="15"/>
        <v>695685.3</v>
      </c>
      <c r="AG43" s="67">
        <f t="shared" si="15"/>
        <v>824709.60000000009</v>
      </c>
      <c r="AH43" s="67">
        <f t="shared" si="15"/>
        <v>951188.70000000007</v>
      </c>
      <c r="AI43" s="67">
        <f t="shared" si="15"/>
        <v>1098388.4000000001</v>
      </c>
      <c r="AJ43" s="67">
        <f t="shared" si="15"/>
        <v>1241554.8</v>
      </c>
      <c r="AK43" s="67">
        <f t="shared" si="15"/>
        <v>1388939.2</v>
      </c>
      <c r="AL43" s="83">
        <f t="shared" si="15"/>
        <v>1560812.2</v>
      </c>
      <c r="AM43" s="67">
        <f>AM42</f>
        <v>173995.7</v>
      </c>
      <c r="AN43" s="67">
        <f t="shared" ref="AN43:AX43" si="16">AM43+AN42</f>
        <v>341560</v>
      </c>
      <c r="AO43" s="67">
        <f t="shared" si="16"/>
        <v>516603</v>
      </c>
      <c r="AP43" s="67">
        <f t="shared" si="16"/>
        <v>705001.6</v>
      </c>
      <c r="AQ43" s="67">
        <f t="shared" si="16"/>
        <v>907642.1</v>
      </c>
      <c r="AR43" s="67">
        <f t="shared" si="16"/>
        <v>1123661.8999999999</v>
      </c>
      <c r="AS43" s="67">
        <f t="shared" si="16"/>
        <v>1334226.5999999999</v>
      </c>
      <c r="AT43" s="67">
        <f t="shared" si="16"/>
        <v>1540757.9999999998</v>
      </c>
      <c r="AU43" s="67">
        <f t="shared" si="16"/>
        <v>1780265.7999999998</v>
      </c>
      <c r="AV43" s="67">
        <f t="shared" si="16"/>
        <v>2015939.4</v>
      </c>
      <c r="AW43" s="67">
        <f t="shared" si="16"/>
        <v>2260049</v>
      </c>
      <c r="AX43" s="83">
        <f t="shared" si="16"/>
        <v>2541116.5</v>
      </c>
      <c r="AY43" s="67">
        <f>AY42</f>
        <v>282265.8</v>
      </c>
      <c r="AZ43" s="67">
        <f t="shared" ref="AZ43:BJ43" si="17">AY43+AZ42</f>
        <v>555768.5</v>
      </c>
      <c r="BA43" s="67">
        <f t="shared" si="17"/>
        <v>838347.1</v>
      </c>
      <c r="BB43" s="67">
        <f t="shared" si="17"/>
        <v>1107926.3999999999</v>
      </c>
      <c r="BC43" s="67">
        <f t="shared" si="17"/>
        <v>1431505.4</v>
      </c>
      <c r="BD43" s="67">
        <f t="shared" si="17"/>
        <v>1776914.0999999999</v>
      </c>
      <c r="BE43" s="67">
        <f t="shared" si="17"/>
        <v>2116142.4</v>
      </c>
      <c r="BF43" s="67">
        <f t="shared" si="17"/>
        <v>2448725.9</v>
      </c>
      <c r="BG43" s="67">
        <f t="shared" si="17"/>
        <v>2835006.4</v>
      </c>
      <c r="BH43" s="67">
        <f t="shared" si="17"/>
        <v>3213419.4</v>
      </c>
      <c r="BI43" s="67">
        <f t="shared" si="17"/>
        <v>3604486.4</v>
      </c>
      <c r="BJ43" s="83">
        <f t="shared" si="17"/>
        <v>4057449.9</v>
      </c>
      <c r="BK43" s="70"/>
    </row>
    <row r="44" spans="2:63" x14ac:dyDescent="0.2">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row>
  </sheetData>
  <sheetProtection sheet="1" objects="1" scenarios="1"/>
  <mergeCells count="11">
    <mergeCell ref="B2:B3"/>
    <mergeCell ref="O7:Z7"/>
    <mergeCell ref="AY27:BJ27"/>
    <mergeCell ref="C7:N7"/>
    <mergeCell ref="AM7:AX7"/>
    <mergeCell ref="AA7:AL7"/>
    <mergeCell ref="AY7:BJ7"/>
    <mergeCell ref="C27:N27"/>
    <mergeCell ref="AM27:AX27"/>
    <mergeCell ref="AA27:AL27"/>
    <mergeCell ref="O27:Z2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3">
    <tabColor rgb="FF008BD0"/>
  </sheetPr>
  <dimension ref="B2:H37"/>
  <sheetViews>
    <sheetView showGridLines="0" showRowColHeaders="0" zoomScale="85" zoomScaleNormal="85" workbookViewId="0">
      <selection activeCell="F17" sqref="F17"/>
    </sheetView>
  </sheetViews>
  <sheetFormatPr baseColWidth="10" defaultColWidth="11.5" defaultRowHeight="15" x14ac:dyDescent="0.2"/>
  <cols>
    <col min="1" max="1" width="3.6640625" customWidth="1"/>
    <col min="2" max="2" width="31.33203125" customWidth="1"/>
    <col min="3" max="7" width="18.5" customWidth="1"/>
    <col min="8" max="8" width="3.5" customWidth="1"/>
  </cols>
  <sheetData>
    <row r="2" spans="2:8" x14ac:dyDescent="0.2">
      <c r="B2" s="172" t="s">
        <v>243</v>
      </c>
      <c r="C2" s="70"/>
      <c r="D2" s="70"/>
      <c r="E2" s="70"/>
      <c r="F2" s="70"/>
      <c r="G2" s="70"/>
      <c r="H2" s="70"/>
    </row>
    <row r="3" spans="2:8" x14ac:dyDescent="0.2">
      <c r="B3" s="169"/>
      <c r="C3" s="70"/>
      <c r="D3" s="70"/>
      <c r="E3" s="70"/>
      <c r="F3" s="70"/>
      <c r="G3" s="70"/>
      <c r="H3" s="70"/>
    </row>
    <row r="4" spans="2:8" x14ac:dyDescent="0.2">
      <c r="B4" s="70"/>
      <c r="C4" s="70"/>
      <c r="D4" s="70"/>
      <c r="E4" s="70"/>
      <c r="F4" s="70"/>
      <c r="G4" s="70"/>
      <c r="H4" s="70"/>
    </row>
    <row r="5" spans="2:8" x14ac:dyDescent="0.2">
      <c r="B5" s="185" t="s">
        <v>244</v>
      </c>
      <c r="C5" s="157"/>
      <c r="D5" s="157"/>
      <c r="E5" s="157"/>
      <c r="F5" s="157"/>
      <c r="G5" s="158"/>
      <c r="H5" s="70"/>
    </row>
    <row r="6" spans="2:8" x14ac:dyDescent="0.2">
      <c r="B6" s="70"/>
      <c r="C6" s="70"/>
      <c r="D6" s="70"/>
      <c r="E6" s="70"/>
      <c r="F6" s="70"/>
      <c r="G6" s="70"/>
      <c r="H6" s="70"/>
    </row>
    <row r="7" spans="2:8" s="3" customFormat="1" ht="16" customHeight="1" x14ac:dyDescent="0.2">
      <c r="B7" s="70"/>
      <c r="C7" s="110" t="s">
        <v>77</v>
      </c>
      <c r="D7" s="110" t="s">
        <v>78</v>
      </c>
      <c r="E7" s="110" t="s">
        <v>79</v>
      </c>
      <c r="F7" s="110" t="s">
        <v>80</v>
      </c>
      <c r="G7" s="110" t="s">
        <v>81</v>
      </c>
      <c r="H7" s="109"/>
    </row>
    <row r="9" spans="2:8" s="3" customFormat="1" x14ac:dyDescent="0.2">
      <c r="B9" s="188" t="s">
        <v>245</v>
      </c>
      <c r="C9" s="157"/>
      <c r="D9" s="157"/>
      <c r="E9" s="157"/>
      <c r="F9" s="157"/>
      <c r="G9" s="158"/>
      <c r="H9" s="109"/>
    </row>
    <row r="10" spans="2:8" s="3" customFormat="1" ht="15" customHeight="1" x14ac:dyDescent="0.2">
      <c r="B10" s="156" t="s">
        <v>246</v>
      </c>
      <c r="C10" s="157"/>
      <c r="D10" s="157"/>
      <c r="E10" s="157"/>
      <c r="F10" s="157"/>
      <c r="G10" s="158"/>
      <c r="H10" s="109"/>
    </row>
    <row r="11" spans="2:8" s="3" customFormat="1" ht="15" customHeight="1" x14ac:dyDescent="0.2">
      <c r="B11" s="107" t="s">
        <v>247</v>
      </c>
      <c r="C11" s="127">
        <f>Investissements!O28-'Plan de financement'!C28</f>
        <v>55000</v>
      </c>
      <c r="D11" s="127">
        <f>C11+Investissements!AB28-'Plan de financement'!D28</f>
        <v>74500</v>
      </c>
      <c r="E11" s="127">
        <f>D11+Investissements!AE28-'Plan de financement'!E28</f>
        <v>89500</v>
      </c>
      <c r="F11" s="127">
        <f>E11+Investissements!AH28-'Plan de financement'!F28</f>
        <v>89500</v>
      </c>
      <c r="G11" s="127">
        <f>F11+Investissements!AK28-'Plan de financement'!G28</f>
        <v>89500</v>
      </c>
      <c r="H11" s="109"/>
    </row>
    <row r="12" spans="2:8" s="3" customFormat="1" ht="15" customHeight="1" x14ac:dyDescent="0.2">
      <c r="B12" s="147" t="s">
        <v>248</v>
      </c>
      <c r="C12" s="127">
        <f>'Comptes de résultats'!C25</f>
        <v>10933.333333333334</v>
      </c>
      <c r="D12" s="127">
        <f>C12+'Comptes de résultats'!D25</f>
        <v>25166.666666666668</v>
      </c>
      <c r="E12" s="127">
        <f>D12+'Comptes de résultats'!E25</f>
        <v>40900</v>
      </c>
      <c r="F12" s="127">
        <f>E12+'Comptes de résultats'!F25</f>
        <v>52300</v>
      </c>
      <c r="G12" s="127">
        <f>F12+'Comptes de résultats'!G25</f>
        <v>63700</v>
      </c>
      <c r="H12" s="109"/>
    </row>
    <row r="13" spans="2:8" s="3" customFormat="1" ht="15" customHeight="1" x14ac:dyDescent="0.2">
      <c r="B13" s="147" t="s">
        <v>249</v>
      </c>
      <c r="C13" s="127">
        <f>C11-C12</f>
        <v>44066.666666666664</v>
      </c>
      <c r="D13" s="127">
        <f>D11-D12</f>
        <v>49333.333333333328</v>
      </c>
      <c r="E13" s="127">
        <f>E11-E12</f>
        <v>48600</v>
      </c>
      <c r="F13" s="127">
        <f>F11-F12</f>
        <v>37200</v>
      </c>
      <c r="G13" s="127">
        <f>G11-G12</f>
        <v>25800</v>
      </c>
      <c r="H13" s="109"/>
    </row>
    <row r="14" spans="2:8" s="3" customFormat="1" ht="15" customHeight="1" x14ac:dyDescent="0.2">
      <c r="B14" s="136" t="s">
        <v>250</v>
      </c>
      <c r="C14" s="108">
        <f>C13</f>
        <v>44066.666666666664</v>
      </c>
      <c r="D14" s="108">
        <f>D13</f>
        <v>49333.333333333328</v>
      </c>
      <c r="E14" s="108">
        <f>E13</f>
        <v>48600</v>
      </c>
      <c r="F14" s="108">
        <f>F13</f>
        <v>37200</v>
      </c>
      <c r="G14" s="108">
        <f>G13</f>
        <v>25800</v>
      </c>
      <c r="H14" s="109"/>
    </row>
    <row r="15" spans="2:8" s="3" customFormat="1" ht="15" customHeight="1" x14ac:dyDescent="0.2">
      <c r="B15" s="156" t="s">
        <v>251</v>
      </c>
      <c r="C15" s="157"/>
      <c r="D15" s="157"/>
      <c r="E15" s="157"/>
      <c r="F15" s="157"/>
      <c r="G15" s="158"/>
      <c r="H15" s="109"/>
    </row>
    <row r="16" spans="2:8" s="3" customFormat="1" ht="16" customHeight="1" x14ac:dyDescent="0.2">
      <c r="B16" s="147" t="s">
        <v>252</v>
      </c>
      <c r="C16" s="127">
        <f>SUM(Trésorerie!C45:N45)</f>
        <v>0</v>
      </c>
      <c r="D16" s="127">
        <f>C16+SUM(Trésorerie!O45:Z45)</f>
        <v>0</v>
      </c>
      <c r="E16" s="127">
        <f>D16+SUM(Trésorerie!AA45:AL45)</f>
        <v>0</v>
      </c>
      <c r="F16" s="127">
        <f>E16+SUM(Trésorerie!AM45:AX45)</f>
        <v>0</v>
      </c>
      <c r="G16" s="127">
        <f>F16+SUM(Trésorerie!AY45:BJ45)</f>
        <v>0</v>
      </c>
      <c r="H16" s="109"/>
    </row>
    <row r="17" spans="2:8" s="3" customFormat="1" ht="15" customHeight="1" x14ac:dyDescent="0.2">
      <c r="B17" s="147" t="s">
        <v>253</v>
      </c>
      <c r="C17" s="127">
        <f>BFR!N42</f>
        <v>0</v>
      </c>
      <c r="D17" s="127">
        <f>BFR!Z42</f>
        <v>0</v>
      </c>
      <c r="E17" s="127">
        <f>BFR!AL42</f>
        <v>0</v>
      </c>
      <c r="F17" s="127">
        <f>BFR!AX42</f>
        <v>0</v>
      </c>
      <c r="G17" s="127">
        <f>BFR!BJ42</f>
        <v>0</v>
      </c>
      <c r="H17" s="109"/>
    </row>
    <row r="18" spans="2:8" s="3" customFormat="1" ht="16" customHeight="1" x14ac:dyDescent="0.2">
      <c r="B18" s="147" t="s">
        <v>254</v>
      </c>
      <c r="C18" s="127">
        <f>TVA!N24</f>
        <v>3684.8316999999997</v>
      </c>
      <c r="D18" s="127">
        <f>TVA!Z24</f>
        <v>8946.2756333333346</v>
      </c>
      <c r="E18" s="127">
        <f>TVA!AL24</f>
        <v>14834.813433333333</v>
      </c>
      <c r="F18" s="127">
        <f>TVA!AX24</f>
        <v>23623.621583333334</v>
      </c>
      <c r="G18" s="127">
        <f>TVA!BJ24</f>
        <v>37154.682950000002</v>
      </c>
      <c r="H18" s="109"/>
    </row>
    <row r="19" spans="2:8" s="3" customFormat="1" ht="15" customHeight="1" x14ac:dyDescent="0.2">
      <c r="B19" s="107" t="s">
        <v>186</v>
      </c>
      <c r="C19" s="127">
        <f>Trésorerie!N71</f>
        <v>16784.036366666682</v>
      </c>
      <c r="D19" s="127">
        <f>Trésorerie!Z71</f>
        <v>117409.68366333323</v>
      </c>
      <c r="E19" s="127">
        <f>Trésorerie!AL71</f>
        <v>460239.5883733331</v>
      </c>
      <c r="F19" s="127">
        <f>Trésorerie!AX71</f>
        <v>964923.76739226375</v>
      </c>
      <c r="G19" s="127">
        <f>Trésorerie!BJ71</f>
        <v>1890454.652071313</v>
      </c>
      <c r="H19" s="109"/>
    </row>
    <row r="20" spans="2:8" s="3" customFormat="1" ht="15" customHeight="1" x14ac:dyDescent="0.2">
      <c r="B20" s="136" t="s">
        <v>255</v>
      </c>
      <c r="C20" s="108">
        <f>SUM(C16:C19)</f>
        <v>20468.868066666681</v>
      </c>
      <c r="D20" s="108">
        <f>SUM(D16:D19)</f>
        <v>126355.95929666657</v>
      </c>
      <c r="E20" s="108">
        <f>SUM(E16:E19)</f>
        <v>475074.40180666646</v>
      </c>
      <c r="F20" s="108">
        <f>SUM(F16:F19)</f>
        <v>988547.3889755971</v>
      </c>
      <c r="G20" s="108">
        <f>SUM(G16:G19)</f>
        <v>1927609.335021313</v>
      </c>
      <c r="H20" s="109"/>
    </row>
    <row r="21" spans="2:8" ht="15" customHeight="1" x14ac:dyDescent="0.2">
      <c r="B21" s="136" t="s">
        <v>256</v>
      </c>
      <c r="C21" s="108">
        <f>C14+C20</f>
        <v>64535.534733333348</v>
      </c>
      <c r="D21" s="108">
        <f>D14+D20</f>
        <v>175689.29262999989</v>
      </c>
      <c r="E21" s="108">
        <f>E14+E20</f>
        <v>523674.40180666646</v>
      </c>
      <c r="F21" s="108">
        <f>F14+F20</f>
        <v>1025747.3889755971</v>
      </c>
      <c r="G21" s="108">
        <f>G14+G20</f>
        <v>1953409.335021313</v>
      </c>
      <c r="H21" s="70"/>
    </row>
    <row r="22" spans="2:8" x14ac:dyDescent="0.2">
      <c r="B22" s="70"/>
      <c r="C22" s="70"/>
      <c r="D22" s="70"/>
      <c r="E22" s="70"/>
      <c r="F22" s="70"/>
      <c r="G22" s="70"/>
      <c r="H22" s="70"/>
    </row>
    <row r="23" spans="2:8" x14ac:dyDescent="0.2">
      <c r="B23" s="188" t="s">
        <v>257</v>
      </c>
      <c r="C23" s="157"/>
      <c r="D23" s="157"/>
      <c r="E23" s="157"/>
      <c r="F23" s="157"/>
      <c r="G23" s="158"/>
      <c r="H23" s="70"/>
    </row>
    <row r="24" spans="2:8" x14ac:dyDescent="0.2">
      <c r="B24" s="156" t="s">
        <v>258</v>
      </c>
      <c r="C24" s="157"/>
      <c r="D24" s="157"/>
      <c r="E24" s="157"/>
      <c r="F24" s="157"/>
      <c r="G24" s="158"/>
      <c r="H24" s="70"/>
    </row>
    <row r="25" spans="2:8" ht="16" customHeight="1" x14ac:dyDescent="0.2">
      <c r="B25" s="147" t="s">
        <v>259</v>
      </c>
      <c r="C25" s="127">
        <f>SUM(Trésorerie!C20:N20)+SUM(Trésorerie!C21:N21)+Investissements!O9</f>
        <v>102000</v>
      </c>
      <c r="D25" s="127">
        <f>C25+SUM(Trésorerie!O20:Z20)+SUM(Trésorerie!O21:Z21)+Investissements!AB9</f>
        <v>102000</v>
      </c>
      <c r="E25" s="127">
        <f>D25+SUM(Trésorerie!AA20:AL20)+SUM(Trésorerie!AA21:AL21)+Investissements!AE9</f>
        <v>102000</v>
      </c>
      <c r="F25" s="127">
        <f>E25+SUM(Trésorerie!AM20:AX20)+SUM(Trésorerie!AM21:AX21)+Investissements!AH9</f>
        <v>102000</v>
      </c>
      <c r="G25" s="127">
        <f>F25+SUM(Trésorerie!AY20:BJ20)+SUM(Trésorerie!AY21:BJ21)+Investissements!AK9</f>
        <v>102000</v>
      </c>
      <c r="H25" s="70"/>
    </row>
    <row r="26" spans="2:8" ht="16" customHeight="1" x14ac:dyDescent="0.2">
      <c r="B26" s="147" t="s">
        <v>226</v>
      </c>
      <c r="C26" s="127">
        <f>SUM(Trésorerie!C29:N29)-SUM(Trésorerie!C58:N58)</f>
        <v>20000</v>
      </c>
      <c r="D26" s="127">
        <f>C26+SUM(Trésorerie!O29:Z29)-SUM(Trésorerie!O58:Z58)</f>
        <v>20000</v>
      </c>
      <c r="E26" s="127">
        <f>D26+SUM(Trésorerie!AA29:AL29)-SUM(Trésorerie!AA58:AL58)</f>
        <v>20000</v>
      </c>
      <c r="F26" s="127">
        <f>E26+SUM(Trésorerie!AM29:AX29)-SUM(Trésorerie!AM58:AX58)</f>
        <v>20000</v>
      </c>
      <c r="G26" s="127">
        <f>F26+SUM(Trésorerie!AY29:BJ29)-SUM(Trésorerie!AY58:BJ58)</f>
        <v>20000</v>
      </c>
      <c r="H26" s="70"/>
    </row>
    <row r="27" spans="2:8" ht="16" customHeight="1" x14ac:dyDescent="0.2">
      <c r="B27" s="147" t="s">
        <v>260</v>
      </c>
      <c r="C27" s="127">
        <f>Trésorerie!C10+'Comptes de résultats'!C35</f>
        <v>-115255.97850018626</v>
      </c>
      <c r="D27" s="127">
        <f>C27+'Comptes de résultats'!D35</f>
        <v>-11828.022585540966</v>
      </c>
      <c r="E27" s="127">
        <f>D27+'Comptes de résultats'!E35</f>
        <v>225048.80040606955</v>
      </c>
      <c r="F27" s="127">
        <f>E27+'Comptes de résultats'!F35</f>
        <v>685532.7798013885</v>
      </c>
      <c r="G27" s="127">
        <f>F27+'Comptes de résultats'!G35</f>
        <v>1501702.8626387077</v>
      </c>
      <c r="H27" s="70"/>
    </row>
    <row r="28" spans="2:8" ht="16" customHeight="1" x14ac:dyDescent="0.2">
      <c r="B28" s="136" t="s">
        <v>261</v>
      </c>
      <c r="C28" s="108">
        <f>SUM(C25:C27)</f>
        <v>6744.021499813738</v>
      </c>
      <c r="D28" s="108">
        <f>SUM(D25:D27)</f>
        <v>110171.97741445903</v>
      </c>
      <c r="E28" s="108">
        <f>SUM(E25:E27)</f>
        <v>347048.80040606955</v>
      </c>
      <c r="F28" s="108">
        <f>SUM(F25:F27)</f>
        <v>807532.7798013885</v>
      </c>
      <c r="G28" s="108">
        <f>SUM(G25:G27)</f>
        <v>1623702.8626387077</v>
      </c>
      <c r="H28" s="70"/>
    </row>
    <row r="29" spans="2:8" x14ac:dyDescent="0.2">
      <c r="B29" s="156" t="s">
        <v>262</v>
      </c>
      <c r="C29" s="157"/>
      <c r="D29" s="157"/>
      <c r="E29" s="157"/>
      <c r="F29" s="157"/>
      <c r="G29" s="158"/>
      <c r="H29" s="70"/>
    </row>
    <row r="30" spans="2:8" ht="16" customHeight="1" x14ac:dyDescent="0.2">
      <c r="B30" s="107" t="s">
        <v>263</v>
      </c>
      <c r="C30" s="127">
        <f>SUM(Trésorerie!C22:N23)+SUM(Trésorerie!C34:N34)-SUM(Trésorerie!C56:N57)-SUM(Trésorerie!C63:N63)+'Comptes de résultats'!C29</f>
        <v>40219.444233519578</v>
      </c>
      <c r="D30" s="127">
        <f>C30+SUM(Trésorerie!O22:Z23)+SUM(Trésorerie!O34:Z34)-SUM(Trésorerie!O56:Z57)-SUM(Trésorerie!O63:Z63)+'Comptes de résultats'!D29</f>
        <v>22731.565215540937</v>
      </c>
      <c r="E30" s="127">
        <f>D30+SUM(Trésorerie!AA22:AL23)+SUM(Trésorerie!AA34:AL34)-SUM(Trésorerie!AA56:AL57)-SUM(Trésorerie!AA63:AL63)+'Comptes de résultats'!E29</f>
        <v>5243.6861975622969</v>
      </c>
      <c r="F30" s="127">
        <f>E30+SUM(Trésorerie!AM22:AX23)+SUM(Trésorerie!AM34:AX34)-SUM(Trésorerie!AM56:AX57)-SUM(Trésorerie!AM63:AX63)+'Comptes de résultats'!F29</f>
        <v>-12244.192820416345</v>
      </c>
      <c r="G30" s="127">
        <f>F30+SUM(Trésorerie!AY22:BJ23)+SUM(Trésorerie!AY34:BJ34)-SUM(Trésorerie!AY56:BJ57)-SUM(Trésorerie!AY63:BJ63)+'Comptes de résultats'!G29</f>
        <v>-29732.071838394986</v>
      </c>
      <c r="H30" s="70"/>
    </row>
    <row r="31" spans="2:8" ht="16" customHeight="1" x14ac:dyDescent="0.2">
      <c r="B31" s="147" t="s">
        <v>264</v>
      </c>
      <c r="C31" s="127">
        <f>BFR!N61</f>
        <v>15132.5</v>
      </c>
      <c r="D31" s="127">
        <f>BFR!Z61</f>
        <v>36975</v>
      </c>
      <c r="E31" s="127">
        <f>BFR!AL61</f>
        <v>59887.5</v>
      </c>
      <c r="F31" s="127">
        <f>BFR!AX61</f>
        <v>97282.5</v>
      </c>
      <c r="G31" s="127">
        <f>BFR!BJ61</f>
        <v>156682.5</v>
      </c>
      <c r="H31" s="70"/>
    </row>
    <row r="32" spans="2:8" ht="16" customHeight="1" x14ac:dyDescent="0.2">
      <c r="B32" s="147" t="s">
        <v>265</v>
      </c>
      <c r="C32" s="127">
        <f>TVA!N43</f>
        <v>2439.569</v>
      </c>
      <c r="D32" s="127">
        <f>TVA!Z43</f>
        <v>5810.75</v>
      </c>
      <c r="E32" s="127">
        <f>TVA!AL43</f>
        <v>9453.0150000000012</v>
      </c>
      <c r="F32" s="127">
        <f>TVA!AX43</f>
        <v>15458.7125</v>
      </c>
      <c r="G32" s="127">
        <f>TVA!BJ43</f>
        <v>24912.9925</v>
      </c>
      <c r="H32" s="70"/>
    </row>
    <row r="33" spans="2:8" ht="16" customHeight="1" x14ac:dyDescent="0.2">
      <c r="B33" s="147" t="s">
        <v>266</v>
      </c>
      <c r="C33" s="127">
        <f>'Comptes de résultats'!C34</f>
        <v>0</v>
      </c>
      <c r="D33" s="127">
        <f>'Comptes de résultats'!D34-'Comptes de résultats'!C34</f>
        <v>0</v>
      </c>
      <c r="E33" s="127">
        <f>'Comptes de résultats'!E34-'Comptes de résultats'!D34</f>
        <v>102041.40020303476</v>
      </c>
      <c r="F33" s="127">
        <f>'Comptes de résultats'!F34-'Comptes de résultats'!E34</f>
        <v>117717.58949462474</v>
      </c>
      <c r="G33" s="127">
        <f>'Comptes de résultats'!G34-'Comptes de résultats'!F34</f>
        <v>177843.05172100005</v>
      </c>
      <c r="H33" s="70"/>
    </row>
    <row r="34" spans="2:8" ht="16" customHeight="1" x14ac:dyDescent="0.2">
      <c r="B34" s="136" t="s">
        <v>267</v>
      </c>
      <c r="C34" s="108">
        <f>SUM(C30:C33)</f>
        <v>57791.513233519581</v>
      </c>
      <c r="D34" s="108">
        <f>SUM(D30:D33)</f>
        <v>65517.315215540933</v>
      </c>
      <c r="E34" s="108">
        <f>SUM(E30:E33)</f>
        <v>176625.60140059708</v>
      </c>
      <c r="F34" s="108">
        <f>SUM(F30:F33)</f>
        <v>218214.6091742084</v>
      </c>
      <c r="G34" s="108">
        <f>SUM(G30:G33)</f>
        <v>329706.47238260508</v>
      </c>
      <c r="H34" s="70"/>
    </row>
    <row r="35" spans="2:8" ht="16" customHeight="1" x14ac:dyDescent="0.2">
      <c r="B35" s="136" t="s">
        <v>268</v>
      </c>
      <c r="C35" s="108">
        <f>C28+C34</f>
        <v>64535.534733333319</v>
      </c>
      <c r="D35" s="108">
        <f>D28+D34</f>
        <v>175689.29262999998</v>
      </c>
      <c r="E35" s="108">
        <f>E28+E34</f>
        <v>523674.40180666663</v>
      </c>
      <c r="F35" s="108">
        <f>F28+F34</f>
        <v>1025747.3889755969</v>
      </c>
      <c r="G35" s="108">
        <f>G28+G34</f>
        <v>1953409.3350213128</v>
      </c>
      <c r="H35" s="70"/>
    </row>
    <row r="36" spans="2:8" x14ac:dyDescent="0.2">
      <c r="B36" s="70"/>
      <c r="C36" s="70"/>
      <c r="D36" s="70"/>
      <c r="E36" s="70"/>
      <c r="F36" s="70"/>
      <c r="G36" s="70"/>
      <c r="H36" s="70"/>
    </row>
    <row r="37" spans="2:8" x14ac:dyDescent="0.2">
      <c r="E37" s="2"/>
      <c r="F37" s="2"/>
      <c r="G37" s="2"/>
    </row>
  </sheetData>
  <mergeCells count="8">
    <mergeCell ref="B2:B3"/>
    <mergeCell ref="B15:G15"/>
    <mergeCell ref="B29:G29"/>
    <mergeCell ref="B24:G24"/>
    <mergeCell ref="B10:G10"/>
    <mergeCell ref="B5:G5"/>
    <mergeCell ref="B23:G23"/>
    <mergeCell ref="B9:G9"/>
  </mergeCells>
  <pageMargins left="0.7" right="0.7" top="0.75" bottom="0.75" header="0.3" footer="0.3"/>
  <pageSetup paperSize="9" orientation="portrait"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9">
    <tabColor theme="3" tint="0.39997558519241921"/>
  </sheetPr>
  <dimension ref="B2:BK63"/>
  <sheetViews>
    <sheetView showGridLines="0" showRowColHeaders="0" zoomScale="85" zoomScaleNormal="85" workbookViewId="0">
      <pane xSplit="2" topLeftCell="C1" activePane="topRight" state="frozen"/>
      <selection activeCell="I35" sqref="I35"/>
      <selection pane="topRight" activeCell="B2" sqref="B2:B3"/>
    </sheetView>
  </sheetViews>
  <sheetFormatPr baseColWidth="10" defaultColWidth="11.5" defaultRowHeight="15" x14ac:dyDescent="0.2"/>
  <cols>
    <col min="1" max="1" width="3.5" customWidth="1"/>
    <col min="2" max="2" width="35.6640625" style="8" customWidth="1"/>
    <col min="63" max="63" width="3.1640625" customWidth="1"/>
  </cols>
  <sheetData>
    <row r="2" spans="2:63" x14ac:dyDescent="0.2">
      <c r="B2" s="189" t="s">
        <v>61</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row>
    <row r="3" spans="2:63" x14ac:dyDescent="0.2">
      <c r="B3" s="169"/>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row>
    <row r="4" spans="2:63" x14ac:dyDescent="0.2">
      <c r="B4" s="115"/>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row>
    <row r="5" spans="2:63" x14ac:dyDescent="0.2">
      <c r="B5" s="175" t="s">
        <v>269</v>
      </c>
      <c r="C5" s="157"/>
      <c r="D5" s="157"/>
      <c r="E5" s="157"/>
      <c r="F5" s="157"/>
      <c r="G5" s="157"/>
      <c r="H5" s="157"/>
      <c r="I5" s="157"/>
      <c r="J5" s="158"/>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row>
    <row r="6" spans="2:63" x14ac:dyDescent="0.2">
      <c r="B6" s="115"/>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row>
    <row r="7" spans="2:63" x14ac:dyDescent="0.2">
      <c r="B7" s="144" t="s">
        <v>254</v>
      </c>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row>
    <row r="8" spans="2:63" x14ac:dyDescent="0.2">
      <c r="B8" s="115"/>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row>
    <row r="9" spans="2:63" x14ac:dyDescent="0.2">
      <c r="B9" s="71"/>
      <c r="C9" s="174" t="s">
        <v>77</v>
      </c>
      <c r="D9" s="157"/>
      <c r="E9" s="157"/>
      <c r="F9" s="157"/>
      <c r="G9" s="157"/>
      <c r="H9" s="157"/>
      <c r="I9" s="157"/>
      <c r="J9" s="157"/>
      <c r="K9" s="157"/>
      <c r="L9" s="157"/>
      <c r="M9" s="157"/>
      <c r="N9" s="158"/>
      <c r="O9" s="174" t="s">
        <v>78</v>
      </c>
      <c r="P9" s="157"/>
      <c r="Q9" s="157"/>
      <c r="R9" s="157"/>
      <c r="S9" s="157"/>
      <c r="T9" s="157"/>
      <c r="U9" s="157"/>
      <c r="V9" s="157"/>
      <c r="W9" s="157"/>
      <c r="X9" s="157"/>
      <c r="Y9" s="157"/>
      <c r="Z9" s="158"/>
      <c r="AA9" s="174" t="s">
        <v>79</v>
      </c>
      <c r="AB9" s="157"/>
      <c r="AC9" s="157"/>
      <c r="AD9" s="157"/>
      <c r="AE9" s="157"/>
      <c r="AF9" s="157"/>
      <c r="AG9" s="157"/>
      <c r="AH9" s="157"/>
      <c r="AI9" s="157"/>
      <c r="AJ9" s="157"/>
      <c r="AK9" s="157"/>
      <c r="AL9" s="158"/>
      <c r="AM9" s="174" t="s">
        <v>80</v>
      </c>
      <c r="AN9" s="157"/>
      <c r="AO9" s="157"/>
      <c r="AP9" s="157"/>
      <c r="AQ9" s="157"/>
      <c r="AR9" s="157"/>
      <c r="AS9" s="157"/>
      <c r="AT9" s="157"/>
      <c r="AU9" s="157"/>
      <c r="AV9" s="157"/>
      <c r="AW9" s="157"/>
      <c r="AX9" s="158"/>
      <c r="AY9" s="174" t="s">
        <v>81</v>
      </c>
      <c r="AZ9" s="157"/>
      <c r="BA9" s="157"/>
      <c r="BB9" s="157"/>
      <c r="BC9" s="157"/>
      <c r="BD9" s="157"/>
      <c r="BE9" s="157"/>
      <c r="BF9" s="157"/>
      <c r="BG9" s="157"/>
      <c r="BH9" s="157"/>
      <c r="BI9" s="157"/>
      <c r="BJ9" s="158"/>
      <c r="BK9" s="70"/>
    </row>
    <row r="10" spans="2:63" x14ac:dyDescent="0.2">
      <c r="B10" s="144" t="s">
        <v>63</v>
      </c>
      <c r="C10" s="55">
        <f>Config!$C$7</f>
        <v>46388</v>
      </c>
      <c r="D10" s="55">
        <f t="shared" ref="D10:AI10" si="0">DATE(YEAR(C10),MONTH(C10)+1,DAY(C10))</f>
        <v>46419</v>
      </c>
      <c r="E10" s="55">
        <f t="shared" si="0"/>
        <v>46447</v>
      </c>
      <c r="F10" s="55">
        <f t="shared" si="0"/>
        <v>46478</v>
      </c>
      <c r="G10" s="55">
        <f t="shared" si="0"/>
        <v>46508</v>
      </c>
      <c r="H10" s="55">
        <f t="shared" si="0"/>
        <v>46539</v>
      </c>
      <c r="I10" s="55">
        <f t="shared" si="0"/>
        <v>46569</v>
      </c>
      <c r="J10" s="55">
        <f t="shared" si="0"/>
        <v>46600</v>
      </c>
      <c r="K10" s="55">
        <f t="shared" si="0"/>
        <v>46631</v>
      </c>
      <c r="L10" s="55">
        <f t="shared" si="0"/>
        <v>46661</v>
      </c>
      <c r="M10" s="55">
        <f t="shared" si="0"/>
        <v>46692</v>
      </c>
      <c r="N10" s="55">
        <f t="shared" si="0"/>
        <v>46722</v>
      </c>
      <c r="O10" s="55">
        <f t="shared" si="0"/>
        <v>46753</v>
      </c>
      <c r="P10" s="55">
        <f t="shared" si="0"/>
        <v>46784</v>
      </c>
      <c r="Q10" s="55">
        <f t="shared" si="0"/>
        <v>46813</v>
      </c>
      <c r="R10" s="55">
        <f t="shared" si="0"/>
        <v>46844</v>
      </c>
      <c r="S10" s="55">
        <f t="shared" si="0"/>
        <v>46874</v>
      </c>
      <c r="T10" s="55">
        <f t="shared" si="0"/>
        <v>46905</v>
      </c>
      <c r="U10" s="55">
        <f t="shared" si="0"/>
        <v>46935</v>
      </c>
      <c r="V10" s="55">
        <f t="shared" si="0"/>
        <v>46966</v>
      </c>
      <c r="W10" s="55">
        <f t="shared" si="0"/>
        <v>46997</v>
      </c>
      <c r="X10" s="55">
        <f t="shared" si="0"/>
        <v>47027</v>
      </c>
      <c r="Y10" s="55">
        <f t="shared" si="0"/>
        <v>47058</v>
      </c>
      <c r="Z10" s="55">
        <f t="shared" si="0"/>
        <v>47088</v>
      </c>
      <c r="AA10" s="55">
        <f t="shared" si="0"/>
        <v>47119</v>
      </c>
      <c r="AB10" s="55">
        <f t="shared" si="0"/>
        <v>47150</v>
      </c>
      <c r="AC10" s="55">
        <f t="shared" si="0"/>
        <v>47178</v>
      </c>
      <c r="AD10" s="55">
        <f t="shared" si="0"/>
        <v>47209</v>
      </c>
      <c r="AE10" s="55">
        <f t="shared" si="0"/>
        <v>47239</v>
      </c>
      <c r="AF10" s="55">
        <f t="shared" si="0"/>
        <v>47270</v>
      </c>
      <c r="AG10" s="55">
        <f t="shared" si="0"/>
        <v>47300</v>
      </c>
      <c r="AH10" s="55">
        <f t="shared" si="0"/>
        <v>47331</v>
      </c>
      <c r="AI10" s="55">
        <f t="shared" si="0"/>
        <v>47362</v>
      </c>
      <c r="AJ10" s="55">
        <f t="shared" ref="AJ10:BJ10" si="1">DATE(YEAR(AI10),MONTH(AI10)+1,DAY(AI10))</f>
        <v>47392</v>
      </c>
      <c r="AK10" s="55">
        <f t="shared" si="1"/>
        <v>47423</v>
      </c>
      <c r="AL10" s="55">
        <f t="shared" si="1"/>
        <v>47453</v>
      </c>
      <c r="AM10" s="55">
        <f t="shared" si="1"/>
        <v>47484</v>
      </c>
      <c r="AN10" s="55">
        <f t="shared" si="1"/>
        <v>47515</v>
      </c>
      <c r="AO10" s="55">
        <f t="shared" si="1"/>
        <v>47543</v>
      </c>
      <c r="AP10" s="55">
        <f t="shared" si="1"/>
        <v>47574</v>
      </c>
      <c r="AQ10" s="55">
        <f t="shared" si="1"/>
        <v>47604</v>
      </c>
      <c r="AR10" s="55">
        <f t="shared" si="1"/>
        <v>47635</v>
      </c>
      <c r="AS10" s="55">
        <f t="shared" si="1"/>
        <v>47665</v>
      </c>
      <c r="AT10" s="55">
        <f t="shared" si="1"/>
        <v>47696</v>
      </c>
      <c r="AU10" s="55">
        <f t="shared" si="1"/>
        <v>47727</v>
      </c>
      <c r="AV10" s="55">
        <f t="shared" si="1"/>
        <v>47757</v>
      </c>
      <c r="AW10" s="55">
        <f t="shared" si="1"/>
        <v>47788</v>
      </c>
      <c r="AX10" s="55">
        <f t="shared" si="1"/>
        <v>47818</v>
      </c>
      <c r="AY10" s="55">
        <f t="shared" si="1"/>
        <v>47849</v>
      </c>
      <c r="AZ10" s="55">
        <f t="shared" si="1"/>
        <v>47880</v>
      </c>
      <c r="BA10" s="55">
        <f t="shared" si="1"/>
        <v>47908</v>
      </c>
      <c r="BB10" s="55">
        <f t="shared" si="1"/>
        <v>47939</v>
      </c>
      <c r="BC10" s="55">
        <f t="shared" si="1"/>
        <v>47969</v>
      </c>
      <c r="BD10" s="55">
        <f t="shared" si="1"/>
        <v>48000</v>
      </c>
      <c r="BE10" s="55">
        <f t="shared" si="1"/>
        <v>48030</v>
      </c>
      <c r="BF10" s="55">
        <f t="shared" si="1"/>
        <v>48061</v>
      </c>
      <c r="BG10" s="55">
        <f t="shared" si="1"/>
        <v>48092</v>
      </c>
      <c r="BH10" s="55">
        <f t="shared" si="1"/>
        <v>48122</v>
      </c>
      <c r="BI10" s="55">
        <f t="shared" si="1"/>
        <v>48153</v>
      </c>
      <c r="BJ10" s="55">
        <f t="shared" si="1"/>
        <v>48183</v>
      </c>
      <c r="BK10" s="70"/>
    </row>
    <row r="11" spans="2:63" x14ac:dyDescent="0.2">
      <c r="B11" s="46" t="str">
        <f>Config!$B$14</f>
        <v>Vente d'abonnement mensuel (30 Shots)</v>
      </c>
      <c r="C11" s="67">
        <f>'Charges variables'!C9*Config!$C79</f>
        <v>0</v>
      </c>
      <c r="D11" s="67">
        <f>'Charges variables'!D9*Config!$C79</f>
        <v>0</v>
      </c>
      <c r="E11" s="67">
        <f>'Charges variables'!E9*Config!$C79</f>
        <v>47.25</v>
      </c>
      <c r="F11" s="67">
        <f>'Charges variables'!F9*Config!$C79</f>
        <v>118.125</v>
      </c>
      <c r="G11" s="67">
        <f>'Charges variables'!G9*Config!$C79</f>
        <v>212.625</v>
      </c>
      <c r="H11" s="67">
        <f>'Charges variables'!H9*Config!$C79</f>
        <v>330.75</v>
      </c>
      <c r="I11" s="67">
        <f>'Charges variables'!I9*Config!$C79</f>
        <v>472.5</v>
      </c>
      <c r="J11" s="67">
        <f>'Charges variables'!J9*Config!$C79</f>
        <v>567</v>
      </c>
      <c r="K11" s="67">
        <f>'Charges variables'!K9*Config!$C79</f>
        <v>661.5</v>
      </c>
      <c r="L11" s="67">
        <f>'Charges variables'!L9*Config!$C79</f>
        <v>850.5</v>
      </c>
      <c r="M11" s="67">
        <f>'Charges variables'!M9*Config!$C79</f>
        <v>992.25</v>
      </c>
      <c r="N11" s="67">
        <f>'Charges variables'!N9*Config!$C79</f>
        <v>1134</v>
      </c>
      <c r="O11" s="67">
        <f>'Charges variables'!O9*Config!$C79</f>
        <v>1323</v>
      </c>
      <c r="P11" s="67">
        <f>'Charges variables'!P9*Config!$C79</f>
        <v>1417.5</v>
      </c>
      <c r="Q11" s="67">
        <f>'Charges variables'!Q9*Config!$C79</f>
        <v>1559.25</v>
      </c>
      <c r="R11" s="67">
        <f>'Charges variables'!R9*Config!$C79</f>
        <v>1701</v>
      </c>
      <c r="S11" s="67">
        <f>'Charges variables'!S9*Config!$C79</f>
        <v>1890</v>
      </c>
      <c r="T11" s="67">
        <f>'Charges variables'!T9*Config!$C79</f>
        <v>2126.25</v>
      </c>
      <c r="U11" s="67">
        <f>'Charges variables'!U9*Config!$C79</f>
        <v>2362.5</v>
      </c>
      <c r="V11" s="67">
        <f>'Charges variables'!V9*Config!$C79</f>
        <v>2551.5</v>
      </c>
      <c r="W11" s="67">
        <f>'Charges variables'!W9*Config!$C79</f>
        <v>2693.25</v>
      </c>
      <c r="X11" s="67">
        <f>'Charges variables'!X9*Config!$C79</f>
        <v>3071.25</v>
      </c>
      <c r="Y11" s="67">
        <f>'Charges variables'!Y9*Config!$C79</f>
        <v>3307.5</v>
      </c>
      <c r="Z11" s="67">
        <f>'Charges variables'!Z9*Config!$C79</f>
        <v>3543.75</v>
      </c>
      <c r="AA11" s="67">
        <f>'Charges variables'!AA9*Config!$C79</f>
        <v>3780</v>
      </c>
      <c r="AB11" s="67">
        <f>'Charges variables'!AB9*Config!$C79</f>
        <v>4016.25</v>
      </c>
      <c r="AC11" s="67">
        <f>'Charges variables'!AC9*Config!$C79</f>
        <v>4158</v>
      </c>
      <c r="AD11" s="67">
        <f>'Charges variables'!AD9*Config!$C79</f>
        <v>4299.75</v>
      </c>
      <c r="AE11" s="67">
        <f>'Charges variables'!AE9*Config!$C79</f>
        <v>4488.75</v>
      </c>
      <c r="AF11" s="67">
        <f>'Charges variables'!AF9*Config!$C79</f>
        <v>4725</v>
      </c>
      <c r="AG11" s="67">
        <f>'Charges variables'!AG9*Config!$C79</f>
        <v>4961.25</v>
      </c>
      <c r="AH11" s="67">
        <f>'Charges variables'!AH9*Config!$C79</f>
        <v>5103</v>
      </c>
      <c r="AI11" s="67">
        <f>'Charges variables'!AI9*Config!$C79</f>
        <v>5197.5</v>
      </c>
      <c r="AJ11" s="67">
        <f>'Charges variables'!AJ9*Config!$C79</f>
        <v>5433.75</v>
      </c>
      <c r="AK11" s="67">
        <f>'Charges variables'!AK9*Config!$C79</f>
        <v>5670</v>
      </c>
      <c r="AL11" s="67">
        <f>'Charges variables'!AL9*Config!$C79</f>
        <v>5906.25</v>
      </c>
      <c r="AM11" s="67">
        <f>'Charges variables'!AM9*Config!$C79</f>
        <v>6142.5</v>
      </c>
      <c r="AN11" s="67">
        <f>'Charges variables'!AN9*Config!$C79</f>
        <v>6378.75</v>
      </c>
      <c r="AO11" s="67">
        <f>'Charges variables'!AO9*Config!$C79</f>
        <v>6520.5</v>
      </c>
      <c r="AP11" s="67">
        <f>'Charges variables'!AP9*Config!$C79</f>
        <v>6709.5</v>
      </c>
      <c r="AQ11" s="67">
        <f>'Charges variables'!AQ9*Config!$C79</f>
        <v>6993</v>
      </c>
      <c r="AR11" s="67">
        <f>'Charges variables'!AR9*Config!$C79</f>
        <v>7323.75</v>
      </c>
      <c r="AS11" s="67">
        <f>'Charges variables'!AS9*Config!$C79</f>
        <v>7796.25</v>
      </c>
      <c r="AT11" s="67">
        <f>'Charges variables'!AT9*Config!$C79</f>
        <v>8032.5</v>
      </c>
      <c r="AU11" s="67">
        <f>'Charges variables'!AU9*Config!$C79</f>
        <v>8268.75</v>
      </c>
      <c r="AV11" s="67">
        <f>'Charges variables'!AV9*Config!$C79</f>
        <v>8741.25</v>
      </c>
      <c r="AW11" s="67">
        <f>'Charges variables'!AW9*Config!$C79</f>
        <v>9213.75</v>
      </c>
      <c r="AX11" s="67">
        <f>'Charges variables'!AX9*Config!$C79</f>
        <v>9686.25</v>
      </c>
      <c r="AY11" s="67">
        <f>'Charges variables'!AY9*Config!$C79</f>
        <v>10158.75</v>
      </c>
      <c r="AZ11" s="67">
        <f>'Charges variables'!AZ9*Config!$C79</f>
        <v>10395</v>
      </c>
      <c r="BA11" s="67">
        <f>'Charges variables'!BA9*Config!$C79</f>
        <v>10631.25</v>
      </c>
      <c r="BB11" s="67">
        <f>'Charges variables'!BB9*Config!$C79</f>
        <v>10867.5</v>
      </c>
      <c r="BC11" s="67">
        <f>'Charges variables'!BC9*Config!$C79</f>
        <v>11340</v>
      </c>
      <c r="BD11" s="67">
        <f>'Charges variables'!BD9*Config!$C79</f>
        <v>11812.5</v>
      </c>
      <c r="BE11" s="67">
        <f>'Charges variables'!BE9*Config!$C79</f>
        <v>12521.25</v>
      </c>
      <c r="BF11" s="67">
        <f>'Charges variables'!BF9*Config!$C79</f>
        <v>12993.75</v>
      </c>
      <c r="BG11" s="67">
        <f>'Charges variables'!BG9*Config!$C79</f>
        <v>13466.25</v>
      </c>
      <c r="BH11" s="67">
        <f>'Charges variables'!BH9*Config!$C79</f>
        <v>14175</v>
      </c>
      <c r="BI11" s="67">
        <f>'Charges variables'!BI9*Config!$C79</f>
        <v>14883.75</v>
      </c>
      <c r="BJ11" s="67">
        <f>'Charges variables'!BJ9*Config!$C79</f>
        <v>15592.5</v>
      </c>
      <c r="BK11" s="70"/>
    </row>
    <row r="12" spans="2:63" x14ac:dyDescent="0.2">
      <c r="B12" s="46" t="str">
        <f>Config!$B$15</f>
        <v>Vente de pack découverte (9 Shots)</v>
      </c>
      <c r="C12" s="67">
        <f>'Charges variables'!C10*Config!$C80</f>
        <v>0</v>
      </c>
      <c r="D12" s="67">
        <f>'Charges variables'!D10*Config!$C80</f>
        <v>63.75</v>
      </c>
      <c r="E12" s="67">
        <f>'Charges variables'!E10*Config!$C80</f>
        <v>102</v>
      </c>
      <c r="F12" s="67">
        <f>'Charges variables'!F10*Config!$C80</f>
        <v>153</v>
      </c>
      <c r="G12" s="67">
        <f>'Charges variables'!G10*Config!$C80</f>
        <v>255</v>
      </c>
      <c r="H12" s="67">
        <f>'Charges variables'!H10*Config!$C80</f>
        <v>382.5</v>
      </c>
      <c r="I12" s="67">
        <f>'Charges variables'!I10*Config!$C80</f>
        <v>446.25</v>
      </c>
      <c r="J12" s="67">
        <f>'Charges variables'!J10*Config!$C80</f>
        <v>382.5</v>
      </c>
      <c r="K12" s="67">
        <f>'Charges variables'!K10*Config!$C80</f>
        <v>255</v>
      </c>
      <c r="L12" s="67">
        <f>'Charges variables'!L10*Config!$C80</f>
        <v>510</v>
      </c>
      <c r="M12" s="67">
        <f>'Charges variables'!M10*Config!$C80</f>
        <v>446.25</v>
      </c>
      <c r="N12" s="67">
        <f>'Charges variables'!N10*Config!$C80</f>
        <v>446.25</v>
      </c>
      <c r="O12" s="67">
        <f>'Charges variables'!O10*Config!$C80</f>
        <v>637.5</v>
      </c>
      <c r="P12" s="67">
        <f>'Charges variables'!P10*Config!$C80</f>
        <v>573.75</v>
      </c>
      <c r="Q12" s="67">
        <f>'Charges variables'!Q10*Config!$C80</f>
        <v>510</v>
      </c>
      <c r="R12" s="67">
        <f>'Charges variables'!R10*Config!$C80</f>
        <v>573.75</v>
      </c>
      <c r="S12" s="67">
        <f>'Charges variables'!S10*Config!$C80</f>
        <v>701.25</v>
      </c>
      <c r="T12" s="67">
        <f>'Charges variables'!T10*Config!$C80</f>
        <v>828.75</v>
      </c>
      <c r="U12" s="67">
        <f>'Charges variables'!U10*Config!$C80</f>
        <v>892.5</v>
      </c>
      <c r="V12" s="67">
        <f>'Charges variables'!V10*Config!$C80</f>
        <v>765</v>
      </c>
      <c r="W12" s="67">
        <f>'Charges variables'!W10*Config!$C80</f>
        <v>637.5</v>
      </c>
      <c r="X12" s="67">
        <f>'Charges variables'!X10*Config!$C80</f>
        <v>1020</v>
      </c>
      <c r="Y12" s="67">
        <f>'Charges variables'!Y10*Config!$C80</f>
        <v>892.5</v>
      </c>
      <c r="Z12" s="67">
        <f>'Charges variables'!Z10*Config!$C80</f>
        <v>892.5</v>
      </c>
      <c r="AA12" s="67">
        <f>'Charges variables'!AA10*Config!$C80</f>
        <v>1147.5</v>
      </c>
      <c r="AB12" s="67">
        <f>'Charges variables'!AB10*Config!$C80</f>
        <v>1147.5</v>
      </c>
      <c r="AC12" s="67">
        <f>'Charges variables'!AC10*Config!$C80</f>
        <v>1020</v>
      </c>
      <c r="AD12" s="67">
        <f>'Charges variables'!AD10*Config!$C80</f>
        <v>1083.75</v>
      </c>
      <c r="AE12" s="67">
        <f>'Charges variables'!AE10*Config!$C80</f>
        <v>1211.25</v>
      </c>
      <c r="AF12" s="67">
        <f>'Charges variables'!AF10*Config!$C80</f>
        <v>1402.5</v>
      </c>
      <c r="AG12" s="67">
        <f>'Charges variables'!AG10*Config!$C80</f>
        <v>1530</v>
      </c>
      <c r="AH12" s="67">
        <f>'Charges variables'!AH10*Config!$C80</f>
        <v>1275</v>
      </c>
      <c r="AI12" s="67">
        <f>'Charges variables'!AI10*Config!$C80</f>
        <v>1147.5</v>
      </c>
      <c r="AJ12" s="67">
        <f>'Charges variables'!AJ10*Config!$C80</f>
        <v>1657.5</v>
      </c>
      <c r="AK12" s="67">
        <f>'Charges variables'!AK10*Config!$C80</f>
        <v>1402.5</v>
      </c>
      <c r="AL12" s="67">
        <f>'Charges variables'!AL10*Config!$C80</f>
        <v>1402.5</v>
      </c>
      <c r="AM12" s="67">
        <f>'Charges variables'!AM10*Config!$C80</f>
        <v>1912.5</v>
      </c>
      <c r="AN12" s="67">
        <f>'Charges variables'!AN10*Config!$C80</f>
        <v>2040</v>
      </c>
      <c r="AO12" s="67">
        <f>'Charges variables'!AO10*Config!$C80</f>
        <v>1785</v>
      </c>
      <c r="AP12" s="67">
        <f>'Charges variables'!AP10*Config!$C80</f>
        <v>1912.5</v>
      </c>
      <c r="AQ12" s="67">
        <f>'Charges variables'!AQ10*Config!$C80</f>
        <v>2167.5</v>
      </c>
      <c r="AR12" s="67">
        <f>'Charges variables'!AR10*Config!$C80</f>
        <v>2422.5</v>
      </c>
      <c r="AS12" s="67">
        <f>'Charges variables'!AS10*Config!$C80</f>
        <v>2550</v>
      </c>
      <c r="AT12" s="67">
        <f>'Charges variables'!AT10*Config!$C80</f>
        <v>2295</v>
      </c>
      <c r="AU12" s="67">
        <f>'Charges variables'!AU10*Config!$C80</f>
        <v>2040</v>
      </c>
      <c r="AV12" s="67">
        <f>'Charges variables'!AV10*Config!$C80</f>
        <v>2805</v>
      </c>
      <c r="AW12" s="67">
        <f>'Charges variables'!AW10*Config!$C80</f>
        <v>2422.5</v>
      </c>
      <c r="AX12" s="67">
        <f>'Charges variables'!AX10*Config!$C80</f>
        <v>2422.5</v>
      </c>
      <c r="AY12" s="67">
        <f>'Charges variables'!AY10*Config!$C80</f>
        <v>3187.5</v>
      </c>
      <c r="AZ12" s="67">
        <f>'Charges variables'!AZ10*Config!$C80</f>
        <v>3315</v>
      </c>
      <c r="BA12" s="67">
        <f>'Charges variables'!BA10*Config!$C80</f>
        <v>2932.5</v>
      </c>
      <c r="BB12" s="67">
        <f>'Charges variables'!BB10*Config!$C80</f>
        <v>3060</v>
      </c>
      <c r="BC12" s="67">
        <f>'Charges variables'!BC10*Config!$C80</f>
        <v>2167.5</v>
      </c>
      <c r="BD12" s="67">
        <f>'Charges variables'!BD10*Config!$C80</f>
        <v>3825</v>
      </c>
      <c r="BE12" s="67">
        <f>'Charges variables'!BE10*Config!$C80</f>
        <v>4080</v>
      </c>
      <c r="BF12" s="67">
        <f>'Charges variables'!BF10*Config!$C80</f>
        <v>3697.5</v>
      </c>
      <c r="BG12" s="67">
        <f>'Charges variables'!BG10*Config!$C80</f>
        <v>3187.5</v>
      </c>
      <c r="BH12" s="67">
        <f>'Charges variables'!BH10*Config!$C80</f>
        <v>4462.5</v>
      </c>
      <c r="BI12" s="67">
        <f>'Charges variables'!BI10*Config!$C80</f>
        <v>3825</v>
      </c>
      <c r="BJ12" s="67">
        <f>'Charges variables'!BJ10*Config!$C80</f>
        <v>3825</v>
      </c>
      <c r="BK12" s="70"/>
    </row>
    <row r="13" spans="2:63" x14ac:dyDescent="0.2">
      <c r="B13" s="46" t="str">
        <f>Config!$B$16</f>
        <v xml:space="preserve">Vente de shots à l'unité </v>
      </c>
      <c r="C13" s="67">
        <f>'Charges variables'!C11*Config!$C81</f>
        <v>0</v>
      </c>
      <c r="D13" s="67">
        <f>'Charges variables'!D11*Config!$C81</f>
        <v>3.4499999999999997</v>
      </c>
      <c r="E13" s="67">
        <f>'Charges variables'!E11*Config!$C81</f>
        <v>5.1749999999999998</v>
      </c>
      <c r="F13" s="67">
        <f>'Charges variables'!F11*Config!$C81</f>
        <v>6.8999999999999995</v>
      </c>
      <c r="G13" s="67">
        <f>'Charges variables'!G11*Config!$C81</f>
        <v>8.6249999999999982</v>
      </c>
      <c r="H13" s="67">
        <f>'Charges variables'!H11*Config!$C81</f>
        <v>13.799999999999999</v>
      </c>
      <c r="I13" s="67">
        <f>'Charges variables'!I11*Config!$C81</f>
        <v>17.249999999999996</v>
      </c>
      <c r="J13" s="67">
        <f>'Charges variables'!J11*Config!$C81</f>
        <v>13.799999999999999</v>
      </c>
      <c r="K13" s="67">
        <f>'Charges variables'!K11*Config!$C81</f>
        <v>10.35</v>
      </c>
      <c r="L13" s="67">
        <f>'Charges variables'!L11*Config!$C81</f>
        <v>17.249999999999996</v>
      </c>
      <c r="M13" s="67">
        <f>'Charges variables'!M11*Config!$C81</f>
        <v>13.799999999999999</v>
      </c>
      <c r="N13" s="67">
        <f>'Charges variables'!N11*Config!$C81</f>
        <v>13.799999999999999</v>
      </c>
      <c r="O13" s="67">
        <f>'Charges variables'!O11*Config!$C81</f>
        <v>25.875</v>
      </c>
      <c r="P13" s="67">
        <f>'Charges variables'!P11*Config!$C81</f>
        <v>17.249999999999996</v>
      </c>
      <c r="Q13" s="67">
        <f>'Charges variables'!Q11*Config!$C81</f>
        <v>17.249999999999996</v>
      </c>
      <c r="R13" s="67">
        <f>'Charges variables'!R11*Config!$C81</f>
        <v>20.7</v>
      </c>
      <c r="S13" s="67">
        <f>'Charges variables'!S11*Config!$C81</f>
        <v>25.875</v>
      </c>
      <c r="T13" s="67">
        <f>'Charges variables'!T11*Config!$C81</f>
        <v>34.499999999999993</v>
      </c>
      <c r="U13" s="67">
        <f>'Charges variables'!U11*Config!$C81</f>
        <v>43.125</v>
      </c>
      <c r="V13" s="67">
        <f>'Charges variables'!V11*Config!$C81</f>
        <v>34.499999999999993</v>
      </c>
      <c r="W13" s="67">
        <f>'Charges variables'!W11*Config!$C81</f>
        <v>25.875</v>
      </c>
      <c r="X13" s="67">
        <f>'Charges variables'!X11*Config!$C81</f>
        <v>43.125</v>
      </c>
      <c r="Y13" s="67">
        <f>'Charges variables'!Y11*Config!$C81</f>
        <v>34.499999999999993</v>
      </c>
      <c r="Z13" s="67">
        <f>'Charges variables'!Z11*Config!$C81</f>
        <v>34.499999999999993</v>
      </c>
      <c r="AA13" s="67">
        <f>'Charges variables'!AA11*Config!$C81</f>
        <v>51.75</v>
      </c>
      <c r="AB13" s="67">
        <f>'Charges variables'!AB11*Config!$C81</f>
        <v>43.125</v>
      </c>
      <c r="AC13" s="67">
        <f>'Charges variables'!AC11*Config!$C81</f>
        <v>34.499999999999993</v>
      </c>
      <c r="AD13" s="67">
        <f>'Charges variables'!AD11*Config!$C81</f>
        <v>37.949999999999996</v>
      </c>
      <c r="AE13" s="67">
        <f>'Charges variables'!AE11*Config!$C81</f>
        <v>43.125</v>
      </c>
      <c r="AF13" s="67">
        <f>'Charges variables'!AF11*Config!$C81</f>
        <v>51.75</v>
      </c>
      <c r="AG13" s="67">
        <f>'Charges variables'!AG11*Config!$C81</f>
        <v>60.374999999999986</v>
      </c>
      <c r="AH13" s="67">
        <f>'Charges variables'!AH11*Config!$C81</f>
        <v>51.75</v>
      </c>
      <c r="AI13" s="67">
        <f>'Charges variables'!AI11*Config!$C81</f>
        <v>43.125</v>
      </c>
      <c r="AJ13" s="67">
        <f>'Charges variables'!AJ11*Config!$C81</f>
        <v>60.374999999999986</v>
      </c>
      <c r="AK13" s="67">
        <f>'Charges variables'!AK11*Config!$C81</f>
        <v>51.75</v>
      </c>
      <c r="AL13" s="67">
        <f>'Charges variables'!AL11*Config!$C81</f>
        <v>51.75</v>
      </c>
      <c r="AM13" s="67">
        <f>'Charges variables'!AM11*Config!$C81</f>
        <v>77.625</v>
      </c>
      <c r="AN13" s="67">
        <f>'Charges variables'!AN11*Config!$C81</f>
        <v>60.374999999999986</v>
      </c>
      <c r="AO13" s="67">
        <f>'Charges variables'!AO11*Config!$C81</f>
        <v>51.75</v>
      </c>
      <c r="AP13" s="67">
        <f>'Charges variables'!AP11*Config!$C81</f>
        <v>55.199999999999996</v>
      </c>
      <c r="AQ13" s="67">
        <f>'Charges variables'!AQ11*Config!$C81</f>
        <v>65.549999999999983</v>
      </c>
      <c r="AR13" s="67">
        <f>'Charges variables'!AR11*Config!$C81</f>
        <v>77.625</v>
      </c>
      <c r="AS13" s="67">
        <f>'Charges variables'!AS11*Config!$C81</f>
        <v>86.25</v>
      </c>
      <c r="AT13" s="67">
        <f>'Charges variables'!AT11*Config!$C81</f>
        <v>77.625</v>
      </c>
      <c r="AU13" s="67">
        <f>'Charges variables'!AU11*Config!$C81</f>
        <v>68.999999999999986</v>
      </c>
      <c r="AV13" s="67">
        <f>'Charges variables'!AV11*Config!$C81</f>
        <v>86.25</v>
      </c>
      <c r="AW13" s="67">
        <f>'Charges variables'!AW11*Config!$C81</f>
        <v>77.625</v>
      </c>
      <c r="AX13" s="67">
        <f>'Charges variables'!AX11*Config!$C81</f>
        <v>77.625</v>
      </c>
      <c r="AY13" s="67">
        <f>'Charges variables'!AY11*Config!$C81</f>
        <v>112.12499999999999</v>
      </c>
      <c r="AZ13" s="67">
        <f>'Charges variables'!AZ11*Config!$C81</f>
        <v>86.25</v>
      </c>
      <c r="BA13" s="67">
        <f>'Charges variables'!BA11*Config!$C81</f>
        <v>77.625</v>
      </c>
      <c r="BB13" s="67">
        <f>'Charges variables'!BB11*Config!$C81</f>
        <v>82.8</v>
      </c>
      <c r="BC13" s="67">
        <f>'Charges variables'!BC11*Config!$C81</f>
        <v>94.875</v>
      </c>
      <c r="BD13" s="67">
        <f>'Charges variables'!BD11*Config!$C81</f>
        <v>112.12499999999999</v>
      </c>
      <c r="BE13" s="67">
        <f>'Charges variables'!BE11*Config!$C81</f>
        <v>129.37499999999997</v>
      </c>
      <c r="BF13" s="67">
        <f>'Charges variables'!BF11*Config!$C81</f>
        <v>112.12499999999999</v>
      </c>
      <c r="BG13" s="67">
        <f>'Charges variables'!BG11*Config!$C81</f>
        <v>94.875</v>
      </c>
      <c r="BH13" s="67">
        <f>'Charges variables'!BH11*Config!$C81</f>
        <v>129.37499999999997</v>
      </c>
      <c r="BI13" s="67">
        <f>'Charges variables'!BI11*Config!$C81</f>
        <v>112.12499999999999</v>
      </c>
      <c r="BJ13" s="67">
        <f>'Charges variables'!BJ11*Config!$C81</f>
        <v>112.12499999999999</v>
      </c>
      <c r="BK13" s="70"/>
    </row>
    <row r="14" spans="2:63" x14ac:dyDescent="0.2">
      <c r="B14" s="46" t="str">
        <f>Config!$B$17</f>
        <v>Vente d'abonnement annuel (360 Shots)</v>
      </c>
      <c r="C14" s="67">
        <f>'Charges variables'!C12*Config!$C82</f>
        <v>0</v>
      </c>
      <c r="D14" s="67">
        <f>'Charges variables'!D12*Config!$C82</f>
        <v>0</v>
      </c>
      <c r="E14" s="67">
        <f>'Charges variables'!E12*Config!$C82</f>
        <v>0</v>
      </c>
      <c r="F14" s="67">
        <f>'Charges variables'!F12*Config!$C82</f>
        <v>0</v>
      </c>
      <c r="G14" s="67">
        <f>'Charges variables'!G12*Config!$C82</f>
        <v>56.699999999999996</v>
      </c>
      <c r="H14" s="67">
        <f>'Charges variables'!H12*Config!$C82</f>
        <v>56.699999999999996</v>
      </c>
      <c r="I14" s="67">
        <f>'Charges variables'!I12*Config!$C82</f>
        <v>113.39999999999999</v>
      </c>
      <c r="J14" s="67">
        <f>'Charges variables'!J12*Config!$C82</f>
        <v>56.699999999999996</v>
      </c>
      <c r="K14" s="67">
        <f>'Charges variables'!K12*Config!$C82</f>
        <v>0</v>
      </c>
      <c r="L14" s="67">
        <f>'Charges variables'!L12*Config!$C82</f>
        <v>170.1</v>
      </c>
      <c r="M14" s="67">
        <f>'Charges variables'!M12*Config!$C82</f>
        <v>113.39999999999999</v>
      </c>
      <c r="N14" s="67">
        <f>'Charges variables'!N12*Config!$C82</f>
        <v>113.39999999999999</v>
      </c>
      <c r="O14" s="67">
        <f>'Charges variables'!O12*Config!$C82</f>
        <v>283.5</v>
      </c>
      <c r="P14" s="67">
        <f>'Charges variables'!P12*Config!$C82</f>
        <v>170.1</v>
      </c>
      <c r="Q14" s="67">
        <f>'Charges variables'!Q12*Config!$C82</f>
        <v>113.39999999999999</v>
      </c>
      <c r="R14" s="67">
        <f>'Charges variables'!R12*Config!$C82</f>
        <v>113.39999999999999</v>
      </c>
      <c r="S14" s="67">
        <f>'Charges variables'!S12*Config!$C82</f>
        <v>170.1</v>
      </c>
      <c r="T14" s="67">
        <f>'Charges variables'!T12*Config!$C82</f>
        <v>226.79999999999998</v>
      </c>
      <c r="U14" s="67">
        <f>'Charges variables'!U12*Config!$C82</f>
        <v>283.5</v>
      </c>
      <c r="V14" s="67">
        <f>'Charges variables'!V12*Config!$C82</f>
        <v>170.1</v>
      </c>
      <c r="W14" s="67">
        <f>'Charges variables'!W12*Config!$C82</f>
        <v>113.39999999999999</v>
      </c>
      <c r="X14" s="67">
        <f>'Charges variables'!X12*Config!$C82</f>
        <v>340.2</v>
      </c>
      <c r="Y14" s="67">
        <f>'Charges variables'!Y12*Config!$C82</f>
        <v>226.79999999999998</v>
      </c>
      <c r="Z14" s="67">
        <f>'Charges variables'!Z12*Config!$C82</f>
        <v>226.79999999999998</v>
      </c>
      <c r="AA14" s="67">
        <f>'Charges variables'!AA12*Config!$C82</f>
        <v>567</v>
      </c>
      <c r="AB14" s="67">
        <f>'Charges variables'!AB12*Config!$C82</f>
        <v>283.5</v>
      </c>
      <c r="AC14" s="67">
        <f>'Charges variables'!AC12*Config!$C82</f>
        <v>170.1</v>
      </c>
      <c r="AD14" s="67">
        <f>'Charges variables'!AD12*Config!$C82</f>
        <v>226.79999999999998</v>
      </c>
      <c r="AE14" s="67">
        <f>'Charges variables'!AE12*Config!$C82</f>
        <v>283.5</v>
      </c>
      <c r="AF14" s="67">
        <f>'Charges variables'!AF12*Config!$C82</f>
        <v>340.2</v>
      </c>
      <c r="AG14" s="67">
        <f>'Charges variables'!AG12*Config!$C82</f>
        <v>396.9</v>
      </c>
      <c r="AH14" s="67">
        <f>'Charges variables'!AH12*Config!$C82</f>
        <v>283.5</v>
      </c>
      <c r="AI14" s="67">
        <f>'Charges variables'!AI12*Config!$C82</f>
        <v>226.79999999999998</v>
      </c>
      <c r="AJ14" s="67">
        <f>'Charges variables'!AJ12*Config!$C82</f>
        <v>453.59999999999997</v>
      </c>
      <c r="AK14" s="67">
        <f>'Charges variables'!AK12*Config!$C82</f>
        <v>340.2</v>
      </c>
      <c r="AL14" s="67">
        <f>'Charges variables'!AL12*Config!$C82</f>
        <v>340.2</v>
      </c>
      <c r="AM14" s="67">
        <f>'Charges variables'!AM12*Config!$C82</f>
        <v>850.5</v>
      </c>
      <c r="AN14" s="67">
        <f>'Charges variables'!AN12*Config!$C82</f>
        <v>453.59999999999997</v>
      </c>
      <c r="AO14" s="67">
        <f>'Charges variables'!AO12*Config!$C82</f>
        <v>283.5</v>
      </c>
      <c r="AP14" s="67">
        <f>'Charges variables'!AP12*Config!$C82</f>
        <v>340.2</v>
      </c>
      <c r="AQ14" s="67">
        <f>'Charges variables'!AQ12*Config!$C82</f>
        <v>453.59999999999997</v>
      </c>
      <c r="AR14" s="67">
        <f>'Charges variables'!AR12*Config!$C82</f>
        <v>567</v>
      </c>
      <c r="AS14" s="67">
        <f>'Charges variables'!AS12*Config!$C82</f>
        <v>680.4</v>
      </c>
      <c r="AT14" s="67">
        <f>'Charges variables'!AT12*Config!$C82</f>
        <v>453.59999999999997</v>
      </c>
      <c r="AU14" s="67">
        <f>'Charges variables'!AU12*Config!$C82</f>
        <v>340.2</v>
      </c>
      <c r="AV14" s="67">
        <f>'Charges variables'!AV12*Config!$C82</f>
        <v>680.4</v>
      </c>
      <c r="AW14" s="67">
        <f>'Charges variables'!AW12*Config!$C82</f>
        <v>510.29999999999995</v>
      </c>
      <c r="AX14" s="67">
        <f>'Charges variables'!AX12*Config!$C82</f>
        <v>510.29999999999995</v>
      </c>
      <c r="AY14" s="67">
        <f>'Charges variables'!AY12*Config!$C82</f>
        <v>1134</v>
      </c>
      <c r="AZ14" s="67">
        <f>'Charges variables'!AZ12*Config!$C82</f>
        <v>680.4</v>
      </c>
      <c r="BA14" s="67">
        <f>'Charges variables'!BA12*Config!$C82</f>
        <v>453.59999999999997</v>
      </c>
      <c r="BB14" s="67">
        <f>'Charges variables'!BB12*Config!$C82</f>
        <v>567</v>
      </c>
      <c r="BC14" s="67">
        <f>'Charges variables'!BC12*Config!$C82</f>
        <v>680.4</v>
      </c>
      <c r="BD14" s="67">
        <f>'Charges variables'!BD12*Config!$C82</f>
        <v>850.5</v>
      </c>
      <c r="BE14" s="67">
        <f>'Charges variables'!BE12*Config!$C82</f>
        <v>1020.5999999999999</v>
      </c>
      <c r="BF14" s="67">
        <f>'Charges variables'!BF12*Config!$C82</f>
        <v>680.4</v>
      </c>
      <c r="BG14" s="67">
        <f>'Charges variables'!BG12*Config!$C82</f>
        <v>567</v>
      </c>
      <c r="BH14" s="67">
        <f>'Charges variables'!BH12*Config!$C82</f>
        <v>1134</v>
      </c>
      <c r="BI14" s="67">
        <f>'Charges variables'!BI12*Config!$C82</f>
        <v>850.5</v>
      </c>
      <c r="BJ14" s="67">
        <f>'Charges variables'!BJ12*Config!$C82</f>
        <v>850.5</v>
      </c>
      <c r="BK14" s="70"/>
    </row>
    <row r="15" spans="2:63" x14ac:dyDescent="0.2">
      <c r="B15" s="46">
        <f>Config!$B$18</f>
        <v>0</v>
      </c>
      <c r="C15" s="67">
        <f>'Charges variables'!C13*Config!$C83</f>
        <v>0</v>
      </c>
      <c r="D15" s="67">
        <f>'Charges variables'!D13*Config!$C83</f>
        <v>0</v>
      </c>
      <c r="E15" s="67">
        <f>'Charges variables'!E13*Config!$C83</f>
        <v>0</v>
      </c>
      <c r="F15" s="67">
        <f>'Charges variables'!F13*Config!$C83</f>
        <v>0</v>
      </c>
      <c r="G15" s="67">
        <f>'Charges variables'!G13*Config!$C83</f>
        <v>0</v>
      </c>
      <c r="H15" s="67">
        <f>'Charges variables'!H13*Config!$C83</f>
        <v>0</v>
      </c>
      <c r="I15" s="67">
        <f>'Charges variables'!I13*Config!$C83</f>
        <v>0</v>
      </c>
      <c r="J15" s="67">
        <f>'Charges variables'!J13*Config!$C83</f>
        <v>0</v>
      </c>
      <c r="K15" s="67">
        <f>'Charges variables'!K13*Config!$C83</f>
        <v>0</v>
      </c>
      <c r="L15" s="67">
        <f>'Charges variables'!L13*Config!$C83</f>
        <v>0</v>
      </c>
      <c r="M15" s="67">
        <f>'Charges variables'!M13*Config!$C83</f>
        <v>0</v>
      </c>
      <c r="N15" s="67">
        <f>'Charges variables'!N13*Config!$C83</f>
        <v>0</v>
      </c>
      <c r="O15" s="67">
        <f>'Charges variables'!O13*Config!$C83</f>
        <v>0</v>
      </c>
      <c r="P15" s="67">
        <f>'Charges variables'!P13*Config!$C83</f>
        <v>0</v>
      </c>
      <c r="Q15" s="67">
        <f>'Charges variables'!Q13*Config!$C83</f>
        <v>0</v>
      </c>
      <c r="R15" s="67">
        <f>'Charges variables'!R13*Config!$C83</f>
        <v>0</v>
      </c>
      <c r="S15" s="67">
        <f>'Charges variables'!S13*Config!$C83</f>
        <v>0</v>
      </c>
      <c r="T15" s="67">
        <f>'Charges variables'!T13*Config!$C83</f>
        <v>0</v>
      </c>
      <c r="U15" s="67">
        <f>'Charges variables'!U13*Config!$C83</f>
        <v>0</v>
      </c>
      <c r="V15" s="67">
        <f>'Charges variables'!V13*Config!$C83</f>
        <v>0</v>
      </c>
      <c r="W15" s="67">
        <f>'Charges variables'!W13*Config!$C83</f>
        <v>0</v>
      </c>
      <c r="X15" s="67">
        <f>'Charges variables'!X13*Config!$C83</f>
        <v>0</v>
      </c>
      <c r="Y15" s="67">
        <f>'Charges variables'!Y13*Config!$C83</f>
        <v>0</v>
      </c>
      <c r="Z15" s="67">
        <f>'Charges variables'!Z13*Config!$C83</f>
        <v>0</v>
      </c>
      <c r="AA15" s="67">
        <f>'Charges variables'!AA13*Config!$C83</f>
        <v>0</v>
      </c>
      <c r="AB15" s="67">
        <f>'Charges variables'!AB13*Config!$C83</f>
        <v>0</v>
      </c>
      <c r="AC15" s="67">
        <f>'Charges variables'!AC13*Config!$C83</f>
        <v>0</v>
      </c>
      <c r="AD15" s="67">
        <f>'Charges variables'!AD13*Config!$C83</f>
        <v>0</v>
      </c>
      <c r="AE15" s="67">
        <f>'Charges variables'!AE13*Config!$C83</f>
        <v>0</v>
      </c>
      <c r="AF15" s="67">
        <f>'Charges variables'!AF13*Config!$C83</f>
        <v>0</v>
      </c>
      <c r="AG15" s="67">
        <f>'Charges variables'!AG13*Config!$C83</f>
        <v>0</v>
      </c>
      <c r="AH15" s="67">
        <f>'Charges variables'!AH13*Config!$C83</f>
        <v>0</v>
      </c>
      <c r="AI15" s="67">
        <f>'Charges variables'!AI13*Config!$C83</f>
        <v>0</v>
      </c>
      <c r="AJ15" s="67">
        <f>'Charges variables'!AJ13*Config!$C83</f>
        <v>0</v>
      </c>
      <c r="AK15" s="67">
        <f>'Charges variables'!AK13*Config!$C83</f>
        <v>0</v>
      </c>
      <c r="AL15" s="67">
        <f>'Charges variables'!AL13*Config!$C83</f>
        <v>0</v>
      </c>
      <c r="AM15" s="67">
        <f>'Charges variables'!AM13*Config!$C83</f>
        <v>0</v>
      </c>
      <c r="AN15" s="67">
        <f>'Charges variables'!AN13*Config!$C83</f>
        <v>0</v>
      </c>
      <c r="AO15" s="67">
        <f>'Charges variables'!AO13*Config!$C83</f>
        <v>0</v>
      </c>
      <c r="AP15" s="67">
        <f>'Charges variables'!AP13*Config!$C83</f>
        <v>0</v>
      </c>
      <c r="AQ15" s="67">
        <f>'Charges variables'!AQ13*Config!$C83</f>
        <v>0</v>
      </c>
      <c r="AR15" s="67">
        <f>'Charges variables'!AR13*Config!$C83</f>
        <v>0</v>
      </c>
      <c r="AS15" s="67">
        <f>'Charges variables'!AS13*Config!$C83</f>
        <v>0</v>
      </c>
      <c r="AT15" s="67">
        <f>'Charges variables'!AT13*Config!$C83</f>
        <v>0</v>
      </c>
      <c r="AU15" s="67">
        <f>'Charges variables'!AU13*Config!$C83</f>
        <v>0</v>
      </c>
      <c r="AV15" s="67">
        <f>'Charges variables'!AV13*Config!$C83</f>
        <v>0</v>
      </c>
      <c r="AW15" s="67">
        <f>'Charges variables'!AW13*Config!$C83</f>
        <v>0</v>
      </c>
      <c r="AX15" s="67">
        <f>'Charges variables'!AX13*Config!$C83</f>
        <v>0</v>
      </c>
      <c r="AY15" s="67">
        <f>'Charges variables'!AY13*Config!$C83</f>
        <v>0</v>
      </c>
      <c r="AZ15" s="67">
        <f>'Charges variables'!AZ13*Config!$C83</f>
        <v>0</v>
      </c>
      <c r="BA15" s="67">
        <f>'Charges variables'!BA13*Config!$C83</f>
        <v>0</v>
      </c>
      <c r="BB15" s="67">
        <f>'Charges variables'!BB13*Config!$C83</f>
        <v>0</v>
      </c>
      <c r="BC15" s="67">
        <f>'Charges variables'!BC13*Config!$C83</f>
        <v>0</v>
      </c>
      <c r="BD15" s="67">
        <f>'Charges variables'!BD13*Config!$C83</f>
        <v>0</v>
      </c>
      <c r="BE15" s="67">
        <f>'Charges variables'!BE13*Config!$C83</f>
        <v>0</v>
      </c>
      <c r="BF15" s="67">
        <f>'Charges variables'!BF13*Config!$C83</f>
        <v>0</v>
      </c>
      <c r="BG15" s="67">
        <f>'Charges variables'!BG13*Config!$C83</f>
        <v>0</v>
      </c>
      <c r="BH15" s="67">
        <f>'Charges variables'!BH13*Config!$C83</f>
        <v>0</v>
      </c>
      <c r="BI15" s="67">
        <f>'Charges variables'!BI13*Config!$C83</f>
        <v>0</v>
      </c>
      <c r="BJ15" s="67">
        <f>'Charges variables'!BJ13*Config!$C83</f>
        <v>0</v>
      </c>
      <c r="BK15" s="70"/>
    </row>
    <row r="16" spans="2:63" x14ac:dyDescent="0.2">
      <c r="B16" s="46">
        <f>Config!$B$19</f>
        <v>0</v>
      </c>
      <c r="C16" s="67">
        <f>'Charges variables'!C14*Config!$C84</f>
        <v>0</v>
      </c>
      <c r="D16" s="67">
        <f>'Charges variables'!D14*Config!$C84</f>
        <v>0</v>
      </c>
      <c r="E16" s="67">
        <f>'Charges variables'!E14*Config!$C84</f>
        <v>0</v>
      </c>
      <c r="F16" s="67">
        <f>'Charges variables'!F14*Config!$C84</f>
        <v>0</v>
      </c>
      <c r="G16" s="67">
        <f>'Charges variables'!G14*Config!$C84</f>
        <v>0</v>
      </c>
      <c r="H16" s="67">
        <f>'Charges variables'!H14*Config!$C84</f>
        <v>0</v>
      </c>
      <c r="I16" s="67">
        <f>'Charges variables'!I14*Config!$C84</f>
        <v>0</v>
      </c>
      <c r="J16" s="67">
        <f>'Charges variables'!J14*Config!$C84</f>
        <v>0</v>
      </c>
      <c r="K16" s="67">
        <f>'Charges variables'!K14*Config!$C84</f>
        <v>0</v>
      </c>
      <c r="L16" s="67">
        <f>'Charges variables'!L14*Config!$C84</f>
        <v>0</v>
      </c>
      <c r="M16" s="67">
        <f>'Charges variables'!M14*Config!$C84</f>
        <v>0</v>
      </c>
      <c r="N16" s="67">
        <f>'Charges variables'!N14*Config!$C84</f>
        <v>0</v>
      </c>
      <c r="O16" s="67">
        <f>'Charges variables'!O14*Config!$C84</f>
        <v>0</v>
      </c>
      <c r="P16" s="67">
        <f>'Charges variables'!P14*Config!$C84</f>
        <v>0</v>
      </c>
      <c r="Q16" s="67">
        <f>'Charges variables'!Q14*Config!$C84</f>
        <v>0</v>
      </c>
      <c r="R16" s="67">
        <f>'Charges variables'!R14*Config!$C84</f>
        <v>0</v>
      </c>
      <c r="S16" s="67">
        <f>'Charges variables'!S14*Config!$C84</f>
        <v>0</v>
      </c>
      <c r="T16" s="67">
        <f>'Charges variables'!T14*Config!$C84</f>
        <v>0</v>
      </c>
      <c r="U16" s="67">
        <f>'Charges variables'!U14*Config!$C84</f>
        <v>0</v>
      </c>
      <c r="V16" s="67">
        <f>'Charges variables'!V14*Config!$C84</f>
        <v>0</v>
      </c>
      <c r="W16" s="67">
        <f>'Charges variables'!W14*Config!$C84</f>
        <v>0</v>
      </c>
      <c r="X16" s="67">
        <f>'Charges variables'!X14*Config!$C84</f>
        <v>0</v>
      </c>
      <c r="Y16" s="67">
        <f>'Charges variables'!Y14*Config!$C84</f>
        <v>0</v>
      </c>
      <c r="Z16" s="67">
        <f>'Charges variables'!Z14*Config!$C84</f>
        <v>0</v>
      </c>
      <c r="AA16" s="67">
        <f>'Charges variables'!AA14*Config!$C84</f>
        <v>0</v>
      </c>
      <c r="AB16" s="67">
        <f>'Charges variables'!AB14*Config!$C84</f>
        <v>0</v>
      </c>
      <c r="AC16" s="67">
        <f>'Charges variables'!AC14*Config!$C84</f>
        <v>0</v>
      </c>
      <c r="AD16" s="67">
        <f>'Charges variables'!AD14*Config!$C84</f>
        <v>0</v>
      </c>
      <c r="AE16" s="67">
        <f>'Charges variables'!AE14*Config!$C84</f>
        <v>0</v>
      </c>
      <c r="AF16" s="67">
        <f>'Charges variables'!AF14*Config!$C84</f>
        <v>0</v>
      </c>
      <c r="AG16" s="67">
        <f>'Charges variables'!AG14*Config!$C84</f>
        <v>0</v>
      </c>
      <c r="AH16" s="67">
        <f>'Charges variables'!AH14*Config!$C84</f>
        <v>0</v>
      </c>
      <c r="AI16" s="67">
        <f>'Charges variables'!AI14*Config!$C84</f>
        <v>0</v>
      </c>
      <c r="AJ16" s="67">
        <f>'Charges variables'!AJ14*Config!$C84</f>
        <v>0</v>
      </c>
      <c r="AK16" s="67">
        <f>'Charges variables'!AK14*Config!$C84</f>
        <v>0</v>
      </c>
      <c r="AL16" s="67">
        <f>'Charges variables'!AL14*Config!$C84</f>
        <v>0</v>
      </c>
      <c r="AM16" s="67">
        <f>'Charges variables'!AM14*Config!$C84</f>
        <v>0</v>
      </c>
      <c r="AN16" s="67">
        <f>'Charges variables'!AN14*Config!$C84</f>
        <v>0</v>
      </c>
      <c r="AO16" s="67">
        <f>'Charges variables'!AO14*Config!$C84</f>
        <v>0</v>
      </c>
      <c r="AP16" s="67">
        <f>'Charges variables'!AP14*Config!$C84</f>
        <v>0</v>
      </c>
      <c r="AQ16" s="67">
        <f>'Charges variables'!AQ14*Config!$C84</f>
        <v>0</v>
      </c>
      <c r="AR16" s="67">
        <f>'Charges variables'!AR14*Config!$C84</f>
        <v>0</v>
      </c>
      <c r="AS16" s="67">
        <f>'Charges variables'!AS14*Config!$C84</f>
        <v>0</v>
      </c>
      <c r="AT16" s="67">
        <f>'Charges variables'!AT14*Config!$C84</f>
        <v>0</v>
      </c>
      <c r="AU16" s="67">
        <f>'Charges variables'!AU14*Config!$C84</f>
        <v>0</v>
      </c>
      <c r="AV16" s="67">
        <f>'Charges variables'!AV14*Config!$C84</f>
        <v>0</v>
      </c>
      <c r="AW16" s="67">
        <f>'Charges variables'!AW14*Config!$C84</f>
        <v>0</v>
      </c>
      <c r="AX16" s="67">
        <f>'Charges variables'!AX14*Config!$C84</f>
        <v>0</v>
      </c>
      <c r="AY16" s="67">
        <f>'Charges variables'!AY14*Config!$C84</f>
        <v>0</v>
      </c>
      <c r="AZ16" s="67">
        <f>'Charges variables'!AZ14*Config!$C84</f>
        <v>0</v>
      </c>
      <c r="BA16" s="67">
        <f>'Charges variables'!BA14*Config!$C84</f>
        <v>0</v>
      </c>
      <c r="BB16" s="67">
        <f>'Charges variables'!BB14*Config!$C84</f>
        <v>0</v>
      </c>
      <c r="BC16" s="67">
        <f>'Charges variables'!BC14*Config!$C84</f>
        <v>0</v>
      </c>
      <c r="BD16" s="67">
        <f>'Charges variables'!BD14*Config!$C84</f>
        <v>0</v>
      </c>
      <c r="BE16" s="67">
        <f>'Charges variables'!BE14*Config!$C84</f>
        <v>0</v>
      </c>
      <c r="BF16" s="67">
        <f>'Charges variables'!BF14*Config!$C84</f>
        <v>0</v>
      </c>
      <c r="BG16" s="67">
        <f>'Charges variables'!BG14*Config!$C84</f>
        <v>0</v>
      </c>
      <c r="BH16" s="67">
        <f>'Charges variables'!BH14*Config!$C84</f>
        <v>0</v>
      </c>
      <c r="BI16" s="67">
        <f>'Charges variables'!BI14*Config!$C84</f>
        <v>0</v>
      </c>
      <c r="BJ16" s="67">
        <f>'Charges variables'!BJ14*Config!$C84</f>
        <v>0</v>
      </c>
      <c r="BK16" s="70"/>
    </row>
    <row r="17" spans="2:63" x14ac:dyDescent="0.2">
      <c r="B17" s="46">
        <f>Config!$B$20</f>
        <v>0</v>
      </c>
      <c r="C17" s="67">
        <f>'Charges variables'!C15*Config!$C85</f>
        <v>0</v>
      </c>
      <c r="D17" s="67">
        <f>'Charges variables'!D15*Config!$C85</f>
        <v>0</v>
      </c>
      <c r="E17" s="67">
        <f>'Charges variables'!E15*Config!$C85</f>
        <v>0</v>
      </c>
      <c r="F17" s="67">
        <f>'Charges variables'!F15*Config!$C85</f>
        <v>0</v>
      </c>
      <c r="G17" s="67">
        <f>'Charges variables'!G15*Config!$C85</f>
        <v>0</v>
      </c>
      <c r="H17" s="67">
        <f>'Charges variables'!H15*Config!$C85</f>
        <v>0</v>
      </c>
      <c r="I17" s="67">
        <f>'Charges variables'!I15*Config!$C85</f>
        <v>0</v>
      </c>
      <c r="J17" s="67">
        <f>'Charges variables'!J15*Config!$C85</f>
        <v>0</v>
      </c>
      <c r="K17" s="67">
        <f>'Charges variables'!K15*Config!$C85</f>
        <v>0</v>
      </c>
      <c r="L17" s="67">
        <f>'Charges variables'!L15*Config!$C85</f>
        <v>0</v>
      </c>
      <c r="M17" s="67">
        <f>'Charges variables'!M15*Config!$C85</f>
        <v>0</v>
      </c>
      <c r="N17" s="67">
        <f>'Charges variables'!N15*Config!$C85</f>
        <v>0</v>
      </c>
      <c r="O17" s="67">
        <f>'Charges variables'!O15*Config!$C85</f>
        <v>0</v>
      </c>
      <c r="P17" s="67">
        <f>'Charges variables'!P15*Config!$C85</f>
        <v>0</v>
      </c>
      <c r="Q17" s="67">
        <f>'Charges variables'!Q15*Config!$C85</f>
        <v>0</v>
      </c>
      <c r="R17" s="67">
        <f>'Charges variables'!R15*Config!$C85</f>
        <v>0</v>
      </c>
      <c r="S17" s="67">
        <f>'Charges variables'!S15*Config!$C85</f>
        <v>0</v>
      </c>
      <c r="T17" s="67">
        <f>'Charges variables'!T15*Config!$C85</f>
        <v>0</v>
      </c>
      <c r="U17" s="67">
        <f>'Charges variables'!U15*Config!$C85</f>
        <v>0</v>
      </c>
      <c r="V17" s="67">
        <f>'Charges variables'!V15*Config!$C85</f>
        <v>0</v>
      </c>
      <c r="W17" s="67">
        <f>'Charges variables'!W15*Config!$C85</f>
        <v>0</v>
      </c>
      <c r="X17" s="67">
        <f>'Charges variables'!X15*Config!$C85</f>
        <v>0</v>
      </c>
      <c r="Y17" s="67">
        <f>'Charges variables'!Y15*Config!$C85</f>
        <v>0</v>
      </c>
      <c r="Z17" s="67">
        <f>'Charges variables'!Z15*Config!$C85</f>
        <v>0</v>
      </c>
      <c r="AA17" s="67">
        <f>'Charges variables'!AA15*Config!$C85</f>
        <v>0</v>
      </c>
      <c r="AB17" s="67">
        <f>'Charges variables'!AB15*Config!$C85</f>
        <v>0</v>
      </c>
      <c r="AC17" s="67">
        <f>'Charges variables'!AC15*Config!$C85</f>
        <v>0</v>
      </c>
      <c r="AD17" s="67">
        <f>'Charges variables'!AD15*Config!$C85</f>
        <v>0</v>
      </c>
      <c r="AE17" s="67">
        <f>'Charges variables'!AE15*Config!$C85</f>
        <v>0</v>
      </c>
      <c r="AF17" s="67">
        <f>'Charges variables'!AF15*Config!$C85</f>
        <v>0</v>
      </c>
      <c r="AG17" s="67">
        <f>'Charges variables'!AG15*Config!$C85</f>
        <v>0</v>
      </c>
      <c r="AH17" s="67">
        <f>'Charges variables'!AH15*Config!$C85</f>
        <v>0</v>
      </c>
      <c r="AI17" s="67">
        <f>'Charges variables'!AI15*Config!$C85</f>
        <v>0</v>
      </c>
      <c r="AJ17" s="67">
        <f>'Charges variables'!AJ15*Config!$C85</f>
        <v>0</v>
      </c>
      <c r="AK17" s="67">
        <f>'Charges variables'!AK15*Config!$C85</f>
        <v>0</v>
      </c>
      <c r="AL17" s="67">
        <f>'Charges variables'!AL15*Config!$C85</f>
        <v>0</v>
      </c>
      <c r="AM17" s="67">
        <f>'Charges variables'!AM15*Config!$C85</f>
        <v>0</v>
      </c>
      <c r="AN17" s="67">
        <f>'Charges variables'!AN15*Config!$C85</f>
        <v>0</v>
      </c>
      <c r="AO17" s="67">
        <f>'Charges variables'!AO15*Config!$C85</f>
        <v>0</v>
      </c>
      <c r="AP17" s="67">
        <f>'Charges variables'!AP15*Config!$C85</f>
        <v>0</v>
      </c>
      <c r="AQ17" s="67">
        <f>'Charges variables'!AQ15*Config!$C85</f>
        <v>0</v>
      </c>
      <c r="AR17" s="67">
        <f>'Charges variables'!AR15*Config!$C85</f>
        <v>0</v>
      </c>
      <c r="AS17" s="67">
        <f>'Charges variables'!AS15*Config!$C85</f>
        <v>0</v>
      </c>
      <c r="AT17" s="67">
        <f>'Charges variables'!AT15*Config!$C85</f>
        <v>0</v>
      </c>
      <c r="AU17" s="67">
        <f>'Charges variables'!AU15*Config!$C85</f>
        <v>0</v>
      </c>
      <c r="AV17" s="67">
        <f>'Charges variables'!AV15*Config!$C85</f>
        <v>0</v>
      </c>
      <c r="AW17" s="67">
        <f>'Charges variables'!AW15*Config!$C85</f>
        <v>0</v>
      </c>
      <c r="AX17" s="67">
        <f>'Charges variables'!AX15*Config!$C85</f>
        <v>0</v>
      </c>
      <c r="AY17" s="67">
        <f>'Charges variables'!AY15*Config!$C85</f>
        <v>0</v>
      </c>
      <c r="AZ17" s="67">
        <f>'Charges variables'!AZ15*Config!$C85</f>
        <v>0</v>
      </c>
      <c r="BA17" s="67">
        <f>'Charges variables'!BA15*Config!$C85</f>
        <v>0</v>
      </c>
      <c r="BB17" s="67">
        <f>'Charges variables'!BB15*Config!$C85</f>
        <v>0</v>
      </c>
      <c r="BC17" s="67">
        <f>'Charges variables'!BC15*Config!$C85</f>
        <v>0</v>
      </c>
      <c r="BD17" s="67">
        <f>'Charges variables'!BD15*Config!$C85</f>
        <v>0</v>
      </c>
      <c r="BE17" s="67">
        <f>'Charges variables'!BE15*Config!$C85</f>
        <v>0</v>
      </c>
      <c r="BF17" s="67">
        <f>'Charges variables'!BF15*Config!$C85</f>
        <v>0</v>
      </c>
      <c r="BG17" s="67">
        <f>'Charges variables'!BG15*Config!$C85</f>
        <v>0</v>
      </c>
      <c r="BH17" s="67">
        <f>'Charges variables'!BH15*Config!$C85</f>
        <v>0</v>
      </c>
      <c r="BI17" s="67">
        <f>'Charges variables'!BI15*Config!$C85</f>
        <v>0</v>
      </c>
      <c r="BJ17" s="67">
        <f>'Charges variables'!BJ15*Config!$C85</f>
        <v>0</v>
      </c>
      <c r="BK17" s="70"/>
    </row>
    <row r="18" spans="2:63" x14ac:dyDescent="0.2">
      <c r="B18" s="46">
        <f>Config!$B$21</f>
        <v>0</v>
      </c>
      <c r="C18" s="67">
        <f>'Charges variables'!C16*Config!$C86</f>
        <v>0</v>
      </c>
      <c r="D18" s="67">
        <f>'Charges variables'!D16*Config!$C86</f>
        <v>0</v>
      </c>
      <c r="E18" s="67">
        <f>'Charges variables'!E16*Config!$C86</f>
        <v>0</v>
      </c>
      <c r="F18" s="67">
        <f>'Charges variables'!F16*Config!$C86</f>
        <v>0</v>
      </c>
      <c r="G18" s="67">
        <f>'Charges variables'!G16*Config!$C86</f>
        <v>0</v>
      </c>
      <c r="H18" s="67">
        <f>'Charges variables'!H16*Config!$C86</f>
        <v>0</v>
      </c>
      <c r="I18" s="67">
        <f>'Charges variables'!I16*Config!$C86</f>
        <v>0</v>
      </c>
      <c r="J18" s="67">
        <f>'Charges variables'!J16*Config!$C86</f>
        <v>0</v>
      </c>
      <c r="K18" s="67">
        <f>'Charges variables'!K16*Config!$C86</f>
        <v>0</v>
      </c>
      <c r="L18" s="67">
        <f>'Charges variables'!L16*Config!$C86</f>
        <v>0</v>
      </c>
      <c r="M18" s="67">
        <f>'Charges variables'!M16*Config!$C86</f>
        <v>0</v>
      </c>
      <c r="N18" s="67">
        <f>'Charges variables'!N16*Config!$C86</f>
        <v>0</v>
      </c>
      <c r="O18" s="67">
        <f>'Charges variables'!O16*Config!$C86</f>
        <v>0</v>
      </c>
      <c r="P18" s="67">
        <f>'Charges variables'!P16*Config!$C86</f>
        <v>0</v>
      </c>
      <c r="Q18" s="67">
        <f>'Charges variables'!Q16*Config!$C86</f>
        <v>0</v>
      </c>
      <c r="R18" s="67">
        <f>'Charges variables'!R16*Config!$C86</f>
        <v>0</v>
      </c>
      <c r="S18" s="67">
        <f>'Charges variables'!S16*Config!$C86</f>
        <v>0</v>
      </c>
      <c r="T18" s="67">
        <f>'Charges variables'!T16*Config!$C86</f>
        <v>0</v>
      </c>
      <c r="U18" s="67">
        <f>'Charges variables'!U16*Config!$C86</f>
        <v>0</v>
      </c>
      <c r="V18" s="67">
        <f>'Charges variables'!V16*Config!$C86</f>
        <v>0</v>
      </c>
      <c r="W18" s="67">
        <f>'Charges variables'!W16*Config!$C86</f>
        <v>0</v>
      </c>
      <c r="X18" s="67">
        <f>'Charges variables'!X16*Config!$C86</f>
        <v>0</v>
      </c>
      <c r="Y18" s="67">
        <f>'Charges variables'!Y16*Config!$C86</f>
        <v>0</v>
      </c>
      <c r="Z18" s="67">
        <f>'Charges variables'!Z16*Config!$C86</f>
        <v>0</v>
      </c>
      <c r="AA18" s="67">
        <f>'Charges variables'!AA16*Config!$C86</f>
        <v>0</v>
      </c>
      <c r="AB18" s="67">
        <f>'Charges variables'!AB16*Config!$C86</f>
        <v>0</v>
      </c>
      <c r="AC18" s="67">
        <f>'Charges variables'!AC16*Config!$C86</f>
        <v>0</v>
      </c>
      <c r="AD18" s="67">
        <f>'Charges variables'!AD16*Config!$C86</f>
        <v>0</v>
      </c>
      <c r="AE18" s="67">
        <f>'Charges variables'!AE16*Config!$C86</f>
        <v>0</v>
      </c>
      <c r="AF18" s="67">
        <f>'Charges variables'!AF16*Config!$C86</f>
        <v>0</v>
      </c>
      <c r="AG18" s="67">
        <f>'Charges variables'!AG16*Config!$C86</f>
        <v>0</v>
      </c>
      <c r="AH18" s="67">
        <f>'Charges variables'!AH16*Config!$C86</f>
        <v>0</v>
      </c>
      <c r="AI18" s="67">
        <f>'Charges variables'!AI16*Config!$C86</f>
        <v>0</v>
      </c>
      <c r="AJ18" s="67">
        <f>'Charges variables'!AJ16*Config!$C86</f>
        <v>0</v>
      </c>
      <c r="AK18" s="67">
        <f>'Charges variables'!AK16*Config!$C86</f>
        <v>0</v>
      </c>
      <c r="AL18" s="67">
        <f>'Charges variables'!AL16*Config!$C86</f>
        <v>0</v>
      </c>
      <c r="AM18" s="67">
        <f>'Charges variables'!AM16*Config!$C86</f>
        <v>0</v>
      </c>
      <c r="AN18" s="67">
        <f>'Charges variables'!AN16*Config!$C86</f>
        <v>0</v>
      </c>
      <c r="AO18" s="67">
        <f>'Charges variables'!AO16*Config!$C86</f>
        <v>0</v>
      </c>
      <c r="AP18" s="67">
        <f>'Charges variables'!AP16*Config!$C86</f>
        <v>0</v>
      </c>
      <c r="AQ18" s="67">
        <f>'Charges variables'!AQ16*Config!$C86</f>
        <v>0</v>
      </c>
      <c r="AR18" s="67">
        <f>'Charges variables'!AR16*Config!$C86</f>
        <v>0</v>
      </c>
      <c r="AS18" s="67">
        <f>'Charges variables'!AS16*Config!$C86</f>
        <v>0</v>
      </c>
      <c r="AT18" s="67">
        <f>'Charges variables'!AT16*Config!$C86</f>
        <v>0</v>
      </c>
      <c r="AU18" s="67">
        <f>'Charges variables'!AU16*Config!$C86</f>
        <v>0</v>
      </c>
      <c r="AV18" s="67">
        <f>'Charges variables'!AV16*Config!$C86</f>
        <v>0</v>
      </c>
      <c r="AW18" s="67">
        <f>'Charges variables'!AW16*Config!$C86</f>
        <v>0</v>
      </c>
      <c r="AX18" s="67">
        <f>'Charges variables'!AX16*Config!$C86</f>
        <v>0</v>
      </c>
      <c r="AY18" s="67">
        <f>'Charges variables'!AY16*Config!$C86</f>
        <v>0</v>
      </c>
      <c r="AZ18" s="67">
        <f>'Charges variables'!AZ16*Config!$C86</f>
        <v>0</v>
      </c>
      <c r="BA18" s="67">
        <f>'Charges variables'!BA16*Config!$C86</f>
        <v>0</v>
      </c>
      <c r="BB18" s="67">
        <f>'Charges variables'!BB16*Config!$C86</f>
        <v>0</v>
      </c>
      <c r="BC18" s="67">
        <f>'Charges variables'!BC16*Config!$C86</f>
        <v>0</v>
      </c>
      <c r="BD18" s="67">
        <f>'Charges variables'!BD16*Config!$C86</f>
        <v>0</v>
      </c>
      <c r="BE18" s="67">
        <f>'Charges variables'!BE16*Config!$C86</f>
        <v>0</v>
      </c>
      <c r="BF18" s="67">
        <f>'Charges variables'!BF16*Config!$C86</f>
        <v>0</v>
      </c>
      <c r="BG18" s="67">
        <f>'Charges variables'!BG16*Config!$C86</f>
        <v>0</v>
      </c>
      <c r="BH18" s="67">
        <f>'Charges variables'!BH16*Config!$C86</f>
        <v>0</v>
      </c>
      <c r="BI18" s="67">
        <f>'Charges variables'!BI16*Config!$C86</f>
        <v>0</v>
      </c>
      <c r="BJ18" s="67">
        <f>'Charges variables'!BJ16*Config!$C86</f>
        <v>0</v>
      </c>
      <c r="BK18" s="70"/>
    </row>
    <row r="19" spans="2:63" x14ac:dyDescent="0.2">
      <c r="B19" s="46">
        <f>Config!$B$22</f>
        <v>0</v>
      </c>
      <c r="C19" s="67">
        <f>'Charges variables'!C17*Config!$C87</f>
        <v>0</v>
      </c>
      <c r="D19" s="67">
        <f>'Charges variables'!D17*Config!$C87</f>
        <v>0</v>
      </c>
      <c r="E19" s="67">
        <f>'Charges variables'!E17*Config!$C87</f>
        <v>0</v>
      </c>
      <c r="F19" s="67">
        <f>'Charges variables'!F17*Config!$C87</f>
        <v>0</v>
      </c>
      <c r="G19" s="67">
        <f>'Charges variables'!G17*Config!$C87</f>
        <v>0</v>
      </c>
      <c r="H19" s="67">
        <f>'Charges variables'!H17*Config!$C87</f>
        <v>0</v>
      </c>
      <c r="I19" s="67">
        <f>'Charges variables'!I17*Config!$C87</f>
        <v>0</v>
      </c>
      <c r="J19" s="67">
        <f>'Charges variables'!J17*Config!$C87</f>
        <v>0</v>
      </c>
      <c r="K19" s="67">
        <f>'Charges variables'!K17*Config!$C87</f>
        <v>0</v>
      </c>
      <c r="L19" s="67">
        <f>'Charges variables'!L17*Config!$C87</f>
        <v>0</v>
      </c>
      <c r="M19" s="67">
        <f>'Charges variables'!M17*Config!$C87</f>
        <v>0</v>
      </c>
      <c r="N19" s="67">
        <f>'Charges variables'!N17*Config!$C87</f>
        <v>0</v>
      </c>
      <c r="O19" s="67">
        <f>'Charges variables'!O17*Config!$C87</f>
        <v>0</v>
      </c>
      <c r="P19" s="67">
        <f>'Charges variables'!P17*Config!$C87</f>
        <v>0</v>
      </c>
      <c r="Q19" s="67">
        <f>'Charges variables'!Q17*Config!$C87</f>
        <v>0</v>
      </c>
      <c r="R19" s="67">
        <f>'Charges variables'!R17*Config!$C87</f>
        <v>0</v>
      </c>
      <c r="S19" s="67">
        <f>'Charges variables'!S17*Config!$C87</f>
        <v>0</v>
      </c>
      <c r="T19" s="67">
        <f>'Charges variables'!T17*Config!$C87</f>
        <v>0</v>
      </c>
      <c r="U19" s="67">
        <f>'Charges variables'!U17*Config!$C87</f>
        <v>0</v>
      </c>
      <c r="V19" s="67">
        <f>'Charges variables'!V17*Config!$C87</f>
        <v>0</v>
      </c>
      <c r="W19" s="67">
        <f>'Charges variables'!W17*Config!$C87</f>
        <v>0</v>
      </c>
      <c r="X19" s="67">
        <f>'Charges variables'!X17*Config!$C87</f>
        <v>0</v>
      </c>
      <c r="Y19" s="67">
        <f>'Charges variables'!Y17*Config!$C87</f>
        <v>0</v>
      </c>
      <c r="Z19" s="67">
        <f>'Charges variables'!Z17*Config!$C87</f>
        <v>0</v>
      </c>
      <c r="AA19" s="67">
        <f>'Charges variables'!AA17*Config!$C87</f>
        <v>0</v>
      </c>
      <c r="AB19" s="67">
        <f>'Charges variables'!AB17*Config!$C87</f>
        <v>0</v>
      </c>
      <c r="AC19" s="67">
        <f>'Charges variables'!AC17*Config!$C87</f>
        <v>0</v>
      </c>
      <c r="AD19" s="67">
        <f>'Charges variables'!AD17*Config!$C87</f>
        <v>0</v>
      </c>
      <c r="AE19" s="67">
        <f>'Charges variables'!AE17*Config!$C87</f>
        <v>0</v>
      </c>
      <c r="AF19" s="67">
        <f>'Charges variables'!AF17*Config!$C87</f>
        <v>0</v>
      </c>
      <c r="AG19" s="67">
        <f>'Charges variables'!AG17*Config!$C87</f>
        <v>0</v>
      </c>
      <c r="AH19" s="67">
        <f>'Charges variables'!AH17*Config!$C87</f>
        <v>0</v>
      </c>
      <c r="AI19" s="67">
        <f>'Charges variables'!AI17*Config!$C87</f>
        <v>0</v>
      </c>
      <c r="AJ19" s="67">
        <f>'Charges variables'!AJ17*Config!$C87</f>
        <v>0</v>
      </c>
      <c r="AK19" s="67">
        <f>'Charges variables'!AK17*Config!$C87</f>
        <v>0</v>
      </c>
      <c r="AL19" s="67">
        <f>'Charges variables'!AL17*Config!$C87</f>
        <v>0</v>
      </c>
      <c r="AM19" s="67">
        <f>'Charges variables'!AM17*Config!$C87</f>
        <v>0</v>
      </c>
      <c r="AN19" s="67">
        <f>'Charges variables'!AN17*Config!$C87</f>
        <v>0</v>
      </c>
      <c r="AO19" s="67">
        <f>'Charges variables'!AO17*Config!$C87</f>
        <v>0</v>
      </c>
      <c r="AP19" s="67">
        <f>'Charges variables'!AP17*Config!$C87</f>
        <v>0</v>
      </c>
      <c r="AQ19" s="67">
        <f>'Charges variables'!AQ17*Config!$C87</f>
        <v>0</v>
      </c>
      <c r="AR19" s="67">
        <f>'Charges variables'!AR17*Config!$C87</f>
        <v>0</v>
      </c>
      <c r="AS19" s="67">
        <f>'Charges variables'!AS17*Config!$C87</f>
        <v>0</v>
      </c>
      <c r="AT19" s="67">
        <f>'Charges variables'!AT17*Config!$C87</f>
        <v>0</v>
      </c>
      <c r="AU19" s="67">
        <f>'Charges variables'!AU17*Config!$C87</f>
        <v>0</v>
      </c>
      <c r="AV19" s="67">
        <f>'Charges variables'!AV17*Config!$C87</f>
        <v>0</v>
      </c>
      <c r="AW19" s="67">
        <f>'Charges variables'!AW17*Config!$C87</f>
        <v>0</v>
      </c>
      <c r="AX19" s="67">
        <f>'Charges variables'!AX17*Config!$C87</f>
        <v>0</v>
      </c>
      <c r="AY19" s="67">
        <f>'Charges variables'!AY17*Config!$C87</f>
        <v>0</v>
      </c>
      <c r="AZ19" s="67">
        <f>'Charges variables'!AZ17*Config!$C87</f>
        <v>0</v>
      </c>
      <c r="BA19" s="67">
        <f>'Charges variables'!BA17*Config!$C87</f>
        <v>0</v>
      </c>
      <c r="BB19" s="67">
        <f>'Charges variables'!BB17*Config!$C87</f>
        <v>0</v>
      </c>
      <c r="BC19" s="67">
        <f>'Charges variables'!BC17*Config!$C87</f>
        <v>0</v>
      </c>
      <c r="BD19" s="67">
        <f>'Charges variables'!BD17*Config!$C87</f>
        <v>0</v>
      </c>
      <c r="BE19" s="67">
        <f>'Charges variables'!BE17*Config!$C87</f>
        <v>0</v>
      </c>
      <c r="BF19" s="67">
        <f>'Charges variables'!BF17*Config!$C87</f>
        <v>0</v>
      </c>
      <c r="BG19" s="67">
        <f>'Charges variables'!BG17*Config!$C87</f>
        <v>0</v>
      </c>
      <c r="BH19" s="67">
        <f>'Charges variables'!BH17*Config!$C87</f>
        <v>0</v>
      </c>
      <c r="BI19" s="67">
        <f>'Charges variables'!BI17*Config!$C87</f>
        <v>0</v>
      </c>
      <c r="BJ19" s="67">
        <f>'Charges variables'!BJ17*Config!$C87</f>
        <v>0</v>
      </c>
      <c r="BK19" s="70"/>
    </row>
    <row r="20" spans="2:63" x14ac:dyDescent="0.2">
      <c r="B20" s="46">
        <f>Config!$B$23</f>
        <v>0</v>
      </c>
      <c r="C20" s="67">
        <f>'Charges variables'!C18*Config!$C88</f>
        <v>0</v>
      </c>
      <c r="D20" s="67">
        <f>'Charges variables'!D18*Config!$C88</f>
        <v>0</v>
      </c>
      <c r="E20" s="67">
        <f>'Charges variables'!E18*Config!$C88</f>
        <v>0</v>
      </c>
      <c r="F20" s="67">
        <f>'Charges variables'!F18*Config!$C88</f>
        <v>0</v>
      </c>
      <c r="G20" s="67">
        <f>'Charges variables'!G18*Config!$C88</f>
        <v>0</v>
      </c>
      <c r="H20" s="67">
        <f>'Charges variables'!H18*Config!$C88</f>
        <v>0</v>
      </c>
      <c r="I20" s="67">
        <f>'Charges variables'!I18*Config!$C88</f>
        <v>0</v>
      </c>
      <c r="J20" s="67">
        <f>'Charges variables'!J18*Config!$C88</f>
        <v>0</v>
      </c>
      <c r="K20" s="67">
        <f>'Charges variables'!K18*Config!$C88</f>
        <v>0</v>
      </c>
      <c r="L20" s="67">
        <f>'Charges variables'!L18*Config!$C88</f>
        <v>0</v>
      </c>
      <c r="M20" s="67">
        <f>'Charges variables'!M18*Config!$C88</f>
        <v>0</v>
      </c>
      <c r="N20" s="67">
        <f>'Charges variables'!N18*Config!$C88</f>
        <v>0</v>
      </c>
      <c r="O20" s="67">
        <f>'Charges variables'!O18*Config!$C88</f>
        <v>0</v>
      </c>
      <c r="P20" s="67">
        <f>'Charges variables'!P18*Config!$C88</f>
        <v>0</v>
      </c>
      <c r="Q20" s="67">
        <f>'Charges variables'!Q18*Config!$C88</f>
        <v>0</v>
      </c>
      <c r="R20" s="67">
        <f>'Charges variables'!R18*Config!$C88</f>
        <v>0</v>
      </c>
      <c r="S20" s="67">
        <f>'Charges variables'!S18*Config!$C88</f>
        <v>0</v>
      </c>
      <c r="T20" s="67">
        <f>'Charges variables'!T18*Config!$C88</f>
        <v>0</v>
      </c>
      <c r="U20" s="67">
        <f>'Charges variables'!U18*Config!$C88</f>
        <v>0</v>
      </c>
      <c r="V20" s="67">
        <f>'Charges variables'!V18*Config!$C88</f>
        <v>0</v>
      </c>
      <c r="W20" s="67">
        <f>'Charges variables'!W18*Config!$C88</f>
        <v>0</v>
      </c>
      <c r="X20" s="67">
        <f>'Charges variables'!X18*Config!$C88</f>
        <v>0</v>
      </c>
      <c r="Y20" s="67">
        <f>'Charges variables'!Y18*Config!$C88</f>
        <v>0</v>
      </c>
      <c r="Z20" s="67">
        <f>'Charges variables'!Z18*Config!$C88</f>
        <v>0</v>
      </c>
      <c r="AA20" s="67">
        <f>'Charges variables'!AA18*Config!$C88</f>
        <v>0</v>
      </c>
      <c r="AB20" s="67">
        <f>'Charges variables'!AB18*Config!$C88</f>
        <v>0</v>
      </c>
      <c r="AC20" s="67">
        <f>'Charges variables'!AC18*Config!$C88</f>
        <v>0</v>
      </c>
      <c r="AD20" s="67">
        <f>'Charges variables'!AD18*Config!$C88</f>
        <v>0</v>
      </c>
      <c r="AE20" s="67">
        <f>'Charges variables'!AE18*Config!$C88</f>
        <v>0</v>
      </c>
      <c r="AF20" s="67">
        <f>'Charges variables'!AF18*Config!$C88</f>
        <v>0</v>
      </c>
      <c r="AG20" s="67">
        <f>'Charges variables'!AG18*Config!$C88</f>
        <v>0</v>
      </c>
      <c r="AH20" s="67">
        <f>'Charges variables'!AH18*Config!$C88</f>
        <v>0</v>
      </c>
      <c r="AI20" s="67">
        <f>'Charges variables'!AI18*Config!$C88</f>
        <v>0</v>
      </c>
      <c r="AJ20" s="67">
        <f>'Charges variables'!AJ18*Config!$C88</f>
        <v>0</v>
      </c>
      <c r="AK20" s="67">
        <f>'Charges variables'!AK18*Config!$C88</f>
        <v>0</v>
      </c>
      <c r="AL20" s="67">
        <f>'Charges variables'!AL18*Config!$C88</f>
        <v>0</v>
      </c>
      <c r="AM20" s="67">
        <f>'Charges variables'!AM18*Config!$C88</f>
        <v>0</v>
      </c>
      <c r="AN20" s="67">
        <f>'Charges variables'!AN18*Config!$C88</f>
        <v>0</v>
      </c>
      <c r="AO20" s="67">
        <f>'Charges variables'!AO18*Config!$C88</f>
        <v>0</v>
      </c>
      <c r="AP20" s="67">
        <f>'Charges variables'!AP18*Config!$C88</f>
        <v>0</v>
      </c>
      <c r="AQ20" s="67">
        <f>'Charges variables'!AQ18*Config!$C88</f>
        <v>0</v>
      </c>
      <c r="AR20" s="67">
        <f>'Charges variables'!AR18*Config!$C88</f>
        <v>0</v>
      </c>
      <c r="AS20" s="67">
        <f>'Charges variables'!AS18*Config!$C88</f>
        <v>0</v>
      </c>
      <c r="AT20" s="67">
        <f>'Charges variables'!AT18*Config!$C88</f>
        <v>0</v>
      </c>
      <c r="AU20" s="67">
        <f>'Charges variables'!AU18*Config!$C88</f>
        <v>0</v>
      </c>
      <c r="AV20" s="67">
        <f>'Charges variables'!AV18*Config!$C88</f>
        <v>0</v>
      </c>
      <c r="AW20" s="67">
        <f>'Charges variables'!AW18*Config!$C88</f>
        <v>0</v>
      </c>
      <c r="AX20" s="67">
        <f>'Charges variables'!AX18*Config!$C88</f>
        <v>0</v>
      </c>
      <c r="AY20" s="67">
        <f>'Charges variables'!AY18*Config!$C88</f>
        <v>0</v>
      </c>
      <c r="AZ20" s="67">
        <f>'Charges variables'!AZ18*Config!$C88</f>
        <v>0</v>
      </c>
      <c r="BA20" s="67">
        <f>'Charges variables'!BA18*Config!$C88</f>
        <v>0</v>
      </c>
      <c r="BB20" s="67">
        <f>'Charges variables'!BB18*Config!$C88</f>
        <v>0</v>
      </c>
      <c r="BC20" s="67">
        <f>'Charges variables'!BC18*Config!$C88</f>
        <v>0</v>
      </c>
      <c r="BD20" s="67">
        <f>'Charges variables'!BD18*Config!$C88</f>
        <v>0</v>
      </c>
      <c r="BE20" s="67">
        <f>'Charges variables'!BE18*Config!$C88</f>
        <v>0</v>
      </c>
      <c r="BF20" s="67">
        <f>'Charges variables'!BF18*Config!$C88</f>
        <v>0</v>
      </c>
      <c r="BG20" s="67">
        <f>'Charges variables'!BG18*Config!$C88</f>
        <v>0</v>
      </c>
      <c r="BH20" s="67">
        <f>'Charges variables'!BH18*Config!$C88</f>
        <v>0</v>
      </c>
      <c r="BI20" s="67">
        <f>'Charges variables'!BI18*Config!$C88</f>
        <v>0</v>
      </c>
      <c r="BJ20" s="67">
        <f>'Charges variables'!BJ18*Config!$C88</f>
        <v>0</v>
      </c>
      <c r="BK20" s="70"/>
    </row>
    <row r="21" spans="2:63" x14ac:dyDescent="0.2">
      <c r="B21" s="46">
        <f>Config!$B$24</f>
        <v>0</v>
      </c>
      <c r="C21" s="67">
        <f>'Charges variables'!C19*Config!$C89</f>
        <v>0</v>
      </c>
      <c r="D21" s="67">
        <f>'Charges variables'!D19*Config!$C89</f>
        <v>0</v>
      </c>
      <c r="E21" s="67">
        <f>'Charges variables'!E19*Config!$C89</f>
        <v>0</v>
      </c>
      <c r="F21" s="67">
        <f>'Charges variables'!F19*Config!$C89</f>
        <v>0</v>
      </c>
      <c r="G21" s="67">
        <f>'Charges variables'!G19*Config!$C89</f>
        <v>0</v>
      </c>
      <c r="H21" s="67">
        <f>'Charges variables'!H19*Config!$C89</f>
        <v>0</v>
      </c>
      <c r="I21" s="67">
        <f>'Charges variables'!I19*Config!$C89</f>
        <v>0</v>
      </c>
      <c r="J21" s="67">
        <f>'Charges variables'!J19*Config!$C89</f>
        <v>0</v>
      </c>
      <c r="K21" s="67">
        <f>'Charges variables'!K19*Config!$C89</f>
        <v>0</v>
      </c>
      <c r="L21" s="67">
        <f>'Charges variables'!L19*Config!$C89</f>
        <v>0</v>
      </c>
      <c r="M21" s="67">
        <f>'Charges variables'!M19*Config!$C89</f>
        <v>0</v>
      </c>
      <c r="N21" s="67">
        <f>'Charges variables'!N19*Config!$C89</f>
        <v>0</v>
      </c>
      <c r="O21" s="67">
        <f>'Charges variables'!O19*Config!$C89</f>
        <v>0</v>
      </c>
      <c r="P21" s="67">
        <f>'Charges variables'!P19*Config!$C89</f>
        <v>0</v>
      </c>
      <c r="Q21" s="67">
        <f>'Charges variables'!Q19*Config!$C89</f>
        <v>0</v>
      </c>
      <c r="R21" s="67">
        <f>'Charges variables'!R19*Config!$C89</f>
        <v>0</v>
      </c>
      <c r="S21" s="67">
        <f>'Charges variables'!S19*Config!$C89</f>
        <v>0</v>
      </c>
      <c r="T21" s="67">
        <f>'Charges variables'!T19*Config!$C89</f>
        <v>0</v>
      </c>
      <c r="U21" s="67">
        <f>'Charges variables'!U19*Config!$C89</f>
        <v>0</v>
      </c>
      <c r="V21" s="67">
        <f>'Charges variables'!V19*Config!$C89</f>
        <v>0</v>
      </c>
      <c r="W21" s="67">
        <f>'Charges variables'!W19*Config!$C89</f>
        <v>0</v>
      </c>
      <c r="X21" s="67">
        <f>'Charges variables'!X19*Config!$C89</f>
        <v>0</v>
      </c>
      <c r="Y21" s="67">
        <f>'Charges variables'!Y19*Config!$C89</f>
        <v>0</v>
      </c>
      <c r="Z21" s="67">
        <f>'Charges variables'!Z19*Config!$C89</f>
        <v>0</v>
      </c>
      <c r="AA21" s="67">
        <f>'Charges variables'!AA19*Config!$C89</f>
        <v>0</v>
      </c>
      <c r="AB21" s="67">
        <f>'Charges variables'!AB19*Config!$C89</f>
        <v>0</v>
      </c>
      <c r="AC21" s="67">
        <f>'Charges variables'!AC19*Config!$C89</f>
        <v>0</v>
      </c>
      <c r="AD21" s="67">
        <f>'Charges variables'!AD19*Config!$C89</f>
        <v>0</v>
      </c>
      <c r="AE21" s="67">
        <f>'Charges variables'!AE19*Config!$C89</f>
        <v>0</v>
      </c>
      <c r="AF21" s="67">
        <f>'Charges variables'!AF19*Config!$C89</f>
        <v>0</v>
      </c>
      <c r="AG21" s="67">
        <f>'Charges variables'!AG19*Config!$C89</f>
        <v>0</v>
      </c>
      <c r="AH21" s="67">
        <f>'Charges variables'!AH19*Config!$C89</f>
        <v>0</v>
      </c>
      <c r="AI21" s="67">
        <f>'Charges variables'!AI19*Config!$C89</f>
        <v>0</v>
      </c>
      <c r="AJ21" s="67">
        <f>'Charges variables'!AJ19*Config!$C89</f>
        <v>0</v>
      </c>
      <c r="AK21" s="67">
        <f>'Charges variables'!AK19*Config!$C89</f>
        <v>0</v>
      </c>
      <c r="AL21" s="67">
        <f>'Charges variables'!AL19*Config!$C89</f>
        <v>0</v>
      </c>
      <c r="AM21" s="67">
        <f>'Charges variables'!AM19*Config!$C89</f>
        <v>0</v>
      </c>
      <c r="AN21" s="67">
        <f>'Charges variables'!AN19*Config!$C89</f>
        <v>0</v>
      </c>
      <c r="AO21" s="67">
        <f>'Charges variables'!AO19*Config!$C89</f>
        <v>0</v>
      </c>
      <c r="AP21" s="67">
        <f>'Charges variables'!AP19*Config!$C89</f>
        <v>0</v>
      </c>
      <c r="AQ21" s="67">
        <f>'Charges variables'!AQ19*Config!$C89</f>
        <v>0</v>
      </c>
      <c r="AR21" s="67">
        <f>'Charges variables'!AR19*Config!$C89</f>
        <v>0</v>
      </c>
      <c r="AS21" s="67">
        <f>'Charges variables'!AS19*Config!$C89</f>
        <v>0</v>
      </c>
      <c r="AT21" s="67">
        <f>'Charges variables'!AT19*Config!$C89</f>
        <v>0</v>
      </c>
      <c r="AU21" s="67">
        <f>'Charges variables'!AU19*Config!$C89</f>
        <v>0</v>
      </c>
      <c r="AV21" s="67">
        <f>'Charges variables'!AV19*Config!$C89</f>
        <v>0</v>
      </c>
      <c r="AW21" s="67">
        <f>'Charges variables'!AW19*Config!$C89</f>
        <v>0</v>
      </c>
      <c r="AX21" s="67">
        <f>'Charges variables'!AX19*Config!$C89</f>
        <v>0</v>
      </c>
      <c r="AY21" s="67">
        <f>'Charges variables'!AY19*Config!$C89</f>
        <v>0</v>
      </c>
      <c r="AZ21" s="67">
        <f>'Charges variables'!AZ19*Config!$C89</f>
        <v>0</v>
      </c>
      <c r="BA21" s="67">
        <f>'Charges variables'!BA19*Config!$C89</f>
        <v>0</v>
      </c>
      <c r="BB21" s="67">
        <f>'Charges variables'!BB19*Config!$C89</f>
        <v>0</v>
      </c>
      <c r="BC21" s="67">
        <f>'Charges variables'!BC19*Config!$C89</f>
        <v>0</v>
      </c>
      <c r="BD21" s="67">
        <f>'Charges variables'!BD19*Config!$C89</f>
        <v>0</v>
      </c>
      <c r="BE21" s="67">
        <f>'Charges variables'!BE19*Config!$C89</f>
        <v>0</v>
      </c>
      <c r="BF21" s="67">
        <f>'Charges variables'!BF19*Config!$C89</f>
        <v>0</v>
      </c>
      <c r="BG21" s="67">
        <f>'Charges variables'!BG19*Config!$C89</f>
        <v>0</v>
      </c>
      <c r="BH21" s="67">
        <f>'Charges variables'!BH19*Config!$C89</f>
        <v>0</v>
      </c>
      <c r="BI21" s="67">
        <f>'Charges variables'!BI19*Config!$C89</f>
        <v>0</v>
      </c>
      <c r="BJ21" s="67">
        <f>'Charges variables'!BJ19*Config!$C89</f>
        <v>0</v>
      </c>
      <c r="BK21" s="70"/>
    </row>
    <row r="22" spans="2:63" x14ac:dyDescent="0.2">
      <c r="B22" s="46">
        <f>Config!$B$25</f>
        <v>0</v>
      </c>
      <c r="C22" s="67">
        <f>'Charges variables'!C20*Config!$C90</f>
        <v>0</v>
      </c>
      <c r="D22" s="67">
        <f>'Charges variables'!D20*Config!$C90</f>
        <v>0</v>
      </c>
      <c r="E22" s="67">
        <f>'Charges variables'!E20*Config!$C90</f>
        <v>0</v>
      </c>
      <c r="F22" s="67">
        <f>'Charges variables'!F20*Config!$C90</f>
        <v>0</v>
      </c>
      <c r="G22" s="67">
        <f>'Charges variables'!G20*Config!$C90</f>
        <v>0</v>
      </c>
      <c r="H22" s="67">
        <f>'Charges variables'!H20*Config!$C90</f>
        <v>0</v>
      </c>
      <c r="I22" s="67">
        <f>'Charges variables'!I20*Config!$C90</f>
        <v>0</v>
      </c>
      <c r="J22" s="67">
        <f>'Charges variables'!J20*Config!$C90</f>
        <v>0</v>
      </c>
      <c r="K22" s="67">
        <f>'Charges variables'!K20*Config!$C90</f>
        <v>0</v>
      </c>
      <c r="L22" s="67">
        <f>'Charges variables'!L20*Config!$C90</f>
        <v>0</v>
      </c>
      <c r="M22" s="67">
        <f>'Charges variables'!M20*Config!$C90</f>
        <v>0</v>
      </c>
      <c r="N22" s="67">
        <f>'Charges variables'!N20*Config!$C90</f>
        <v>0</v>
      </c>
      <c r="O22" s="67">
        <f>'Charges variables'!O20*Config!$C90</f>
        <v>0</v>
      </c>
      <c r="P22" s="67">
        <f>'Charges variables'!P20*Config!$C90</f>
        <v>0</v>
      </c>
      <c r="Q22" s="67">
        <f>'Charges variables'!Q20*Config!$C90</f>
        <v>0</v>
      </c>
      <c r="R22" s="67">
        <f>'Charges variables'!R20*Config!$C90</f>
        <v>0</v>
      </c>
      <c r="S22" s="67">
        <f>'Charges variables'!S20*Config!$C90</f>
        <v>0</v>
      </c>
      <c r="T22" s="67">
        <f>'Charges variables'!T20*Config!$C90</f>
        <v>0</v>
      </c>
      <c r="U22" s="67">
        <f>'Charges variables'!U20*Config!$C90</f>
        <v>0</v>
      </c>
      <c r="V22" s="67">
        <f>'Charges variables'!V20*Config!$C90</f>
        <v>0</v>
      </c>
      <c r="W22" s="67">
        <f>'Charges variables'!W20*Config!$C90</f>
        <v>0</v>
      </c>
      <c r="X22" s="67">
        <f>'Charges variables'!X20*Config!$C90</f>
        <v>0</v>
      </c>
      <c r="Y22" s="67">
        <f>'Charges variables'!Y20*Config!$C90</f>
        <v>0</v>
      </c>
      <c r="Z22" s="67">
        <f>'Charges variables'!Z20*Config!$C90</f>
        <v>0</v>
      </c>
      <c r="AA22" s="67">
        <f>'Charges variables'!AA20*Config!$C90</f>
        <v>0</v>
      </c>
      <c r="AB22" s="67">
        <f>'Charges variables'!AB20*Config!$C90</f>
        <v>0</v>
      </c>
      <c r="AC22" s="67">
        <f>'Charges variables'!AC20*Config!$C90</f>
        <v>0</v>
      </c>
      <c r="AD22" s="67">
        <f>'Charges variables'!AD20*Config!$C90</f>
        <v>0</v>
      </c>
      <c r="AE22" s="67">
        <f>'Charges variables'!AE20*Config!$C90</f>
        <v>0</v>
      </c>
      <c r="AF22" s="67">
        <f>'Charges variables'!AF20*Config!$C90</f>
        <v>0</v>
      </c>
      <c r="AG22" s="67">
        <f>'Charges variables'!AG20*Config!$C90</f>
        <v>0</v>
      </c>
      <c r="AH22" s="67">
        <f>'Charges variables'!AH20*Config!$C90</f>
        <v>0</v>
      </c>
      <c r="AI22" s="67">
        <f>'Charges variables'!AI20*Config!$C90</f>
        <v>0</v>
      </c>
      <c r="AJ22" s="67">
        <f>'Charges variables'!AJ20*Config!$C90</f>
        <v>0</v>
      </c>
      <c r="AK22" s="67">
        <f>'Charges variables'!AK20*Config!$C90</f>
        <v>0</v>
      </c>
      <c r="AL22" s="67">
        <f>'Charges variables'!AL20*Config!$C90</f>
        <v>0</v>
      </c>
      <c r="AM22" s="67">
        <f>'Charges variables'!AM20*Config!$C90</f>
        <v>0</v>
      </c>
      <c r="AN22" s="67">
        <f>'Charges variables'!AN20*Config!$C90</f>
        <v>0</v>
      </c>
      <c r="AO22" s="67">
        <f>'Charges variables'!AO20*Config!$C90</f>
        <v>0</v>
      </c>
      <c r="AP22" s="67">
        <f>'Charges variables'!AP20*Config!$C90</f>
        <v>0</v>
      </c>
      <c r="AQ22" s="67">
        <f>'Charges variables'!AQ20*Config!$C90</f>
        <v>0</v>
      </c>
      <c r="AR22" s="67">
        <f>'Charges variables'!AR20*Config!$C90</f>
        <v>0</v>
      </c>
      <c r="AS22" s="67">
        <f>'Charges variables'!AS20*Config!$C90</f>
        <v>0</v>
      </c>
      <c r="AT22" s="67">
        <f>'Charges variables'!AT20*Config!$C90</f>
        <v>0</v>
      </c>
      <c r="AU22" s="67">
        <f>'Charges variables'!AU20*Config!$C90</f>
        <v>0</v>
      </c>
      <c r="AV22" s="67">
        <f>'Charges variables'!AV20*Config!$C90</f>
        <v>0</v>
      </c>
      <c r="AW22" s="67">
        <f>'Charges variables'!AW20*Config!$C90</f>
        <v>0</v>
      </c>
      <c r="AX22" s="67">
        <f>'Charges variables'!AX20*Config!$C90</f>
        <v>0</v>
      </c>
      <c r="AY22" s="67">
        <f>'Charges variables'!AY20*Config!$C90</f>
        <v>0</v>
      </c>
      <c r="AZ22" s="67">
        <f>'Charges variables'!AZ20*Config!$C90</f>
        <v>0</v>
      </c>
      <c r="BA22" s="67">
        <f>'Charges variables'!BA20*Config!$C90</f>
        <v>0</v>
      </c>
      <c r="BB22" s="67">
        <f>'Charges variables'!BB20*Config!$C90</f>
        <v>0</v>
      </c>
      <c r="BC22" s="67">
        <f>'Charges variables'!BC20*Config!$C90</f>
        <v>0</v>
      </c>
      <c r="BD22" s="67">
        <f>'Charges variables'!BD20*Config!$C90</f>
        <v>0</v>
      </c>
      <c r="BE22" s="67">
        <f>'Charges variables'!BE20*Config!$C90</f>
        <v>0</v>
      </c>
      <c r="BF22" s="67">
        <f>'Charges variables'!BF20*Config!$C90</f>
        <v>0</v>
      </c>
      <c r="BG22" s="67">
        <f>'Charges variables'!BG20*Config!$C90</f>
        <v>0</v>
      </c>
      <c r="BH22" s="67">
        <f>'Charges variables'!BH20*Config!$C90</f>
        <v>0</v>
      </c>
      <c r="BI22" s="67">
        <f>'Charges variables'!BI20*Config!$C90</f>
        <v>0</v>
      </c>
      <c r="BJ22" s="67">
        <f>'Charges variables'!BJ20*Config!$C90</f>
        <v>0</v>
      </c>
      <c r="BK22" s="70"/>
    </row>
    <row r="23" spans="2:63" x14ac:dyDescent="0.2">
      <c r="B23" s="115"/>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row>
    <row r="24" spans="2:63" x14ac:dyDescent="0.2">
      <c r="B24" s="144" t="s">
        <v>97</v>
      </c>
      <c r="C24" s="67">
        <f>SUM(C11:C22)+(SUM(Investissements!C$28-Investissements!C$9)+'Charges externes'!I29)*Config!$C$92</f>
        <v>8577.3816999999999</v>
      </c>
      <c r="D24" s="67">
        <f>SUM(D11:D22)+(SUM(Investissements!D$28-Investissements!D$9)+'Charges externes'!J29)*Config!$C$92</f>
        <v>2044.5817</v>
      </c>
      <c r="E24" s="67">
        <f>SUM(E11:E22)+(SUM(Investissements!E$28-Investissements!E$9)+'Charges externes'!K29)*Config!$C$92</f>
        <v>2131.8067000000001</v>
      </c>
      <c r="F24" s="67">
        <f>SUM(F11:F22)+(SUM(Investissements!F$28-Investissements!F$9)+'Charges externes'!L29)*Config!$C$92</f>
        <v>2255.4067</v>
      </c>
      <c r="G24" s="67">
        <f>SUM(G11:G22)+(SUM(Investissements!G$28-Investissements!G$9)+'Charges externes'!M29)*Config!$C$92</f>
        <v>2510.3316999999997</v>
      </c>
      <c r="H24" s="67">
        <f>SUM(H11:H22)+(SUM(Investissements!H$28-Investissements!H$9)+'Charges externes'!N29)*Config!$C$92</f>
        <v>2761.1316999999999</v>
      </c>
      <c r="I24" s="67">
        <f>SUM(I11:I22)+(SUM(Investissements!I$28-Investissements!I$9)+'Charges externes'!O29)*Config!$C$92</f>
        <v>3026.7817</v>
      </c>
      <c r="J24" s="67">
        <f>SUM(J11:J22)+(SUM(Investissements!J$28-Investissements!J$9)+'Charges externes'!P29)*Config!$C$92</f>
        <v>2997.3816999999999</v>
      </c>
      <c r="K24" s="67">
        <f>SUM(K11:K22)+(SUM(Investissements!K$28-Investissements!K$9)+'Charges externes'!Q29)*Config!$C$92</f>
        <v>2904.2316999999998</v>
      </c>
      <c r="L24" s="67">
        <f>SUM(L11:L22)+(SUM(Investissements!L$28-Investissements!L$9)+'Charges externes'!R29)*Config!$C$92</f>
        <v>3525.2316999999998</v>
      </c>
      <c r="M24" s="67">
        <f>SUM(M11:M22)+(SUM(Investissements!M$28-Investissements!M$9)+'Charges externes'!S29)*Config!$C$92</f>
        <v>3543.0816999999997</v>
      </c>
      <c r="N24" s="67">
        <f>SUM(N11:N22)+(SUM(Investissements!N$28-Investissements!N$9)+'Charges externes'!T29)*Config!$C$92</f>
        <v>3684.8316999999997</v>
      </c>
      <c r="O24" s="67">
        <f>SUM(O11:O22)+(SUM(Investissements!P$28-Investissements!P$9)+'Charges externes'!U29)*Config!$C$92</f>
        <v>6518.6006333333344</v>
      </c>
      <c r="P24" s="67">
        <f>SUM(P11:P22)+(SUM(Investissements!Q$28-Investissements!Q$9)+'Charges externes'!V29)*Config!$C$92</f>
        <v>6427.3256333333338</v>
      </c>
      <c r="Q24" s="67">
        <f>SUM(Q11:Q22)+(SUM(Investissements!R$28-Investissements!R$9)+'Charges externes'!W29)*Config!$C$92</f>
        <v>9448.6256333333349</v>
      </c>
      <c r="R24" s="67">
        <f>SUM(R11:R22)+(SUM(Investissements!S$28-Investissements!S$9)+'Charges externes'!X29)*Config!$C$92</f>
        <v>6657.5756333333338</v>
      </c>
      <c r="S24" s="67">
        <f>SUM(S11:S22)+(SUM(Investissements!T$28-Investissements!T$9)+'Charges externes'!Y29)*Config!$C$92</f>
        <v>7035.9506333333338</v>
      </c>
      <c r="T24" s="67">
        <f>SUM(T11:T22)+(SUM(Investissements!U$28-Investissements!U$9)+'Charges externes'!Z29)*Config!$C$92</f>
        <v>8365.0256333333346</v>
      </c>
      <c r="U24" s="67">
        <f>SUM(U11:U22)+(SUM(Investissements!V$28-Investissements!V$9)+'Charges externes'!AA29)*Config!$C$92</f>
        <v>7830.3506333333344</v>
      </c>
      <c r="V24" s="67">
        <f>SUM(V11:V22)+(SUM(Investissements!W$28-Investissements!W$9)+'Charges externes'!AB29)*Config!$C$92</f>
        <v>7769.8256333333338</v>
      </c>
      <c r="W24" s="67">
        <f>SUM(W11:W22)+(SUM(Investissements!X$28-Investissements!X$9)+'Charges externes'!AC29)*Config!$C$92</f>
        <v>7718.7506333333349</v>
      </c>
      <c r="X24" s="67">
        <f>SUM(X11:X22)+(SUM(Investissements!Y$28-Investissements!Y$9)+'Charges externes'!AD29)*Config!$C$92</f>
        <v>8723.3006333333342</v>
      </c>
      <c r="Y24" s="67">
        <f>SUM(Y11:Y22)+(SUM(Investissements!Z$28-Investissements!Z$9)+'Charges externes'!AE29)*Config!$C$92</f>
        <v>8710.0256333333346</v>
      </c>
      <c r="Z24" s="67">
        <f>SUM(Z11:Z22)+(SUM(Investissements!AA$28-Investissements!AA$9)+'Charges externes'!AF29)*Config!$C$92</f>
        <v>8946.2756333333346</v>
      </c>
      <c r="AA24" s="67">
        <f>SUM(AA11:AA22)+(SUM(Investissements!AC$28-Investissements!AC$9)+'Charges externes'!AG29)*Config!$C$92</f>
        <v>15680.363433333334</v>
      </c>
      <c r="AB24" s="67">
        <f>SUM(AB11:AB22)+('Charges externes'!AH29)*Config!$C$92</f>
        <v>12624.488433333334</v>
      </c>
      <c r="AC24" s="67">
        <f>SUM(AC11:AC22)+('Charges externes'!AI29)*Config!$C$92</f>
        <v>12516.713433333334</v>
      </c>
      <c r="AD24" s="67">
        <f>SUM(AD11:AD22)+('Charges externes'!AJ29)*Config!$C$92</f>
        <v>12782.363433333334</v>
      </c>
      <c r="AE24" s="67">
        <f>SUM(AE11:AE22)+('Charges externes'!AK29)*Config!$C$92</f>
        <v>13160.738433333334</v>
      </c>
      <c r="AF24" s="67">
        <f>SUM(AF11:AF22)+('Charges externes'!AL29)*Config!$C$92</f>
        <v>13653.563433333333</v>
      </c>
      <c r="AG24" s="67">
        <f>SUM(AG11:AG22)+(SUM(Investissements!AD$28-Investissements!AD$9)+'Charges externes'!AM29)*Config!$C$92</f>
        <v>14082.638433333334</v>
      </c>
      <c r="AH24" s="67">
        <f>SUM(AH11:AH22)+('Charges externes'!AN29)*Config!$C$92</f>
        <v>13847.363433333334</v>
      </c>
      <c r="AI24" s="67">
        <f>SUM(AI11:AI22)+('Charges externes'!AO29)*Config!$C$92</f>
        <v>13749.038433333335</v>
      </c>
      <c r="AJ24" s="67">
        <f>SUM(AJ11:AJ22)+('Charges externes'!AP29)*Config!$C$92</f>
        <v>14739.338433333334</v>
      </c>
      <c r="AK24" s="67">
        <f>SUM(AK11:AK22)+('Charges externes'!AQ29)*Config!$C$92</f>
        <v>14598.563433333333</v>
      </c>
      <c r="AL24" s="67">
        <f>SUM(AL11:AL22)+('Charges externes'!AR29)*Config!$C$92</f>
        <v>14834.813433333333</v>
      </c>
      <c r="AM24" s="67">
        <f>SUM(AM11:AM22)+(SUM(Investissements!AF$28-Investissements!AF$9)+'Charges externes'!AS29)*Config!$C$92</f>
        <v>19910.071583333334</v>
      </c>
      <c r="AN24" s="67">
        <f>SUM(AN11:AN22)+('Charges externes'!AT29)*Config!$C$92</f>
        <v>19859.671583333336</v>
      </c>
      <c r="AO24" s="67">
        <f>SUM(AO11:AO22)+('Charges externes'!AU29)*Config!$C$92</f>
        <v>19567.696583333334</v>
      </c>
      <c r="AP24" s="67">
        <f>SUM(AP11:AP22)+('Charges externes'!AV29)*Config!$C$92</f>
        <v>19944.346583333336</v>
      </c>
      <c r="AQ24" s="67">
        <f>SUM(AQ11:AQ22)+('Charges externes'!AW29)*Config!$C$92</f>
        <v>20606.596583333332</v>
      </c>
      <c r="AR24" s="67">
        <f>SUM(AR11:AR22)+('Charges externes'!AX29)*Config!$C$92</f>
        <v>21317.821583333334</v>
      </c>
      <c r="AS24" s="67">
        <f>SUM(AS11:AS22)+(SUM(Investissements!AG$28-Investissements!AG$9)+'Charges externes'!AY29)*Config!$C$92</f>
        <v>22039.846583333332</v>
      </c>
      <c r="AT24" s="67">
        <f>SUM(AT11:AT22)+('Charges externes'!AZ29)*Config!$C$92</f>
        <v>21785.671583333336</v>
      </c>
      <c r="AU24" s="67">
        <f>SUM(AU11:AU22)+('Charges externes'!BA29)*Config!$C$92</f>
        <v>21644.896583333335</v>
      </c>
      <c r="AV24" s="67">
        <f>SUM(AV11:AV22)+('Charges externes'!BB29)*Config!$C$92</f>
        <v>23239.846583333332</v>
      </c>
      <c r="AW24" s="67">
        <f>SUM(AW11:AW22)+('Charges externes'!BC29)*Config!$C$92</f>
        <v>23151.121583333334</v>
      </c>
      <c r="AX24" s="67">
        <f>SUM(AX11:AX22)+('Charges externes'!BD29)*Config!$C$92</f>
        <v>23623.621583333334</v>
      </c>
      <c r="AY24" s="67">
        <f>SUM(AY11:AY22)+(SUM(Investissements!AI$28-Investissements!AI$9)+'Charges externes'!BE29)*Config!$C$92</f>
        <v>31366.932949999999</v>
      </c>
      <c r="AZ24" s="67">
        <f>SUM(AZ11:AZ22)+('Charges externes'!BF29)*Config!$C$92</f>
        <v>31251.207949999996</v>
      </c>
      <c r="BA24" s="67">
        <f>SUM(BA11:BA22)+('Charges externes'!BG29)*Config!$C$92</f>
        <v>30869.532950000001</v>
      </c>
      <c r="BB24" s="67">
        <f>SUM(BB11:BB22)+('Charges externes'!BH29)*Config!$C$92</f>
        <v>31351.857949999998</v>
      </c>
      <c r="BC24" s="67">
        <f>SUM(BC11:BC22)+('Charges externes'!BI29)*Config!$C$92</f>
        <v>31057.332949999996</v>
      </c>
      <c r="BD24" s="67">
        <f>SUM(BD11:BD22)+('Charges externes'!BJ29)*Config!$C$92</f>
        <v>33374.682950000002</v>
      </c>
      <c r="BE24" s="67">
        <f>SUM(BE11:BE22)+(SUM(Investissements!AJ$28-Investissements!AJ$9)+'Charges externes'!BK29)*Config!$C$92</f>
        <v>34525.782949999993</v>
      </c>
      <c r="BF24" s="67">
        <f>SUM(BF11:BF22)+('Charges externes'!BL29)*Config!$C$92</f>
        <v>34258.332949999996</v>
      </c>
      <c r="BG24" s="67">
        <f>SUM(BG11:BG22)+('Charges externes'!BM29)*Config!$C$92</f>
        <v>34090.182950000002</v>
      </c>
      <c r="BH24" s="67">
        <f>SUM(BH11:BH22)+('Charges externes'!BN29)*Config!$C$92</f>
        <v>36675.432950000002</v>
      </c>
      <c r="BI24" s="67">
        <f>SUM(BI11:BI22)+('Charges externes'!BO29)*Config!$C$92</f>
        <v>36445.932950000002</v>
      </c>
      <c r="BJ24" s="67">
        <f>SUM(BJ11:BJ22)+('Charges externes'!BP29)*Config!$C$92</f>
        <v>37154.682950000002</v>
      </c>
      <c r="BK24" s="70"/>
    </row>
    <row r="25" spans="2:63" x14ac:dyDescent="0.2">
      <c r="B25" s="115"/>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row>
    <row r="26" spans="2:63" x14ac:dyDescent="0.2">
      <c r="B26" s="144" t="s">
        <v>270</v>
      </c>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row>
    <row r="27" spans="2:63" x14ac:dyDescent="0.2">
      <c r="B27" s="115"/>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row>
    <row r="28" spans="2:63" x14ac:dyDescent="0.2">
      <c r="B28" s="71"/>
      <c r="C28" s="174" t="s">
        <v>77</v>
      </c>
      <c r="D28" s="157"/>
      <c r="E28" s="157"/>
      <c r="F28" s="157"/>
      <c r="G28" s="157"/>
      <c r="H28" s="157"/>
      <c r="I28" s="157"/>
      <c r="J28" s="157"/>
      <c r="K28" s="157"/>
      <c r="L28" s="157"/>
      <c r="M28" s="157"/>
      <c r="N28" s="158"/>
      <c r="O28" s="174" t="s">
        <v>78</v>
      </c>
      <c r="P28" s="157"/>
      <c r="Q28" s="157"/>
      <c r="R28" s="157"/>
      <c r="S28" s="157"/>
      <c r="T28" s="157"/>
      <c r="U28" s="157"/>
      <c r="V28" s="157"/>
      <c r="W28" s="157"/>
      <c r="X28" s="157"/>
      <c r="Y28" s="157"/>
      <c r="Z28" s="158"/>
      <c r="AA28" s="174" t="s">
        <v>79</v>
      </c>
      <c r="AB28" s="157"/>
      <c r="AC28" s="157"/>
      <c r="AD28" s="157"/>
      <c r="AE28" s="157"/>
      <c r="AF28" s="157"/>
      <c r="AG28" s="157"/>
      <c r="AH28" s="157"/>
      <c r="AI28" s="157"/>
      <c r="AJ28" s="157"/>
      <c r="AK28" s="157"/>
      <c r="AL28" s="158"/>
      <c r="AM28" s="174" t="s">
        <v>80</v>
      </c>
      <c r="AN28" s="157"/>
      <c r="AO28" s="157"/>
      <c r="AP28" s="157"/>
      <c r="AQ28" s="157"/>
      <c r="AR28" s="157"/>
      <c r="AS28" s="157"/>
      <c r="AT28" s="157"/>
      <c r="AU28" s="157"/>
      <c r="AV28" s="157"/>
      <c r="AW28" s="157"/>
      <c r="AX28" s="158"/>
      <c r="AY28" s="174" t="s">
        <v>81</v>
      </c>
      <c r="AZ28" s="157"/>
      <c r="BA28" s="157"/>
      <c r="BB28" s="157"/>
      <c r="BC28" s="157"/>
      <c r="BD28" s="157"/>
      <c r="BE28" s="157"/>
      <c r="BF28" s="157"/>
      <c r="BG28" s="157"/>
      <c r="BH28" s="157"/>
      <c r="BI28" s="157"/>
      <c r="BJ28" s="158"/>
      <c r="BK28" s="70"/>
    </row>
    <row r="29" spans="2:63" x14ac:dyDescent="0.2">
      <c r="B29" s="144" t="s">
        <v>63</v>
      </c>
      <c r="C29" s="55">
        <f>Config!$C$7</f>
        <v>46388</v>
      </c>
      <c r="D29" s="55">
        <f t="shared" ref="D29:AI29" si="2">DATE(YEAR(C29),MONTH(C29)+1,DAY(C29))</f>
        <v>46419</v>
      </c>
      <c r="E29" s="55">
        <f t="shared" si="2"/>
        <v>46447</v>
      </c>
      <c r="F29" s="55">
        <f t="shared" si="2"/>
        <v>46478</v>
      </c>
      <c r="G29" s="55">
        <f t="shared" si="2"/>
        <v>46508</v>
      </c>
      <c r="H29" s="55">
        <f t="shared" si="2"/>
        <v>46539</v>
      </c>
      <c r="I29" s="55">
        <f t="shared" si="2"/>
        <v>46569</v>
      </c>
      <c r="J29" s="55">
        <f t="shared" si="2"/>
        <v>46600</v>
      </c>
      <c r="K29" s="55">
        <f t="shared" si="2"/>
        <v>46631</v>
      </c>
      <c r="L29" s="55">
        <f t="shared" si="2"/>
        <v>46661</v>
      </c>
      <c r="M29" s="55">
        <f t="shared" si="2"/>
        <v>46692</v>
      </c>
      <c r="N29" s="55">
        <f t="shared" si="2"/>
        <v>46722</v>
      </c>
      <c r="O29" s="55">
        <f t="shared" si="2"/>
        <v>46753</v>
      </c>
      <c r="P29" s="55">
        <f t="shared" si="2"/>
        <v>46784</v>
      </c>
      <c r="Q29" s="55">
        <f t="shared" si="2"/>
        <v>46813</v>
      </c>
      <c r="R29" s="55">
        <f t="shared" si="2"/>
        <v>46844</v>
      </c>
      <c r="S29" s="55">
        <f t="shared" si="2"/>
        <v>46874</v>
      </c>
      <c r="T29" s="55">
        <f t="shared" si="2"/>
        <v>46905</v>
      </c>
      <c r="U29" s="55">
        <f t="shared" si="2"/>
        <v>46935</v>
      </c>
      <c r="V29" s="55">
        <f t="shared" si="2"/>
        <v>46966</v>
      </c>
      <c r="W29" s="55">
        <f t="shared" si="2"/>
        <v>46997</v>
      </c>
      <c r="X29" s="55">
        <f t="shared" si="2"/>
        <v>47027</v>
      </c>
      <c r="Y29" s="55">
        <f t="shared" si="2"/>
        <v>47058</v>
      </c>
      <c r="Z29" s="55">
        <f t="shared" si="2"/>
        <v>47088</v>
      </c>
      <c r="AA29" s="55">
        <f t="shared" si="2"/>
        <v>47119</v>
      </c>
      <c r="AB29" s="55">
        <f t="shared" si="2"/>
        <v>47150</v>
      </c>
      <c r="AC29" s="55">
        <f t="shared" si="2"/>
        <v>47178</v>
      </c>
      <c r="AD29" s="55">
        <f t="shared" si="2"/>
        <v>47209</v>
      </c>
      <c r="AE29" s="55">
        <f t="shared" si="2"/>
        <v>47239</v>
      </c>
      <c r="AF29" s="55">
        <f t="shared" si="2"/>
        <v>47270</v>
      </c>
      <c r="AG29" s="55">
        <f t="shared" si="2"/>
        <v>47300</v>
      </c>
      <c r="AH29" s="55">
        <f t="shared" si="2"/>
        <v>47331</v>
      </c>
      <c r="AI29" s="55">
        <f t="shared" si="2"/>
        <v>47362</v>
      </c>
      <c r="AJ29" s="55">
        <f t="shared" ref="AJ29:BJ29" si="3">DATE(YEAR(AI29),MONTH(AI29)+1,DAY(AI29))</f>
        <v>47392</v>
      </c>
      <c r="AK29" s="55">
        <f t="shared" si="3"/>
        <v>47423</v>
      </c>
      <c r="AL29" s="55">
        <f t="shared" si="3"/>
        <v>47453</v>
      </c>
      <c r="AM29" s="55">
        <f t="shared" si="3"/>
        <v>47484</v>
      </c>
      <c r="AN29" s="55">
        <f t="shared" si="3"/>
        <v>47515</v>
      </c>
      <c r="AO29" s="55">
        <f t="shared" si="3"/>
        <v>47543</v>
      </c>
      <c r="AP29" s="55">
        <f t="shared" si="3"/>
        <v>47574</v>
      </c>
      <c r="AQ29" s="55">
        <f t="shared" si="3"/>
        <v>47604</v>
      </c>
      <c r="AR29" s="55">
        <f t="shared" si="3"/>
        <v>47635</v>
      </c>
      <c r="AS29" s="55">
        <f t="shared" si="3"/>
        <v>47665</v>
      </c>
      <c r="AT29" s="55">
        <f t="shared" si="3"/>
        <v>47696</v>
      </c>
      <c r="AU29" s="55">
        <f t="shared" si="3"/>
        <v>47727</v>
      </c>
      <c r="AV29" s="55">
        <f t="shared" si="3"/>
        <v>47757</v>
      </c>
      <c r="AW29" s="55">
        <f t="shared" si="3"/>
        <v>47788</v>
      </c>
      <c r="AX29" s="55">
        <f t="shared" si="3"/>
        <v>47818</v>
      </c>
      <c r="AY29" s="55">
        <f t="shared" si="3"/>
        <v>47849</v>
      </c>
      <c r="AZ29" s="55">
        <f t="shared" si="3"/>
        <v>47880</v>
      </c>
      <c r="BA29" s="55">
        <f t="shared" si="3"/>
        <v>47908</v>
      </c>
      <c r="BB29" s="55">
        <f t="shared" si="3"/>
        <v>47939</v>
      </c>
      <c r="BC29" s="55">
        <f t="shared" si="3"/>
        <v>47969</v>
      </c>
      <c r="BD29" s="55">
        <f t="shared" si="3"/>
        <v>48000</v>
      </c>
      <c r="BE29" s="55">
        <f t="shared" si="3"/>
        <v>48030</v>
      </c>
      <c r="BF29" s="55">
        <f t="shared" si="3"/>
        <v>48061</v>
      </c>
      <c r="BG29" s="55">
        <f t="shared" si="3"/>
        <v>48092</v>
      </c>
      <c r="BH29" s="55">
        <f t="shared" si="3"/>
        <v>48122</v>
      </c>
      <c r="BI29" s="55">
        <f t="shared" si="3"/>
        <v>48153</v>
      </c>
      <c r="BJ29" s="55">
        <f t="shared" si="3"/>
        <v>48183</v>
      </c>
      <c r="BK29" s="70"/>
    </row>
    <row r="30" spans="2:63" x14ac:dyDescent="0.2">
      <c r="B30" s="46" t="str">
        <f>Config!$B$14</f>
        <v>Vente d'abonnement mensuel (30 Shots)</v>
      </c>
      <c r="C30" s="67">
        <f>Config!$D79*'Commandes - Calculs auto'!C9</f>
        <v>0</v>
      </c>
      <c r="D30" s="67">
        <f>Config!$D79*'Commandes - Calculs auto'!D9</f>
        <v>46.398000000000003</v>
      </c>
      <c r="E30" s="67">
        <f>Config!$D79*'Commandes - Calculs auto'!E9</f>
        <v>115.995</v>
      </c>
      <c r="F30" s="67">
        <f>Config!$D79*'Commandes - Calculs auto'!F9</f>
        <v>208.791</v>
      </c>
      <c r="G30" s="67">
        <f>Config!$D79*'Commandes - Calculs auto'!G9</f>
        <v>324.786</v>
      </c>
      <c r="H30" s="67">
        <f>Config!$D79*'Commandes - Calculs auto'!H9</f>
        <v>463.98</v>
      </c>
      <c r="I30" s="67">
        <f>Config!$D79*'Commandes - Calculs auto'!I9</f>
        <v>556.77600000000007</v>
      </c>
      <c r="J30" s="67">
        <f>Config!$D79*'Commandes - Calculs auto'!J9</f>
        <v>649.572</v>
      </c>
      <c r="K30" s="67">
        <f>Config!$D79*'Commandes - Calculs auto'!K9</f>
        <v>835.16399999999999</v>
      </c>
      <c r="L30" s="67">
        <f>Config!$D79*'Commandes - Calculs auto'!L9</f>
        <v>974.35799999999995</v>
      </c>
      <c r="M30" s="67">
        <f>Config!$D79*'Commandes - Calculs auto'!M9</f>
        <v>1113.5520000000001</v>
      </c>
      <c r="N30" s="67">
        <f>Config!$D79*'Commandes - Calculs auto'!N9</f>
        <v>1299.144</v>
      </c>
      <c r="O30" s="67">
        <f>Config!$D79*'Commandes - Calculs auto'!O9</f>
        <v>1391.94</v>
      </c>
      <c r="P30" s="67">
        <f>Config!$D79*'Commandes - Calculs auto'!P9</f>
        <v>1531.134</v>
      </c>
      <c r="Q30" s="67">
        <f>Config!$D79*'Commandes - Calculs auto'!Q9</f>
        <v>1670.328</v>
      </c>
      <c r="R30" s="67">
        <f>Config!$D79*'Commandes - Calculs auto'!R9</f>
        <v>1855.92</v>
      </c>
      <c r="S30" s="67">
        <f>Config!$D79*'Commandes - Calculs auto'!S9</f>
        <v>2087.91</v>
      </c>
      <c r="T30" s="67">
        <f>Config!$D79*'Commandes - Calculs auto'!T9</f>
        <v>2319.9</v>
      </c>
      <c r="U30" s="67">
        <f>Config!$D79*'Commandes - Calculs auto'!U9</f>
        <v>2505.4920000000002</v>
      </c>
      <c r="V30" s="67">
        <f>Config!$D79*'Commandes - Calculs auto'!V9</f>
        <v>2644.6859999999997</v>
      </c>
      <c r="W30" s="67">
        <f>Config!$D79*'Commandes - Calculs auto'!W9</f>
        <v>3015.87</v>
      </c>
      <c r="X30" s="67">
        <f>Config!$D79*'Commandes - Calculs auto'!X9</f>
        <v>3247.86</v>
      </c>
      <c r="Y30" s="67">
        <f>Config!$D79*'Commandes - Calculs auto'!Y9</f>
        <v>3479.85</v>
      </c>
      <c r="Z30" s="67">
        <f>Config!$D79*'Commandes - Calculs auto'!Z9</f>
        <v>3711.84</v>
      </c>
      <c r="AA30" s="67">
        <f>Config!$D79*'Commandes - Calculs auto'!AA9</f>
        <v>3943.83</v>
      </c>
      <c r="AB30" s="67">
        <f>Config!$D79*'Commandes - Calculs auto'!AB9</f>
        <v>4083.0240000000003</v>
      </c>
      <c r="AC30" s="67">
        <f>Config!$D79*'Commandes - Calculs auto'!AC9</f>
        <v>4222.2180000000008</v>
      </c>
      <c r="AD30" s="67">
        <f>Config!$D79*'Commandes - Calculs auto'!AD9</f>
        <v>4407.8100000000004</v>
      </c>
      <c r="AE30" s="67">
        <f>Config!$D79*'Commandes - Calculs auto'!AE9</f>
        <v>4639.8</v>
      </c>
      <c r="AF30" s="67">
        <f>Config!$D79*'Commandes - Calculs auto'!AF9</f>
        <v>4871.79</v>
      </c>
      <c r="AG30" s="67">
        <f>Config!$D79*'Commandes - Calculs auto'!AG9</f>
        <v>5010.9840000000004</v>
      </c>
      <c r="AH30" s="67">
        <f>Config!$D79*'Commandes - Calculs auto'!AH9</f>
        <v>5103.78</v>
      </c>
      <c r="AI30" s="67">
        <f>Config!$D79*'Commandes - Calculs auto'!AI9</f>
        <v>5335.77</v>
      </c>
      <c r="AJ30" s="67">
        <f>Config!$D79*'Commandes - Calculs auto'!AJ9</f>
        <v>5567.76</v>
      </c>
      <c r="AK30" s="67">
        <f>Config!$D79*'Commandes - Calculs auto'!AK9</f>
        <v>5799.75</v>
      </c>
      <c r="AL30" s="67">
        <f>Config!$D79*'Commandes - Calculs auto'!AL9</f>
        <v>6031.74</v>
      </c>
      <c r="AM30" s="67">
        <f>Config!$D79*'Commandes - Calculs auto'!AM9</f>
        <v>6263.7300000000005</v>
      </c>
      <c r="AN30" s="67">
        <f>Config!$D79*'Commandes - Calculs auto'!AN9</f>
        <v>6402.924</v>
      </c>
      <c r="AO30" s="67">
        <f>Config!$D79*'Commandes - Calculs auto'!AO9</f>
        <v>6588.5159999999996</v>
      </c>
      <c r="AP30" s="67">
        <f>Config!$D79*'Commandes - Calculs auto'!AP9</f>
        <v>6866.9040000000005</v>
      </c>
      <c r="AQ30" s="67">
        <f>Config!$D79*'Commandes - Calculs auto'!AQ9</f>
        <v>7191.69</v>
      </c>
      <c r="AR30" s="67">
        <f>Config!$D79*'Commandes - Calculs auto'!AR9</f>
        <v>7655.67</v>
      </c>
      <c r="AS30" s="67">
        <f>Config!$D79*'Commandes - Calculs auto'!AS9</f>
        <v>7887.66</v>
      </c>
      <c r="AT30" s="67">
        <f>Config!$D79*'Commandes - Calculs auto'!AT9</f>
        <v>8119.65</v>
      </c>
      <c r="AU30" s="67">
        <f>Config!$D79*'Commandes - Calculs auto'!AU9</f>
        <v>8583.6299999999992</v>
      </c>
      <c r="AV30" s="67">
        <f>Config!$D79*'Commandes - Calculs auto'!AV9</f>
        <v>9047.61</v>
      </c>
      <c r="AW30" s="67">
        <f>Config!$D79*'Commandes - Calculs auto'!AW9</f>
        <v>9511.59</v>
      </c>
      <c r="AX30" s="67">
        <f>Config!$D79*'Commandes - Calculs auto'!AX9</f>
        <v>9975.57</v>
      </c>
      <c r="AY30" s="67">
        <f>Config!$D79*'Commandes - Calculs auto'!AY9</f>
        <v>10207.56</v>
      </c>
      <c r="AZ30" s="67">
        <f>Config!$D79*'Commandes - Calculs auto'!AZ9</f>
        <v>10439.549999999999</v>
      </c>
      <c r="BA30" s="67">
        <f>Config!$D79*'Commandes - Calculs auto'!BA9</f>
        <v>10671.54</v>
      </c>
      <c r="BB30" s="67">
        <f>Config!$D79*'Commandes - Calculs auto'!BB9</f>
        <v>11135.52</v>
      </c>
      <c r="BC30" s="67">
        <f>Config!$D79*'Commandes - Calculs auto'!BC9</f>
        <v>11599.5</v>
      </c>
      <c r="BD30" s="67">
        <f>Config!$D79*'Commandes - Calculs auto'!BD9</f>
        <v>12295.47</v>
      </c>
      <c r="BE30" s="67">
        <f>Config!$D79*'Commandes - Calculs auto'!BE9</f>
        <v>12759.45</v>
      </c>
      <c r="BF30" s="67">
        <f>Config!$D79*'Commandes - Calculs auto'!BF9</f>
        <v>13223.43</v>
      </c>
      <c r="BG30" s="67">
        <f>Config!$D79*'Commandes - Calculs auto'!BG9</f>
        <v>13919.4</v>
      </c>
      <c r="BH30" s="67">
        <f>Config!$D79*'Commandes - Calculs auto'!BH9</f>
        <v>14615.37</v>
      </c>
      <c r="BI30" s="67">
        <f>Config!$D79*'Commandes - Calculs auto'!BI9</f>
        <v>15311.34</v>
      </c>
      <c r="BJ30" s="67">
        <f>Config!$D79*'Commandes - Calculs auto'!BJ9</f>
        <v>16239.3</v>
      </c>
      <c r="BK30" s="70"/>
    </row>
    <row r="31" spans="2:63" x14ac:dyDescent="0.2">
      <c r="B31" s="46" t="str">
        <f>Config!$B$15</f>
        <v>Vente de pack découverte (9 Shots)</v>
      </c>
      <c r="C31" s="67">
        <f>Config!$D80*'Commandes - Calculs auto'!C10</f>
        <v>90.97</v>
      </c>
      <c r="D31" s="67">
        <f>Config!$D80*'Commandes - Calculs auto'!D10</f>
        <v>145.55199999999999</v>
      </c>
      <c r="E31" s="67">
        <f>Config!$D80*'Commandes - Calculs auto'!E10</f>
        <v>218.328</v>
      </c>
      <c r="F31" s="67">
        <f>Config!$D80*'Commandes - Calculs auto'!F10</f>
        <v>363.88</v>
      </c>
      <c r="G31" s="67">
        <f>Config!$D80*'Commandes - Calculs auto'!G10</f>
        <v>545.82000000000005</v>
      </c>
      <c r="H31" s="67">
        <f>Config!$D80*'Commandes - Calculs auto'!H10</f>
        <v>636.79</v>
      </c>
      <c r="I31" s="67">
        <f>Config!$D80*'Commandes - Calculs auto'!I10</f>
        <v>545.82000000000005</v>
      </c>
      <c r="J31" s="67">
        <f>Config!$D80*'Commandes - Calculs auto'!J10</f>
        <v>363.88</v>
      </c>
      <c r="K31" s="67">
        <f>Config!$D80*'Commandes - Calculs auto'!K10</f>
        <v>727.76</v>
      </c>
      <c r="L31" s="67">
        <f>Config!$D80*'Commandes - Calculs auto'!L10</f>
        <v>636.79</v>
      </c>
      <c r="M31" s="67">
        <f>Config!$D80*'Commandes - Calculs auto'!M10</f>
        <v>636.79</v>
      </c>
      <c r="N31" s="67">
        <f>Config!$D80*'Commandes - Calculs auto'!N10</f>
        <v>909.7</v>
      </c>
      <c r="O31" s="67">
        <f>Config!$D80*'Commandes - Calculs auto'!O10</f>
        <v>818.73</v>
      </c>
      <c r="P31" s="67">
        <f>Config!$D80*'Commandes - Calculs auto'!P10</f>
        <v>727.76</v>
      </c>
      <c r="Q31" s="67">
        <f>Config!$D80*'Commandes - Calculs auto'!Q10</f>
        <v>818.73</v>
      </c>
      <c r="R31" s="67">
        <f>Config!$D80*'Commandes - Calculs auto'!R10</f>
        <v>1000.67</v>
      </c>
      <c r="S31" s="67">
        <f>Config!$D80*'Commandes - Calculs auto'!S10</f>
        <v>1182.6099999999999</v>
      </c>
      <c r="T31" s="67">
        <f>Config!$D80*'Commandes - Calculs auto'!T10</f>
        <v>1273.58</v>
      </c>
      <c r="U31" s="67">
        <f>Config!$D80*'Commandes - Calculs auto'!U10</f>
        <v>1091.6400000000001</v>
      </c>
      <c r="V31" s="67">
        <f>Config!$D80*'Commandes - Calculs auto'!V10</f>
        <v>909.7</v>
      </c>
      <c r="W31" s="67">
        <f>Config!$D80*'Commandes - Calculs auto'!W10</f>
        <v>1455.52</v>
      </c>
      <c r="X31" s="67">
        <f>Config!$D80*'Commandes - Calculs auto'!X10</f>
        <v>1273.58</v>
      </c>
      <c r="Y31" s="67">
        <f>Config!$D80*'Commandes - Calculs auto'!Y10</f>
        <v>1273.58</v>
      </c>
      <c r="Z31" s="67">
        <f>Config!$D80*'Commandes - Calculs auto'!Z10</f>
        <v>1637.46</v>
      </c>
      <c r="AA31" s="67">
        <f>Config!$D80*'Commandes - Calculs auto'!AA10</f>
        <v>1637.46</v>
      </c>
      <c r="AB31" s="67">
        <f>Config!$D80*'Commandes - Calculs auto'!AB10</f>
        <v>1455.52</v>
      </c>
      <c r="AC31" s="67">
        <f>Config!$D80*'Commandes - Calculs auto'!AC10</f>
        <v>1546.49</v>
      </c>
      <c r="AD31" s="67">
        <f>Config!$D80*'Commandes - Calculs auto'!AD10</f>
        <v>1728.43</v>
      </c>
      <c r="AE31" s="67">
        <f>Config!$D80*'Commandes - Calculs auto'!AE10</f>
        <v>2001.34</v>
      </c>
      <c r="AF31" s="67">
        <f>Config!$D80*'Commandes - Calculs auto'!AF10</f>
        <v>2183.2800000000002</v>
      </c>
      <c r="AG31" s="67">
        <f>Config!$D80*'Commandes - Calculs auto'!AG10</f>
        <v>1819.4</v>
      </c>
      <c r="AH31" s="67">
        <f>Config!$D80*'Commandes - Calculs auto'!AH10</f>
        <v>1637.46</v>
      </c>
      <c r="AI31" s="67">
        <f>Config!$D80*'Commandes - Calculs auto'!AI10</f>
        <v>2365.2199999999998</v>
      </c>
      <c r="AJ31" s="67">
        <f>Config!$D80*'Commandes - Calculs auto'!AJ10</f>
        <v>2001.34</v>
      </c>
      <c r="AK31" s="67">
        <f>Config!$D80*'Commandes - Calculs auto'!AK10</f>
        <v>2001.34</v>
      </c>
      <c r="AL31" s="67">
        <f>Config!$D80*'Commandes - Calculs auto'!AL10</f>
        <v>2729.1</v>
      </c>
      <c r="AM31" s="67">
        <f>Config!$D80*'Commandes - Calculs auto'!AM10</f>
        <v>2911.04</v>
      </c>
      <c r="AN31" s="67">
        <f>Config!$D80*'Commandes - Calculs auto'!AN10</f>
        <v>2547.16</v>
      </c>
      <c r="AO31" s="67">
        <f>Config!$D80*'Commandes - Calculs auto'!AO10</f>
        <v>2729.1</v>
      </c>
      <c r="AP31" s="67">
        <f>Config!$D80*'Commandes - Calculs auto'!AP10</f>
        <v>3092.98</v>
      </c>
      <c r="AQ31" s="67">
        <f>Config!$D80*'Commandes - Calculs auto'!AQ10</f>
        <v>3456.86</v>
      </c>
      <c r="AR31" s="67">
        <f>Config!$D80*'Commandes - Calculs auto'!AR10</f>
        <v>3638.8</v>
      </c>
      <c r="AS31" s="67">
        <f>Config!$D80*'Commandes - Calculs auto'!AS10</f>
        <v>3274.92</v>
      </c>
      <c r="AT31" s="67">
        <f>Config!$D80*'Commandes - Calculs auto'!AT10</f>
        <v>2911.04</v>
      </c>
      <c r="AU31" s="67">
        <f>Config!$D80*'Commandes - Calculs auto'!AU10</f>
        <v>4002.68</v>
      </c>
      <c r="AV31" s="67">
        <f>Config!$D80*'Commandes - Calculs auto'!AV10</f>
        <v>3456.86</v>
      </c>
      <c r="AW31" s="67">
        <f>Config!$D80*'Commandes - Calculs auto'!AW10</f>
        <v>3456.86</v>
      </c>
      <c r="AX31" s="67">
        <f>Config!$D80*'Commandes - Calculs auto'!AX10</f>
        <v>4548.5</v>
      </c>
      <c r="AY31" s="67">
        <f>Config!$D80*'Commandes - Calculs auto'!AY10</f>
        <v>4730.4399999999996</v>
      </c>
      <c r="AZ31" s="67">
        <f>Config!$D80*'Commandes - Calculs auto'!AZ10</f>
        <v>4184.62</v>
      </c>
      <c r="BA31" s="67">
        <f>Config!$D80*'Commandes - Calculs auto'!BA10</f>
        <v>4366.5600000000004</v>
      </c>
      <c r="BB31" s="67">
        <f>Config!$D80*'Commandes - Calculs auto'!BB10</f>
        <v>3092.98</v>
      </c>
      <c r="BC31" s="67">
        <f>Config!$D80*'Commandes - Calculs auto'!BC10</f>
        <v>5458.2</v>
      </c>
      <c r="BD31" s="67">
        <f>Config!$D80*'Commandes - Calculs auto'!BD10</f>
        <v>5822.08</v>
      </c>
      <c r="BE31" s="67">
        <f>Config!$D80*'Commandes - Calculs auto'!BE10</f>
        <v>5276.26</v>
      </c>
      <c r="BF31" s="67">
        <f>Config!$D80*'Commandes - Calculs auto'!BF10</f>
        <v>4548.5</v>
      </c>
      <c r="BG31" s="67">
        <f>Config!$D80*'Commandes - Calculs auto'!BG10</f>
        <v>6367.9</v>
      </c>
      <c r="BH31" s="67">
        <f>Config!$D80*'Commandes - Calculs auto'!BH10</f>
        <v>5458.2</v>
      </c>
      <c r="BI31" s="67">
        <f>Config!$D80*'Commandes - Calculs auto'!BI10</f>
        <v>5458.2</v>
      </c>
      <c r="BJ31" s="67">
        <f>Config!$D80*'Commandes - Calculs auto'!BJ10</f>
        <v>7277.6</v>
      </c>
      <c r="BK31" s="70"/>
    </row>
    <row r="32" spans="2:63" x14ac:dyDescent="0.2">
      <c r="B32" s="46" t="str">
        <f>Config!$B$16</f>
        <v xml:space="preserve">Vente de shots à l'unité </v>
      </c>
      <c r="C32" s="67">
        <f>Config!$D81*'Commandes - Calculs auto'!C11</f>
        <v>4.6969999999999992</v>
      </c>
      <c r="D32" s="67">
        <f>Config!$D81*'Commandes - Calculs auto'!D11</f>
        <v>7.0454999999999997</v>
      </c>
      <c r="E32" s="67">
        <f>Config!$D81*'Commandes - Calculs auto'!E11</f>
        <v>9.3939999999999984</v>
      </c>
      <c r="F32" s="67">
        <f>Config!$D81*'Commandes - Calculs auto'!F11</f>
        <v>11.742499999999998</v>
      </c>
      <c r="G32" s="67">
        <f>Config!$D81*'Commandes - Calculs auto'!G11</f>
        <v>18.787999999999997</v>
      </c>
      <c r="H32" s="67">
        <f>Config!$D81*'Commandes - Calculs auto'!H11</f>
        <v>23.484999999999996</v>
      </c>
      <c r="I32" s="67">
        <f>Config!$D81*'Commandes - Calculs auto'!I11</f>
        <v>18.787999999999997</v>
      </c>
      <c r="J32" s="67">
        <f>Config!$D81*'Commandes - Calculs auto'!J11</f>
        <v>14.090999999999999</v>
      </c>
      <c r="K32" s="67">
        <f>Config!$D81*'Commandes - Calculs auto'!K11</f>
        <v>23.484999999999996</v>
      </c>
      <c r="L32" s="67">
        <f>Config!$D81*'Commandes - Calculs auto'!L11</f>
        <v>18.787999999999997</v>
      </c>
      <c r="M32" s="67">
        <f>Config!$D81*'Commandes - Calculs auto'!M11</f>
        <v>18.787999999999997</v>
      </c>
      <c r="N32" s="67">
        <f>Config!$D81*'Commandes - Calculs auto'!N11</f>
        <v>35.227499999999992</v>
      </c>
      <c r="O32" s="67">
        <f>Config!$D81*'Commandes - Calculs auto'!O11</f>
        <v>23.484999999999996</v>
      </c>
      <c r="P32" s="67">
        <f>Config!$D81*'Commandes - Calculs auto'!P11</f>
        <v>23.484999999999996</v>
      </c>
      <c r="Q32" s="67">
        <f>Config!$D81*'Commandes - Calculs auto'!Q11</f>
        <v>28.181999999999999</v>
      </c>
      <c r="R32" s="67">
        <f>Config!$D81*'Commandes - Calculs auto'!R11</f>
        <v>35.227499999999992</v>
      </c>
      <c r="S32" s="67">
        <f>Config!$D81*'Commandes - Calculs auto'!S11</f>
        <v>46.969999999999992</v>
      </c>
      <c r="T32" s="67">
        <f>Config!$D81*'Commandes - Calculs auto'!T11</f>
        <v>58.712499999999999</v>
      </c>
      <c r="U32" s="67">
        <f>Config!$D81*'Commandes - Calculs auto'!U11</f>
        <v>46.969999999999992</v>
      </c>
      <c r="V32" s="67">
        <f>Config!$D81*'Commandes - Calculs auto'!V11</f>
        <v>35.227499999999992</v>
      </c>
      <c r="W32" s="67">
        <f>Config!$D81*'Commandes - Calculs auto'!W11</f>
        <v>58.712499999999999</v>
      </c>
      <c r="X32" s="67">
        <f>Config!$D81*'Commandes - Calculs auto'!X11</f>
        <v>46.969999999999992</v>
      </c>
      <c r="Y32" s="67">
        <f>Config!$D81*'Commandes - Calculs auto'!Y11</f>
        <v>46.969999999999992</v>
      </c>
      <c r="Z32" s="67">
        <f>Config!$D81*'Commandes - Calculs auto'!Z11</f>
        <v>70.454999999999984</v>
      </c>
      <c r="AA32" s="67">
        <f>Config!$D81*'Commandes - Calculs auto'!AA11</f>
        <v>58.712499999999999</v>
      </c>
      <c r="AB32" s="67">
        <f>Config!$D81*'Commandes - Calculs auto'!AB11</f>
        <v>46.969999999999992</v>
      </c>
      <c r="AC32" s="67">
        <f>Config!$D81*'Commandes - Calculs auto'!AC11</f>
        <v>51.666999999999994</v>
      </c>
      <c r="AD32" s="67">
        <f>Config!$D81*'Commandes - Calculs auto'!AD11</f>
        <v>58.712499999999999</v>
      </c>
      <c r="AE32" s="67">
        <f>Config!$D81*'Commandes - Calculs auto'!AE11</f>
        <v>70.454999999999984</v>
      </c>
      <c r="AF32" s="67">
        <f>Config!$D81*'Commandes - Calculs auto'!AF11</f>
        <v>82.197499999999991</v>
      </c>
      <c r="AG32" s="67">
        <f>Config!$D81*'Commandes - Calculs auto'!AG11</f>
        <v>70.454999999999984</v>
      </c>
      <c r="AH32" s="67">
        <f>Config!$D81*'Commandes - Calculs auto'!AH11</f>
        <v>58.712499999999999</v>
      </c>
      <c r="AI32" s="67">
        <f>Config!$D81*'Commandes - Calculs auto'!AI11</f>
        <v>82.197499999999991</v>
      </c>
      <c r="AJ32" s="67">
        <f>Config!$D81*'Commandes - Calculs auto'!AJ11</f>
        <v>70.454999999999984</v>
      </c>
      <c r="AK32" s="67">
        <f>Config!$D81*'Commandes - Calculs auto'!AK11</f>
        <v>70.454999999999984</v>
      </c>
      <c r="AL32" s="67">
        <f>Config!$D81*'Commandes - Calculs auto'!AL11</f>
        <v>105.68249999999999</v>
      </c>
      <c r="AM32" s="67">
        <f>Config!$D81*'Commandes - Calculs auto'!AM11</f>
        <v>82.197499999999991</v>
      </c>
      <c r="AN32" s="67">
        <f>Config!$D81*'Commandes - Calculs auto'!AN11</f>
        <v>70.454999999999984</v>
      </c>
      <c r="AO32" s="67">
        <f>Config!$D81*'Commandes - Calculs auto'!AO11</f>
        <v>75.151999999999987</v>
      </c>
      <c r="AP32" s="67">
        <f>Config!$D81*'Commandes - Calculs auto'!AP11</f>
        <v>89.242999999999995</v>
      </c>
      <c r="AQ32" s="67">
        <f>Config!$D81*'Commandes - Calculs auto'!AQ11</f>
        <v>105.68249999999999</v>
      </c>
      <c r="AR32" s="67">
        <f>Config!$D81*'Commandes - Calculs auto'!AR11</f>
        <v>117.425</v>
      </c>
      <c r="AS32" s="67">
        <f>Config!$D81*'Commandes - Calculs auto'!AS11</f>
        <v>105.68249999999999</v>
      </c>
      <c r="AT32" s="67">
        <f>Config!$D81*'Commandes - Calculs auto'!AT11</f>
        <v>93.939999999999984</v>
      </c>
      <c r="AU32" s="67">
        <f>Config!$D81*'Commandes - Calculs auto'!AU11</f>
        <v>117.425</v>
      </c>
      <c r="AV32" s="67">
        <f>Config!$D81*'Commandes - Calculs auto'!AV11</f>
        <v>105.68249999999999</v>
      </c>
      <c r="AW32" s="67">
        <f>Config!$D81*'Commandes - Calculs auto'!AW11</f>
        <v>105.68249999999999</v>
      </c>
      <c r="AX32" s="67">
        <f>Config!$D81*'Commandes - Calculs auto'!AX11</f>
        <v>152.65249999999997</v>
      </c>
      <c r="AY32" s="67">
        <f>Config!$D81*'Commandes - Calculs auto'!AY11</f>
        <v>117.425</v>
      </c>
      <c r="AZ32" s="67">
        <f>Config!$D81*'Commandes - Calculs auto'!AZ11</f>
        <v>105.68249999999999</v>
      </c>
      <c r="BA32" s="67">
        <f>Config!$D81*'Commandes - Calculs auto'!BA11</f>
        <v>112.72799999999999</v>
      </c>
      <c r="BB32" s="67">
        <f>Config!$D81*'Commandes - Calculs auto'!BB11</f>
        <v>129.16749999999999</v>
      </c>
      <c r="BC32" s="67">
        <f>Config!$D81*'Commandes - Calculs auto'!BC11</f>
        <v>152.65249999999997</v>
      </c>
      <c r="BD32" s="67">
        <f>Config!$D81*'Commandes - Calculs auto'!BD11</f>
        <v>176.13749999999999</v>
      </c>
      <c r="BE32" s="67">
        <f>Config!$D81*'Commandes - Calculs auto'!BE11</f>
        <v>152.65249999999997</v>
      </c>
      <c r="BF32" s="67">
        <f>Config!$D81*'Commandes - Calculs auto'!BF11</f>
        <v>129.16749999999999</v>
      </c>
      <c r="BG32" s="67">
        <f>Config!$D81*'Commandes - Calculs auto'!BG11</f>
        <v>176.13749999999999</v>
      </c>
      <c r="BH32" s="67">
        <f>Config!$D81*'Commandes - Calculs auto'!BH11</f>
        <v>152.65249999999997</v>
      </c>
      <c r="BI32" s="67">
        <f>Config!$D81*'Commandes - Calculs auto'!BI11</f>
        <v>152.65249999999997</v>
      </c>
      <c r="BJ32" s="67">
        <f>Config!$D81*'Commandes - Calculs auto'!BJ11</f>
        <v>223.10749999999999</v>
      </c>
      <c r="BK32" s="70"/>
    </row>
    <row r="33" spans="2:63" x14ac:dyDescent="0.2">
      <c r="B33" s="46" t="str">
        <f>Config!$B$17</f>
        <v>Vente d'abonnement annuel (360 Shots)</v>
      </c>
      <c r="C33" s="67">
        <f>Config!$D82*'Commandes - Calculs auto'!C12</f>
        <v>0</v>
      </c>
      <c r="D33" s="67">
        <f>Config!$D82*'Commandes - Calculs auto'!D12</f>
        <v>0</v>
      </c>
      <c r="E33" s="67">
        <f>Config!$D82*'Commandes - Calculs auto'!E12</f>
        <v>0</v>
      </c>
      <c r="F33" s="67">
        <f>Config!$D82*'Commandes - Calculs auto'!F12</f>
        <v>39.099499999999999</v>
      </c>
      <c r="G33" s="67">
        <f>Config!$D82*'Commandes - Calculs auto'!G12</f>
        <v>39.099499999999999</v>
      </c>
      <c r="H33" s="67">
        <f>Config!$D82*'Commandes - Calculs auto'!H12</f>
        <v>78.198999999999998</v>
      </c>
      <c r="I33" s="67">
        <f>Config!$D82*'Commandes - Calculs auto'!I12</f>
        <v>39.099499999999999</v>
      </c>
      <c r="J33" s="67">
        <f>Config!$D82*'Commandes - Calculs auto'!J12</f>
        <v>0</v>
      </c>
      <c r="K33" s="67">
        <f>Config!$D82*'Commandes - Calculs auto'!K12</f>
        <v>117.29849999999999</v>
      </c>
      <c r="L33" s="67">
        <f>Config!$D82*'Commandes - Calculs auto'!L12</f>
        <v>78.198999999999998</v>
      </c>
      <c r="M33" s="67">
        <f>Config!$D82*'Commandes - Calculs auto'!M12</f>
        <v>78.198999999999998</v>
      </c>
      <c r="N33" s="67">
        <f>Config!$D82*'Commandes - Calculs auto'!N12</f>
        <v>195.4975</v>
      </c>
      <c r="O33" s="67">
        <f>Config!$D82*'Commandes - Calculs auto'!O12</f>
        <v>117.29849999999999</v>
      </c>
      <c r="P33" s="67">
        <f>Config!$D82*'Commandes - Calculs auto'!P12</f>
        <v>78.198999999999998</v>
      </c>
      <c r="Q33" s="67">
        <f>Config!$D82*'Commandes - Calculs auto'!Q12</f>
        <v>78.198999999999998</v>
      </c>
      <c r="R33" s="67">
        <f>Config!$D82*'Commandes - Calculs auto'!R12</f>
        <v>117.29849999999999</v>
      </c>
      <c r="S33" s="67">
        <f>Config!$D82*'Commandes - Calculs auto'!S12</f>
        <v>156.398</v>
      </c>
      <c r="T33" s="67">
        <f>Config!$D82*'Commandes - Calculs auto'!T12</f>
        <v>195.4975</v>
      </c>
      <c r="U33" s="67">
        <f>Config!$D82*'Commandes - Calculs auto'!U12</f>
        <v>117.29849999999999</v>
      </c>
      <c r="V33" s="67">
        <f>Config!$D82*'Commandes - Calculs auto'!V12</f>
        <v>78.198999999999998</v>
      </c>
      <c r="W33" s="67">
        <f>Config!$D82*'Commandes - Calculs auto'!W12</f>
        <v>234.59699999999998</v>
      </c>
      <c r="X33" s="67">
        <f>Config!$D82*'Commandes - Calculs auto'!X12</f>
        <v>156.398</v>
      </c>
      <c r="Y33" s="67">
        <f>Config!$D82*'Commandes - Calculs auto'!Y12</f>
        <v>156.398</v>
      </c>
      <c r="Z33" s="67">
        <f>Config!$D82*'Commandes - Calculs auto'!Z12</f>
        <v>390.995</v>
      </c>
      <c r="AA33" s="67">
        <f>Config!$D82*'Commandes - Calculs auto'!AA12</f>
        <v>195.4975</v>
      </c>
      <c r="AB33" s="67">
        <f>Config!$D82*'Commandes - Calculs auto'!AB12</f>
        <v>117.29849999999999</v>
      </c>
      <c r="AC33" s="67">
        <f>Config!$D82*'Commandes - Calculs auto'!AC12</f>
        <v>156.398</v>
      </c>
      <c r="AD33" s="67">
        <f>Config!$D82*'Commandes - Calculs auto'!AD12</f>
        <v>195.4975</v>
      </c>
      <c r="AE33" s="67">
        <f>Config!$D82*'Commandes - Calculs auto'!AE12</f>
        <v>234.59699999999998</v>
      </c>
      <c r="AF33" s="67">
        <f>Config!$D82*'Commandes - Calculs auto'!AF12</f>
        <v>273.69650000000001</v>
      </c>
      <c r="AG33" s="67">
        <f>Config!$D82*'Commandes - Calculs auto'!AG12</f>
        <v>195.4975</v>
      </c>
      <c r="AH33" s="67">
        <f>Config!$D82*'Commandes - Calculs auto'!AH12</f>
        <v>156.398</v>
      </c>
      <c r="AI33" s="67">
        <f>Config!$D82*'Commandes - Calculs auto'!AI12</f>
        <v>312.79599999999999</v>
      </c>
      <c r="AJ33" s="67">
        <f>Config!$D82*'Commandes - Calculs auto'!AJ12</f>
        <v>234.59699999999998</v>
      </c>
      <c r="AK33" s="67">
        <f>Config!$D82*'Commandes - Calculs auto'!AK12</f>
        <v>234.59699999999998</v>
      </c>
      <c r="AL33" s="67">
        <f>Config!$D82*'Commandes - Calculs auto'!AL12</f>
        <v>586.49249999999995</v>
      </c>
      <c r="AM33" s="67">
        <f>Config!$D82*'Commandes - Calculs auto'!AM12</f>
        <v>312.79599999999999</v>
      </c>
      <c r="AN33" s="67">
        <f>Config!$D82*'Commandes - Calculs auto'!AN12</f>
        <v>195.4975</v>
      </c>
      <c r="AO33" s="67">
        <f>Config!$D82*'Commandes - Calculs auto'!AO12</f>
        <v>234.59699999999998</v>
      </c>
      <c r="AP33" s="67">
        <f>Config!$D82*'Commandes - Calculs auto'!AP12</f>
        <v>312.79599999999999</v>
      </c>
      <c r="AQ33" s="67">
        <f>Config!$D82*'Commandes - Calculs auto'!AQ12</f>
        <v>390.995</v>
      </c>
      <c r="AR33" s="67">
        <f>Config!$D82*'Commandes - Calculs auto'!AR12</f>
        <v>469.19399999999996</v>
      </c>
      <c r="AS33" s="67">
        <f>Config!$D82*'Commandes - Calculs auto'!AS12</f>
        <v>312.79599999999999</v>
      </c>
      <c r="AT33" s="67">
        <f>Config!$D82*'Commandes - Calculs auto'!AT12</f>
        <v>234.59699999999998</v>
      </c>
      <c r="AU33" s="67">
        <f>Config!$D82*'Commandes - Calculs auto'!AU12</f>
        <v>469.19399999999996</v>
      </c>
      <c r="AV33" s="67">
        <f>Config!$D82*'Commandes - Calculs auto'!AV12</f>
        <v>351.89549999999997</v>
      </c>
      <c r="AW33" s="67">
        <f>Config!$D82*'Commandes - Calculs auto'!AW12</f>
        <v>351.89549999999997</v>
      </c>
      <c r="AX33" s="67">
        <f>Config!$D82*'Commandes - Calculs auto'!AX12</f>
        <v>781.99</v>
      </c>
      <c r="AY33" s="67">
        <f>Config!$D82*'Commandes - Calculs auto'!AY12</f>
        <v>469.19399999999996</v>
      </c>
      <c r="AZ33" s="67">
        <f>Config!$D82*'Commandes - Calculs auto'!AZ12</f>
        <v>312.79599999999999</v>
      </c>
      <c r="BA33" s="67">
        <f>Config!$D82*'Commandes - Calculs auto'!BA12</f>
        <v>390.995</v>
      </c>
      <c r="BB33" s="67">
        <f>Config!$D82*'Commandes - Calculs auto'!BB12</f>
        <v>469.19399999999996</v>
      </c>
      <c r="BC33" s="67">
        <f>Config!$D82*'Commandes - Calculs auto'!BC12</f>
        <v>586.49249999999995</v>
      </c>
      <c r="BD33" s="67">
        <f>Config!$D82*'Commandes - Calculs auto'!BD12</f>
        <v>703.79099999999994</v>
      </c>
      <c r="BE33" s="67">
        <f>Config!$D82*'Commandes - Calculs auto'!BE12</f>
        <v>469.19399999999996</v>
      </c>
      <c r="BF33" s="67">
        <f>Config!$D82*'Commandes - Calculs auto'!BF12</f>
        <v>390.995</v>
      </c>
      <c r="BG33" s="67">
        <f>Config!$D82*'Commandes - Calculs auto'!BG12</f>
        <v>781.99</v>
      </c>
      <c r="BH33" s="67">
        <f>Config!$D82*'Commandes - Calculs auto'!BH12</f>
        <v>586.49249999999995</v>
      </c>
      <c r="BI33" s="67">
        <f>Config!$D82*'Commandes - Calculs auto'!BI12</f>
        <v>586.49249999999995</v>
      </c>
      <c r="BJ33" s="67">
        <f>Config!$D82*'Commandes - Calculs auto'!BJ12</f>
        <v>1172.9849999999999</v>
      </c>
      <c r="BK33" s="70"/>
    </row>
    <row r="34" spans="2:63" x14ac:dyDescent="0.2">
      <c r="B34" s="46">
        <f>Config!$B$18</f>
        <v>0</v>
      </c>
      <c r="C34" s="67">
        <f>Config!$D83*'Commandes - Calculs auto'!C13</f>
        <v>0</v>
      </c>
      <c r="D34" s="67">
        <f>Config!$D83*'Commandes - Calculs auto'!D13</f>
        <v>0</v>
      </c>
      <c r="E34" s="67">
        <f>Config!$D83*'Commandes - Calculs auto'!E13</f>
        <v>0</v>
      </c>
      <c r="F34" s="67">
        <f>Config!$D83*'Commandes - Calculs auto'!F13</f>
        <v>0</v>
      </c>
      <c r="G34" s="67">
        <f>Config!$D83*'Commandes - Calculs auto'!G13</f>
        <v>0</v>
      </c>
      <c r="H34" s="67">
        <f>Config!$D83*'Commandes - Calculs auto'!H13</f>
        <v>0</v>
      </c>
      <c r="I34" s="67">
        <f>Config!$D83*'Commandes - Calculs auto'!I13</f>
        <v>0</v>
      </c>
      <c r="J34" s="67">
        <f>Config!$D83*'Commandes - Calculs auto'!J13</f>
        <v>0</v>
      </c>
      <c r="K34" s="67">
        <f>Config!$D83*'Commandes - Calculs auto'!K13</f>
        <v>0</v>
      </c>
      <c r="L34" s="67">
        <f>Config!$D83*'Commandes - Calculs auto'!L13</f>
        <v>0</v>
      </c>
      <c r="M34" s="67">
        <f>Config!$D83*'Commandes - Calculs auto'!M13</f>
        <v>0</v>
      </c>
      <c r="N34" s="67">
        <f>Config!$D83*'Commandes - Calculs auto'!N13</f>
        <v>0</v>
      </c>
      <c r="O34" s="67">
        <f>Config!$D83*'Commandes - Calculs auto'!O13</f>
        <v>0</v>
      </c>
      <c r="P34" s="67">
        <f>Config!$D83*'Commandes - Calculs auto'!P13</f>
        <v>0</v>
      </c>
      <c r="Q34" s="67">
        <f>Config!$D83*'Commandes - Calculs auto'!Q13</f>
        <v>0</v>
      </c>
      <c r="R34" s="67">
        <f>Config!$D83*'Commandes - Calculs auto'!R13</f>
        <v>0</v>
      </c>
      <c r="S34" s="67">
        <f>Config!$D83*'Commandes - Calculs auto'!S13</f>
        <v>0</v>
      </c>
      <c r="T34" s="67">
        <f>Config!$D83*'Commandes - Calculs auto'!T13</f>
        <v>0</v>
      </c>
      <c r="U34" s="67">
        <f>Config!$D83*'Commandes - Calculs auto'!U13</f>
        <v>0</v>
      </c>
      <c r="V34" s="67">
        <f>Config!$D83*'Commandes - Calculs auto'!V13</f>
        <v>0</v>
      </c>
      <c r="W34" s="67">
        <f>Config!$D83*'Commandes - Calculs auto'!W13</f>
        <v>0</v>
      </c>
      <c r="X34" s="67">
        <f>Config!$D83*'Commandes - Calculs auto'!X13</f>
        <v>0</v>
      </c>
      <c r="Y34" s="67">
        <f>Config!$D83*'Commandes - Calculs auto'!Y13</f>
        <v>0</v>
      </c>
      <c r="Z34" s="67">
        <f>Config!$D83*'Commandes - Calculs auto'!Z13</f>
        <v>0</v>
      </c>
      <c r="AA34" s="67">
        <f>Config!$D83*'Commandes - Calculs auto'!AA13</f>
        <v>0</v>
      </c>
      <c r="AB34" s="67">
        <f>Config!$D83*'Commandes - Calculs auto'!AB13</f>
        <v>0</v>
      </c>
      <c r="AC34" s="67">
        <f>Config!$D83*'Commandes - Calculs auto'!AC13</f>
        <v>0</v>
      </c>
      <c r="AD34" s="67">
        <f>Config!$D83*'Commandes - Calculs auto'!AD13</f>
        <v>0</v>
      </c>
      <c r="AE34" s="67">
        <f>Config!$D83*'Commandes - Calculs auto'!AE13</f>
        <v>0</v>
      </c>
      <c r="AF34" s="67">
        <f>Config!$D83*'Commandes - Calculs auto'!AF13</f>
        <v>0</v>
      </c>
      <c r="AG34" s="67">
        <f>Config!$D83*'Commandes - Calculs auto'!AG13</f>
        <v>0</v>
      </c>
      <c r="AH34" s="67">
        <f>Config!$D83*'Commandes - Calculs auto'!AH13</f>
        <v>0</v>
      </c>
      <c r="AI34" s="67">
        <f>Config!$D83*'Commandes - Calculs auto'!AI13</f>
        <v>0</v>
      </c>
      <c r="AJ34" s="67">
        <f>Config!$D83*'Commandes - Calculs auto'!AJ13</f>
        <v>0</v>
      </c>
      <c r="AK34" s="67">
        <f>Config!$D83*'Commandes - Calculs auto'!AK13</f>
        <v>0</v>
      </c>
      <c r="AL34" s="67">
        <f>Config!$D83*'Commandes - Calculs auto'!AL13</f>
        <v>0</v>
      </c>
      <c r="AM34" s="67">
        <f>Config!$D83*'Commandes - Calculs auto'!AM13</f>
        <v>0</v>
      </c>
      <c r="AN34" s="67">
        <f>Config!$D83*'Commandes - Calculs auto'!AN13</f>
        <v>0</v>
      </c>
      <c r="AO34" s="67">
        <f>Config!$D83*'Commandes - Calculs auto'!AO13</f>
        <v>0</v>
      </c>
      <c r="AP34" s="67">
        <f>Config!$D83*'Commandes - Calculs auto'!AP13</f>
        <v>0</v>
      </c>
      <c r="AQ34" s="67">
        <f>Config!$D83*'Commandes - Calculs auto'!AQ13</f>
        <v>0</v>
      </c>
      <c r="AR34" s="67">
        <f>Config!$D83*'Commandes - Calculs auto'!AR13</f>
        <v>0</v>
      </c>
      <c r="AS34" s="67">
        <f>Config!$D83*'Commandes - Calculs auto'!AS13</f>
        <v>0</v>
      </c>
      <c r="AT34" s="67">
        <f>Config!$D83*'Commandes - Calculs auto'!AT13</f>
        <v>0</v>
      </c>
      <c r="AU34" s="67">
        <f>Config!$D83*'Commandes - Calculs auto'!AU13</f>
        <v>0</v>
      </c>
      <c r="AV34" s="67">
        <f>Config!$D83*'Commandes - Calculs auto'!AV13</f>
        <v>0</v>
      </c>
      <c r="AW34" s="67">
        <f>Config!$D83*'Commandes - Calculs auto'!AW13</f>
        <v>0</v>
      </c>
      <c r="AX34" s="67">
        <f>Config!$D83*'Commandes - Calculs auto'!AX13</f>
        <v>0</v>
      </c>
      <c r="AY34" s="67">
        <f>Config!$D83*'Commandes - Calculs auto'!AY13</f>
        <v>0</v>
      </c>
      <c r="AZ34" s="67">
        <f>Config!$D83*'Commandes - Calculs auto'!AZ13</f>
        <v>0</v>
      </c>
      <c r="BA34" s="67">
        <f>Config!$D83*'Commandes - Calculs auto'!BA13</f>
        <v>0</v>
      </c>
      <c r="BB34" s="67">
        <f>Config!$D83*'Commandes - Calculs auto'!BB13</f>
        <v>0</v>
      </c>
      <c r="BC34" s="67">
        <f>Config!$D83*'Commandes - Calculs auto'!BC13</f>
        <v>0</v>
      </c>
      <c r="BD34" s="67">
        <f>Config!$D83*'Commandes - Calculs auto'!BD13</f>
        <v>0</v>
      </c>
      <c r="BE34" s="67">
        <f>Config!$D83*'Commandes - Calculs auto'!BE13</f>
        <v>0</v>
      </c>
      <c r="BF34" s="67">
        <f>Config!$D83*'Commandes - Calculs auto'!BF13</f>
        <v>0</v>
      </c>
      <c r="BG34" s="67">
        <f>Config!$D83*'Commandes - Calculs auto'!BG13</f>
        <v>0</v>
      </c>
      <c r="BH34" s="67">
        <f>Config!$D83*'Commandes - Calculs auto'!BH13</f>
        <v>0</v>
      </c>
      <c r="BI34" s="67">
        <f>Config!$D83*'Commandes - Calculs auto'!BI13</f>
        <v>0</v>
      </c>
      <c r="BJ34" s="67">
        <f>Config!$D83*'Commandes - Calculs auto'!BJ13</f>
        <v>0</v>
      </c>
      <c r="BK34" s="70"/>
    </row>
    <row r="35" spans="2:63" x14ac:dyDescent="0.2">
      <c r="B35" s="46">
        <f>Config!$B$19</f>
        <v>0</v>
      </c>
      <c r="C35" s="67">
        <f>Config!$D84*'Commandes - Calculs auto'!C14</f>
        <v>0</v>
      </c>
      <c r="D35" s="67">
        <f>Config!$D84*'Commandes - Calculs auto'!D14</f>
        <v>0</v>
      </c>
      <c r="E35" s="67">
        <f>Config!$D84*'Commandes - Calculs auto'!E14</f>
        <v>0</v>
      </c>
      <c r="F35" s="67">
        <f>Config!$D84*'Commandes - Calculs auto'!F14</f>
        <v>0</v>
      </c>
      <c r="G35" s="67">
        <f>Config!$D84*'Commandes - Calculs auto'!G14</f>
        <v>0</v>
      </c>
      <c r="H35" s="67">
        <f>Config!$D84*'Commandes - Calculs auto'!H14</f>
        <v>0</v>
      </c>
      <c r="I35" s="67">
        <f>Config!$D84*'Commandes - Calculs auto'!I14</f>
        <v>0</v>
      </c>
      <c r="J35" s="67">
        <f>Config!$D84*'Commandes - Calculs auto'!J14</f>
        <v>0</v>
      </c>
      <c r="K35" s="67">
        <f>Config!$D84*'Commandes - Calculs auto'!K14</f>
        <v>0</v>
      </c>
      <c r="L35" s="67">
        <f>Config!$D84*'Commandes - Calculs auto'!L14</f>
        <v>0</v>
      </c>
      <c r="M35" s="67">
        <f>Config!$D84*'Commandes - Calculs auto'!M14</f>
        <v>0</v>
      </c>
      <c r="N35" s="67">
        <f>Config!$D84*'Commandes - Calculs auto'!N14</f>
        <v>0</v>
      </c>
      <c r="O35" s="67">
        <f>Config!$D84*'Commandes - Calculs auto'!O14</f>
        <v>0</v>
      </c>
      <c r="P35" s="67">
        <f>Config!$D84*'Commandes - Calculs auto'!P14</f>
        <v>0</v>
      </c>
      <c r="Q35" s="67">
        <f>Config!$D84*'Commandes - Calculs auto'!Q14</f>
        <v>0</v>
      </c>
      <c r="R35" s="67">
        <f>Config!$D84*'Commandes - Calculs auto'!R14</f>
        <v>0</v>
      </c>
      <c r="S35" s="67">
        <f>Config!$D84*'Commandes - Calculs auto'!S14</f>
        <v>0</v>
      </c>
      <c r="T35" s="67">
        <f>Config!$D84*'Commandes - Calculs auto'!T14</f>
        <v>0</v>
      </c>
      <c r="U35" s="67">
        <f>Config!$D84*'Commandes - Calculs auto'!U14</f>
        <v>0</v>
      </c>
      <c r="V35" s="67">
        <f>Config!$D84*'Commandes - Calculs auto'!V14</f>
        <v>0</v>
      </c>
      <c r="W35" s="67">
        <f>Config!$D84*'Commandes - Calculs auto'!W14</f>
        <v>0</v>
      </c>
      <c r="X35" s="67">
        <f>Config!$D84*'Commandes - Calculs auto'!X14</f>
        <v>0</v>
      </c>
      <c r="Y35" s="67">
        <f>Config!$D84*'Commandes - Calculs auto'!Y14</f>
        <v>0</v>
      </c>
      <c r="Z35" s="67">
        <f>Config!$D84*'Commandes - Calculs auto'!Z14</f>
        <v>0</v>
      </c>
      <c r="AA35" s="67">
        <f>Config!$D84*'Commandes - Calculs auto'!AA14</f>
        <v>0</v>
      </c>
      <c r="AB35" s="67">
        <f>Config!$D84*'Commandes - Calculs auto'!AB14</f>
        <v>0</v>
      </c>
      <c r="AC35" s="67">
        <f>Config!$D84*'Commandes - Calculs auto'!AC14</f>
        <v>0</v>
      </c>
      <c r="AD35" s="67">
        <f>Config!$D84*'Commandes - Calculs auto'!AD14</f>
        <v>0</v>
      </c>
      <c r="AE35" s="67">
        <f>Config!$D84*'Commandes - Calculs auto'!AE14</f>
        <v>0</v>
      </c>
      <c r="AF35" s="67">
        <f>Config!$D84*'Commandes - Calculs auto'!AF14</f>
        <v>0</v>
      </c>
      <c r="AG35" s="67">
        <f>Config!$D84*'Commandes - Calculs auto'!AG14</f>
        <v>0</v>
      </c>
      <c r="AH35" s="67">
        <f>Config!$D84*'Commandes - Calculs auto'!AH14</f>
        <v>0</v>
      </c>
      <c r="AI35" s="67">
        <f>Config!$D84*'Commandes - Calculs auto'!AI14</f>
        <v>0</v>
      </c>
      <c r="AJ35" s="67">
        <f>Config!$D84*'Commandes - Calculs auto'!AJ14</f>
        <v>0</v>
      </c>
      <c r="AK35" s="67">
        <f>Config!$D84*'Commandes - Calculs auto'!AK14</f>
        <v>0</v>
      </c>
      <c r="AL35" s="67">
        <f>Config!$D84*'Commandes - Calculs auto'!AL14</f>
        <v>0</v>
      </c>
      <c r="AM35" s="67">
        <f>Config!$D84*'Commandes - Calculs auto'!AM14</f>
        <v>0</v>
      </c>
      <c r="AN35" s="67">
        <f>Config!$D84*'Commandes - Calculs auto'!AN14</f>
        <v>0</v>
      </c>
      <c r="AO35" s="67">
        <f>Config!$D84*'Commandes - Calculs auto'!AO14</f>
        <v>0</v>
      </c>
      <c r="AP35" s="67">
        <f>Config!$D84*'Commandes - Calculs auto'!AP14</f>
        <v>0</v>
      </c>
      <c r="AQ35" s="67">
        <f>Config!$D84*'Commandes - Calculs auto'!AQ14</f>
        <v>0</v>
      </c>
      <c r="AR35" s="67">
        <f>Config!$D84*'Commandes - Calculs auto'!AR14</f>
        <v>0</v>
      </c>
      <c r="AS35" s="67">
        <f>Config!$D84*'Commandes - Calculs auto'!AS14</f>
        <v>0</v>
      </c>
      <c r="AT35" s="67">
        <f>Config!$D84*'Commandes - Calculs auto'!AT14</f>
        <v>0</v>
      </c>
      <c r="AU35" s="67">
        <f>Config!$D84*'Commandes - Calculs auto'!AU14</f>
        <v>0</v>
      </c>
      <c r="AV35" s="67">
        <f>Config!$D84*'Commandes - Calculs auto'!AV14</f>
        <v>0</v>
      </c>
      <c r="AW35" s="67">
        <f>Config!$D84*'Commandes - Calculs auto'!AW14</f>
        <v>0</v>
      </c>
      <c r="AX35" s="67">
        <f>Config!$D84*'Commandes - Calculs auto'!AX14</f>
        <v>0</v>
      </c>
      <c r="AY35" s="67">
        <f>Config!$D84*'Commandes - Calculs auto'!AY14</f>
        <v>0</v>
      </c>
      <c r="AZ35" s="67">
        <f>Config!$D84*'Commandes - Calculs auto'!AZ14</f>
        <v>0</v>
      </c>
      <c r="BA35" s="67">
        <f>Config!$D84*'Commandes - Calculs auto'!BA14</f>
        <v>0</v>
      </c>
      <c r="BB35" s="67">
        <f>Config!$D84*'Commandes - Calculs auto'!BB14</f>
        <v>0</v>
      </c>
      <c r="BC35" s="67">
        <f>Config!$D84*'Commandes - Calculs auto'!BC14</f>
        <v>0</v>
      </c>
      <c r="BD35" s="67">
        <f>Config!$D84*'Commandes - Calculs auto'!BD14</f>
        <v>0</v>
      </c>
      <c r="BE35" s="67">
        <f>Config!$D84*'Commandes - Calculs auto'!BE14</f>
        <v>0</v>
      </c>
      <c r="BF35" s="67">
        <f>Config!$D84*'Commandes - Calculs auto'!BF14</f>
        <v>0</v>
      </c>
      <c r="BG35" s="67">
        <f>Config!$D84*'Commandes - Calculs auto'!BG14</f>
        <v>0</v>
      </c>
      <c r="BH35" s="67">
        <f>Config!$D84*'Commandes - Calculs auto'!BH14</f>
        <v>0</v>
      </c>
      <c r="BI35" s="67">
        <f>Config!$D84*'Commandes - Calculs auto'!BI14</f>
        <v>0</v>
      </c>
      <c r="BJ35" s="67">
        <f>Config!$D84*'Commandes - Calculs auto'!BJ14</f>
        <v>0</v>
      </c>
      <c r="BK35" s="70"/>
    </row>
    <row r="36" spans="2:63" x14ac:dyDescent="0.2">
      <c r="B36" s="46">
        <f>Config!$B$20</f>
        <v>0</v>
      </c>
      <c r="C36" s="67">
        <f>Config!$D85*'Commandes - Calculs auto'!C15</f>
        <v>0</v>
      </c>
      <c r="D36" s="67">
        <f>Config!$D85*'Commandes - Calculs auto'!D15</f>
        <v>0</v>
      </c>
      <c r="E36" s="67">
        <f>Config!$D85*'Commandes - Calculs auto'!E15</f>
        <v>0</v>
      </c>
      <c r="F36" s="67">
        <f>Config!$D85*'Commandes - Calculs auto'!F15</f>
        <v>0</v>
      </c>
      <c r="G36" s="67">
        <f>Config!$D85*'Commandes - Calculs auto'!G15</f>
        <v>0</v>
      </c>
      <c r="H36" s="67">
        <f>Config!$D85*'Commandes - Calculs auto'!H15</f>
        <v>0</v>
      </c>
      <c r="I36" s="67">
        <f>Config!$D85*'Commandes - Calculs auto'!I15</f>
        <v>0</v>
      </c>
      <c r="J36" s="67">
        <f>Config!$D85*'Commandes - Calculs auto'!J15</f>
        <v>0</v>
      </c>
      <c r="K36" s="67">
        <f>Config!$D85*'Commandes - Calculs auto'!K15</f>
        <v>0</v>
      </c>
      <c r="L36" s="67">
        <f>Config!$D85*'Commandes - Calculs auto'!L15</f>
        <v>0</v>
      </c>
      <c r="M36" s="67">
        <f>Config!$D85*'Commandes - Calculs auto'!M15</f>
        <v>0</v>
      </c>
      <c r="N36" s="67">
        <f>Config!$D85*'Commandes - Calculs auto'!N15</f>
        <v>0</v>
      </c>
      <c r="O36" s="67">
        <f>Config!$D85*'Commandes - Calculs auto'!O15</f>
        <v>0</v>
      </c>
      <c r="P36" s="67">
        <f>Config!$D85*'Commandes - Calculs auto'!P15</f>
        <v>0</v>
      </c>
      <c r="Q36" s="67">
        <f>Config!$D85*'Commandes - Calculs auto'!Q15</f>
        <v>0</v>
      </c>
      <c r="R36" s="67">
        <f>Config!$D85*'Commandes - Calculs auto'!R15</f>
        <v>0</v>
      </c>
      <c r="S36" s="67">
        <f>Config!$D85*'Commandes - Calculs auto'!S15</f>
        <v>0</v>
      </c>
      <c r="T36" s="67">
        <f>Config!$D85*'Commandes - Calculs auto'!T15</f>
        <v>0</v>
      </c>
      <c r="U36" s="67">
        <f>Config!$D85*'Commandes - Calculs auto'!U15</f>
        <v>0</v>
      </c>
      <c r="V36" s="67">
        <f>Config!$D85*'Commandes - Calculs auto'!V15</f>
        <v>0</v>
      </c>
      <c r="W36" s="67">
        <f>Config!$D85*'Commandes - Calculs auto'!W15</f>
        <v>0</v>
      </c>
      <c r="X36" s="67">
        <f>Config!$D85*'Commandes - Calculs auto'!X15</f>
        <v>0</v>
      </c>
      <c r="Y36" s="67">
        <f>Config!$D85*'Commandes - Calculs auto'!Y15</f>
        <v>0</v>
      </c>
      <c r="Z36" s="67">
        <f>Config!$D85*'Commandes - Calculs auto'!Z15</f>
        <v>0</v>
      </c>
      <c r="AA36" s="67">
        <f>Config!$D85*'Commandes - Calculs auto'!AA15</f>
        <v>0</v>
      </c>
      <c r="AB36" s="67">
        <f>Config!$D85*'Commandes - Calculs auto'!AB15</f>
        <v>0</v>
      </c>
      <c r="AC36" s="67">
        <f>Config!$D85*'Commandes - Calculs auto'!AC15</f>
        <v>0</v>
      </c>
      <c r="AD36" s="67">
        <f>Config!$D85*'Commandes - Calculs auto'!AD15</f>
        <v>0</v>
      </c>
      <c r="AE36" s="67">
        <f>Config!$D85*'Commandes - Calculs auto'!AE15</f>
        <v>0</v>
      </c>
      <c r="AF36" s="67">
        <f>Config!$D85*'Commandes - Calculs auto'!AF15</f>
        <v>0</v>
      </c>
      <c r="AG36" s="67">
        <f>Config!$D85*'Commandes - Calculs auto'!AG15</f>
        <v>0</v>
      </c>
      <c r="AH36" s="67">
        <f>Config!$D85*'Commandes - Calculs auto'!AH15</f>
        <v>0</v>
      </c>
      <c r="AI36" s="67">
        <f>Config!$D85*'Commandes - Calculs auto'!AI15</f>
        <v>0</v>
      </c>
      <c r="AJ36" s="67">
        <f>Config!$D85*'Commandes - Calculs auto'!AJ15</f>
        <v>0</v>
      </c>
      <c r="AK36" s="67">
        <f>Config!$D85*'Commandes - Calculs auto'!AK15</f>
        <v>0</v>
      </c>
      <c r="AL36" s="67">
        <f>Config!$D85*'Commandes - Calculs auto'!AL15</f>
        <v>0</v>
      </c>
      <c r="AM36" s="67">
        <f>Config!$D85*'Commandes - Calculs auto'!AM15</f>
        <v>0</v>
      </c>
      <c r="AN36" s="67">
        <f>Config!$D85*'Commandes - Calculs auto'!AN15</f>
        <v>0</v>
      </c>
      <c r="AO36" s="67">
        <f>Config!$D85*'Commandes - Calculs auto'!AO15</f>
        <v>0</v>
      </c>
      <c r="AP36" s="67">
        <f>Config!$D85*'Commandes - Calculs auto'!AP15</f>
        <v>0</v>
      </c>
      <c r="AQ36" s="67">
        <f>Config!$D85*'Commandes - Calculs auto'!AQ15</f>
        <v>0</v>
      </c>
      <c r="AR36" s="67">
        <f>Config!$D85*'Commandes - Calculs auto'!AR15</f>
        <v>0</v>
      </c>
      <c r="AS36" s="67">
        <f>Config!$D85*'Commandes - Calculs auto'!AS15</f>
        <v>0</v>
      </c>
      <c r="AT36" s="67">
        <f>Config!$D85*'Commandes - Calculs auto'!AT15</f>
        <v>0</v>
      </c>
      <c r="AU36" s="67">
        <f>Config!$D85*'Commandes - Calculs auto'!AU15</f>
        <v>0</v>
      </c>
      <c r="AV36" s="67">
        <f>Config!$D85*'Commandes - Calculs auto'!AV15</f>
        <v>0</v>
      </c>
      <c r="AW36" s="67">
        <f>Config!$D85*'Commandes - Calculs auto'!AW15</f>
        <v>0</v>
      </c>
      <c r="AX36" s="67">
        <f>Config!$D85*'Commandes - Calculs auto'!AX15</f>
        <v>0</v>
      </c>
      <c r="AY36" s="67">
        <f>Config!$D85*'Commandes - Calculs auto'!AY15</f>
        <v>0</v>
      </c>
      <c r="AZ36" s="67">
        <f>Config!$D85*'Commandes - Calculs auto'!AZ15</f>
        <v>0</v>
      </c>
      <c r="BA36" s="67">
        <f>Config!$D85*'Commandes - Calculs auto'!BA15</f>
        <v>0</v>
      </c>
      <c r="BB36" s="67">
        <f>Config!$D85*'Commandes - Calculs auto'!BB15</f>
        <v>0</v>
      </c>
      <c r="BC36" s="67">
        <f>Config!$D85*'Commandes - Calculs auto'!BC15</f>
        <v>0</v>
      </c>
      <c r="BD36" s="67">
        <f>Config!$D85*'Commandes - Calculs auto'!BD15</f>
        <v>0</v>
      </c>
      <c r="BE36" s="67">
        <f>Config!$D85*'Commandes - Calculs auto'!BE15</f>
        <v>0</v>
      </c>
      <c r="BF36" s="67">
        <f>Config!$D85*'Commandes - Calculs auto'!BF15</f>
        <v>0</v>
      </c>
      <c r="BG36" s="67">
        <f>Config!$D85*'Commandes - Calculs auto'!BG15</f>
        <v>0</v>
      </c>
      <c r="BH36" s="67">
        <f>Config!$D85*'Commandes - Calculs auto'!BH15</f>
        <v>0</v>
      </c>
      <c r="BI36" s="67">
        <f>Config!$D85*'Commandes - Calculs auto'!BI15</f>
        <v>0</v>
      </c>
      <c r="BJ36" s="67">
        <f>Config!$D85*'Commandes - Calculs auto'!BJ15</f>
        <v>0</v>
      </c>
      <c r="BK36" s="70"/>
    </row>
    <row r="37" spans="2:63" x14ac:dyDescent="0.2">
      <c r="B37" s="46">
        <f>Config!$B$21</f>
        <v>0</v>
      </c>
      <c r="C37" s="67">
        <f>Config!$D86*'Commandes - Calculs auto'!C16</f>
        <v>0</v>
      </c>
      <c r="D37" s="67">
        <f>Config!$D86*'Commandes - Calculs auto'!D16</f>
        <v>0</v>
      </c>
      <c r="E37" s="67">
        <f>Config!$D86*'Commandes - Calculs auto'!E16</f>
        <v>0</v>
      </c>
      <c r="F37" s="67">
        <f>Config!$D86*'Commandes - Calculs auto'!F16</f>
        <v>0</v>
      </c>
      <c r="G37" s="67">
        <f>Config!$D86*'Commandes - Calculs auto'!G16</f>
        <v>0</v>
      </c>
      <c r="H37" s="67">
        <f>Config!$D86*'Commandes - Calculs auto'!H16</f>
        <v>0</v>
      </c>
      <c r="I37" s="67">
        <f>Config!$D86*'Commandes - Calculs auto'!I16</f>
        <v>0</v>
      </c>
      <c r="J37" s="67">
        <f>Config!$D86*'Commandes - Calculs auto'!J16</f>
        <v>0</v>
      </c>
      <c r="K37" s="67">
        <f>Config!$D86*'Commandes - Calculs auto'!K16</f>
        <v>0</v>
      </c>
      <c r="L37" s="67">
        <f>Config!$D86*'Commandes - Calculs auto'!L16</f>
        <v>0</v>
      </c>
      <c r="M37" s="67">
        <f>Config!$D86*'Commandes - Calculs auto'!M16</f>
        <v>0</v>
      </c>
      <c r="N37" s="67">
        <f>Config!$D86*'Commandes - Calculs auto'!N16</f>
        <v>0</v>
      </c>
      <c r="O37" s="67">
        <f>Config!$D86*'Commandes - Calculs auto'!O16</f>
        <v>0</v>
      </c>
      <c r="P37" s="67">
        <f>Config!$D86*'Commandes - Calculs auto'!P16</f>
        <v>0</v>
      </c>
      <c r="Q37" s="67">
        <f>Config!$D86*'Commandes - Calculs auto'!Q16</f>
        <v>0</v>
      </c>
      <c r="R37" s="67">
        <f>Config!$D86*'Commandes - Calculs auto'!R16</f>
        <v>0</v>
      </c>
      <c r="S37" s="67">
        <f>Config!$D86*'Commandes - Calculs auto'!S16</f>
        <v>0</v>
      </c>
      <c r="T37" s="67">
        <f>Config!$D86*'Commandes - Calculs auto'!T16</f>
        <v>0</v>
      </c>
      <c r="U37" s="67">
        <f>Config!$D86*'Commandes - Calculs auto'!U16</f>
        <v>0</v>
      </c>
      <c r="V37" s="67">
        <f>Config!$D86*'Commandes - Calculs auto'!V16</f>
        <v>0</v>
      </c>
      <c r="W37" s="67">
        <f>Config!$D86*'Commandes - Calculs auto'!W16</f>
        <v>0</v>
      </c>
      <c r="X37" s="67">
        <f>Config!$D86*'Commandes - Calculs auto'!X16</f>
        <v>0</v>
      </c>
      <c r="Y37" s="67">
        <f>Config!$D86*'Commandes - Calculs auto'!Y16</f>
        <v>0</v>
      </c>
      <c r="Z37" s="67">
        <f>Config!$D86*'Commandes - Calculs auto'!Z16</f>
        <v>0</v>
      </c>
      <c r="AA37" s="67">
        <f>Config!$D86*'Commandes - Calculs auto'!AA16</f>
        <v>0</v>
      </c>
      <c r="AB37" s="67">
        <f>Config!$D86*'Commandes - Calculs auto'!AB16</f>
        <v>0</v>
      </c>
      <c r="AC37" s="67">
        <f>Config!$D86*'Commandes - Calculs auto'!AC16</f>
        <v>0</v>
      </c>
      <c r="AD37" s="67">
        <f>Config!$D86*'Commandes - Calculs auto'!AD16</f>
        <v>0</v>
      </c>
      <c r="AE37" s="67">
        <f>Config!$D86*'Commandes - Calculs auto'!AE16</f>
        <v>0</v>
      </c>
      <c r="AF37" s="67">
        <f>Config!$D86*'Commandes - Calculs auto'!AF16</f>
        <v>0</v>
      </c>
      <c r="AG37" s="67">
        <f>Config!$D86*'Commandes - Calculs auto'!AG16</f>
        <v>0</v>
      </c>
      <c r="AH37" s="67">
        <f>Config!$D86*'Commandes - Calculs auto'!AH16</f>
        <v>0</v>
      </c>
      <c r="AI37" s="67">
        <f>Config!$D86*'Commandes - Calculs auto'!AI16</f>
        <v>0</v>
      </c>
      <c r="AJ37" s="67">
        <f>Config!$D86*'Commandes - Calculs auto'!AJ16</f>
        <v>0</v>
      </c>
      <c r="AK37" s="67">
        <f>Config!$D86*'Commandes - Calculs auto'!AK16</f>
        <v>0</v>
      </c>
      <c r="AL37" s="67">
        <f>Config!$D86*'Commandes - Calculs auto'!AL16</f>
        <v>0</v>
      </c>
      <c r="AM37" s="67">
        <f>Config!$D86*'Commandes - Calculs auto'!AM16</f>
        <v>0</v>
      </c>
      <c r="AN37" s="67">
        <f>Config!$D86*'Commandes - Calculs auto'!AN16</f>
        <v>0</v>
      </c>
      <c r="AO37" s="67">
        <f>Config!$D86*'Commandes - Calculs auto'!AO16</f>
        <v>0</v>
      </c>
      <c r="AP37" s="67">
        <f>Config!$D86*'Commandes - Calculs auto'!AP16</f>
        <v>0</v>
      </c>
      <c r="AQ37" s="67">
        <f>Config!$D86*'Commandes - Calculs auto'!AQ16</f>
        <v>0</v>
      </c>
      <c r="AR37" s="67">
        <f>Config!$D86*'Commandes - Calculs auto'!AR16</f>
        <v>0</v>
      </c>
      <c r="AS37" s="67">
        <f>Config!$D86*'Commandes - Calculs auto'!AS16</f>
        <v>0</v>
      </c>
      <c r="AT37" s="67">
        <f>Config!$D86*'Commandes - Calculs auto'!AT16</f>
        <v>0</v>
      </c>
      <c r="AU37" s="67">
        <f>Config!$D86*'Commandes - Calculs auto'!AU16</f>
        <v>0</v>
      </c>
      <c r="AV37" s="67">
        <f>Config!$D86*'Commandes - Calculs auto'!AV16</f>
        <v>0</v>
      </c>
      <c r="AW37" s="67">
        <f>Config!$D86*'Commandes - Calculs auto'!AW16</f>
        <v>0</v>
      </c>
      <c r="AX37" s="67">
        <f>Config!$D86*'Commandes - Calculs auto'!AX16</f>
        <v>0</v>
      </c>
      <c r="AY37" s="67">
        <f>Config!$D86*'Commandes - Calculs auto'!AY16</f>
        <v>0</v>
      </c>
      <c r="AZ37" s="67">
        <f>Config!$D86*'Commandes - Calculs auto'!AZ16</f>
        <v>0</v>
      </c>
      <c r="BA37" s="67">
        <f>Config!$D86*'Commandes - Calculs auto'!BA16</f>
        <v>0</v>
      </c>
      <c r="BB37" s="67">
        <f>Config!$D86*'Commandes - Calculs auto'!BB16</f>
        <v>0</v>
      </c>
      <c r="BC37" s="67">
        <f>Config!$D86*'Commandes - Calculs auto'!BC16</f>
        <v>0</v>
      </c>
      <c r="BD37" s="67">
        <f>Config!$D86*'Commandes - Calculs auto'!BD16</f>
        <v>0</v>
      </c>
      <c r="BE37" s="67">
        <f>Config!$D86*'Commandes - Calculs auto'!BE16</f>
        <v>0</v>
      </c>
      <c r="BF37" s="67">
        <f>Config!$D86*'Commandes - Calculs auto'!BF16</f>
        <v>0</v>
      </c>
      <c r="BG37" s="67">
        <f>Config!$D86*'Commandes - Calculs auto'!BG16</f>
        <v>0</v>
      </c>
      <c r="BH37" s="67">
        <f>Config!$D86*'Commandes - Calculs auto'!BH16</f>
        <v>0</v>
      </c>
      <c r="BI37" s="67">
        <f>Config!$D86*'Commandes - Calculs auto'!BI16</f>
        <v>0</v>
      </c>
      <c r="BJ37" s="67">
        <f>Config!$D86*'Commandes - Calculs auto'!BJ16</f>
        <v>0</v>
      </c>
      <c r="BK37" s="70"/>
    </row>
    <row r="38" spans="2:63" x14ac:dyDescent="0.2">
      <c r="B38" s="46">
        <f>Config!$B$22</f>
        <v>0</v>
      </c>
      <c r="C38" s="67">
        <f>Config!$D87*'Commandes - Calculs auto'!C17</f>
        <v>0</v>
      </c>
      <c r="D38" s="67">
        <f>Config!$D87*'Commandes - Calculs auto'!D17</f>
        <v>0</v>
      </c>
      <c r="E38" s="67">
        <f>Config!$D87*'Commandes - Calculs auto'!E17</f>
        <v>0</v>
      </c>
      <c r="F38" s="67">
        <f>Config!$D87*'Commandes - Calculs auto'!F17</f>
        <v>0</v>
      </c>
      <c r="G38" s="67">
        <f>Config!$D87*'Commandes - Calculs auto'!G17</f>
        <v>0</v>
      </c>
      <c r="H38" s="67">
        <f>Config!$D87*'Commandes - Calculs auto'!H17</f>
        <v>0</v>
      </c>
      <c r="I38" s="67">
        <f>Config!$D87*'Commandes - Calculs auto'!I17</f>
        <v>0</v>
      </c>
      <c r="J38" s="67">
        <f>Config!$D87*'Commandes - Calculs auto'!J17</f>
        <v>0</v>
      </c>
      <c r="K38" s="67">
        <f>Config!$D87*'Commandes - Calculs auto'!K17</f>
        <v>0</v>
      </c>
      <c r="L38" s="67">
        <f>Config!$D87*'Commandes - Calculs auto'!L17</f>
        <v>0</v>
      </c>
      <c r="M38" s="67">
        <f>Config!$D87*'Commandes - Calculs auto'!M17</f>
        <v>0</v>
      </c>
      <c r="N38" s="67">
        <f>Config!$D87*'Commandes - Calculs auto'!N17</f>
        <v>0</v>
      </c>
      <c r="O38" s="67">
        <f>Config!$D87*'Commandes - Calculs auto'!O17</f>
        <v>0</v>
      </c>
      <c r="P38" s="67">
        <f>Config!$D87*'Commandes - Calculs auto'!P17</f>
        <v>0</v>
      </c>
      <c r="Q38" s="67">
        <f>Config!$D87*'Commandes - Calculs auto'!Q17</f>
        <v>0</v>
      </c>
      <c r="R38" s="67">
        <f>Config!$D87*'Commandes - Calculs auto'!R17</f>
        <v>0</v>
      </c>
      <c r="S38" s="67">
        <f>Config!$D87*'Commandes - Calculs auto'!S17</f>
        <v>0</v>
      </c>
      <c r="T38" s="67">
        <f>Config!$D87*'Commandes - Calculs auto'!T17</f>
        <v>0</v>
      </c>
      <c r="U38" s="67">
        <f>Config!$D87*'Commandes - Calculs auto'!U17</f>
        <v>0</v>
      </c>
      <c r="V38" s="67">
        <f>Config!$D87*'Commandes - Calculs auto'!V17</f>
        <v>0</v>
      </c>
      <c r="W38" s="67">
        <f>Config!$D87*'Commandes - Calculs auto'!W17</f>
        <v>0</v>
      </c>
      <c r="X38" s="67">
        <f>Config!$D87*'Commandes - Calculs auto'!X17</f>
        <v>0</v>
      </c>
      <c r="Y38" s="67">
        <f>Config!$D87*'Commandes - Calculs auto'!Y17</f>
        <v>0</v>
      </c>
      <c r="Z38" s="67">
        <f>Config!$D87*'Commandes - Calculs auto'!Z17</f>
        <v>0</v>
      </c>
      <c r="AA38" s="67">
        <f>Config!$D87*'Commandes - Calculs auto'!AA17</f>
        <v>0</v>
      </c>
      <c r="AB38" s="67">
        <f>Config!$D87*'Commandes - Calculs auto'!AB17</f>
        <v>0</v>
      </c>
      <c r="AC38" s="67">
        <f>Config!$D87*'Commandes - Calculs auto'!AC17</f>
        <v>0</v>
      </c>
      <c r="AD38" s="67">
        <f>Config!$D87*'Commandes - Calculs auto'!AD17</f>
        <v>0</v>
      </c>
      <c r="AE38" s="67">
        <f>Config!$D87*'Commandes - Calculs auto'!AE17</f>
        <v>0</v>
      </c>
      <c r="AF38" s="67">
        <f>Config!$D87*'Commandes - Calculs auto'!AF17</f>
        <v>0</v>
      </c>
      <c r="AG38" s="67">
        <f>Config!$D87*'Commandes - Calculs auto'!AG17</f>
        <v>0</v>
      </c>
      <c r="AH38" s="67">
        <f>Config!$D87*'Commandes - Calculs auto'!AH17</f>
        <v>0</v>
      </c>
      <c r="AI38" s="67">
        <f>Config!$D87*'Commandes - Calculs auto'!AI17</f>
        <v>0</v>
      </c>
      <c r="AJ38" s="67">
        <f>Config!$D87*'Commandes - Calculs auto'!AJ17</f>
        <v>0</v>
      </c>
      <c r="AK38" s="67">
        <f>Config!$D87*'Commandes - Calculs auto'!AK17</f>
        <v>0</v>
      </c>
      <c r="AL38" s="67">
        <f>Config!$D87*'Commandes - Calculs auto'!AL17</f>
        <v>0</v>
      </c>
      <c r="AM38" s="67">
        <f>Config!$D87*'Commandes - Calculs auto'!AM17</f>
        <v>0</v>
      </c>
      <c r="AN38" s="67">
        <f>Config!$D87*'Commandes - Calculs auto'!AN17</f>
        <v>0</v>
      </c>
      <c r="AO38" s="67">
        <f>Config!$D87*'Commandes - Calculs auto'!AO17</f>
        <v>0</v>
      </c>
      <c r="AP38" s="67">
        <f>Config!$D87*'Commandes - Calculs auto'!AP17</f>
        <v>0</v>
      </c>
      <c r="AQ38" s="67">
        <f>Config!$D87*'Commandes - Calculs auto'!AQ17</f>
        <v>0</v>
      </c>
      <c r="AR38" s="67">
        <f>Config!$D87*'Commandes - Calculs auto'!AR17</f>
        <v>0</v>
      </c>
      <c r="AS38" s="67">
        <f>Config!$D87*'Commandes - Calculs auto'!AS17</f>
        <v>0</v>
      </c>
      <c r="AT38" s="67">
        <f>Config!$D87*'Commandes - Calculs auto'!AT17</f>
        <v>0</v>
      </c>
      <c r="AU38" s="67">
        <f>Config!$D87*'Commandes - Calculs auto'!AU17</f>
        <v>0</v>
      </c>
      <c r="AV38" s="67">
        <f>Config!$D87*'Commandes - Calculs auto'!AV17</f>
        <v>0</v>
      </c>
      <c r="AW38" s="67">
        <f>Config!$D87*'Commandes - Calculs auto'!AW17</f>
        <v>0</v>
      </c>
      <c r="AX38" s="67">
        <f>Config!$D87*'Commandes - Calculs auto'!AX17</f>
        <v>0</v>
      </c>
      <c r="AY38" s="67">
        <f>Config!$D87*'Commandes - Calculs auto'!AY17</f>
        <v>0</v>
      </c>
      <c r="AZ38" s="67">
        <f>Config!$D87*'Commandes - Calculs auto'!AZ17</f>
        <v>0</v>
      </c>
      <c r="BA38" s="67">
        <f>Config!$D87*'Commandes - Calculs auto'!BA17</f>
        <v>0</v>
      </c>
      <c r="BB38" s="67">
        <f>Config!$D87*'Commandes - Calculs auto'!BB17</f>
        <v>0</v>
      </c>
      <c r="BC38" s="67">
        <f>Config!$D87*'Commandes - Calculs auto'!BC17</f>
        <v>0</v>
      </c>
      <c r="BD38" s="67">
        <f>Config!$D87*'Commandes - Calculs auto'!BD17</f>
        <v>0</v>
      </c>
      <c r="BE38" s="67">
        <f>Config!$D87*'Commandes - Calculs auto'!BE17</f>
        <v>0</v>
      </c>
      <c r="BF38" s="67">
        <f>Config!$D87*'Commandes - Calculs auto'!BF17</f>
        <v>0</v>
      </c>
      <c r="BG38" s="67">
        <f>Config!$D87*'Commandes - Calculs auto'!BG17</f>
        <v>0</v>
      </c>
      <c r="BH38" s="67">
        <f>Config!$D87*'Commandes - Calculs auto'!BH17</f>
        <v>0</v>
      </c>
      <c r="BI38" s="67">
        <f>Config!$D87*'Commandes - Calculs auto'!BI17</f>
        <v>0</v>
      </c>
      <c r="BJ38" s="67">
        <f>Config!$D87*'Commandes - Calculs auto'!BJ17</f>
        <v>0</v>
      </c>
      <c r="BK38" s="70"/>
    </row>
    <row r="39" spans="2:63" x14ac:dyDescent="0.2">
      <c r="B39" s="46">
        <f>Config!$B$23</f>
        <v>0</v>
      </c>
      <c r="C39" s="67">
        <f>Config!$D88*'Commandes - Calculs auto'!C18</f>
        <v>0</v>
      </c>
      <c r="D39" s="67">
        <f>Config!$D88*'Commandes - Calculs auto'!D18</f>
        <v>0</v>
      </c>
      <c r="E39" s="67">
        <f>Config!$D88*'Commandes - Calculs auto'!E18</f>
        <v>0</v>
      </c>
      <c r="F39" s="67">
        <f>Config!$D88*'Commandes - Calculs auto'!F18</f>
        <v>0</v>
      </c>
      <c r="G39" s="67">
        <f>Config!$D88*'Commandes - Calculs auto'!G18</f>
        <v>0</v>
      </c>
      <c r="H39" s="67">
        <f>Config!$D88*'Commandes - Calculs auto'!H18</f>
        <v>0</v>
      </c>
      <c r="I39" s="67">
        <f>Config!$D88*'Commandes - Calculs auto'!I18</f>
        <v>0</v>
      </c>
      <c r="J39" s="67">
        <f>Config!$D88*'Commandes - Calculs auto'!J18</f>
        <v>0</v>
      </c>
      <c r="K39" s="67">
        <f>Config!$D88*'Commandes - Calculs auto'!K18</f>
        <v>0</v>
      </c>
      <c r="L39" s="67">
        <f>Config!$D88*'Commandes - Calculs auto'!L18</f>
        <v>0</v>
      </c>
      <c r="M39" s="67">
        <f>Config!$D88*'Commandes - Calculs auto'!M18</f>
        <v>0</v>
      </c>
      <c r="N39" s="67">
        <f>Config!$D88*'Commandes - Calculs auto'!N18</f>
        <v>0</v>
      </c>
      <c r="O39" s="67">
        <f>Config!$D88*'Commandes - Calculs auto'!O18</f>
        <v>0</v>
      </c>
      <c r="P39" s="67">
        <f>Config!$D88*'Commandes - Calculs auto'!P18</f>
        <v>0</v>
      </c>
      <c r="Q39" s="67">
        <f>Config!$D88*'Commandes - Calculs auto'!Q18</f>
        <v>0</v>
      </c>
      <c r="R39" s="67">
        <f>Config!$D88*'Commandes - Calculs auto'!R18</f>
        <v>0</v>
      </c>
      <c r="S39" s="67">
        <f>Config!$D88*'Commandes - Calculs auto'!S18</f>
        <v>0</v>
      </c>
      <c r="T39" s="67">
        <f>Config!$D88*'Commandes - Calculs auto'!T18</f>
        <v>0</v>
      </c>
      <c r="U39" s="67">
        <f>Config!$D88*'Commandes - Calculs auto'!U18</f>
        <v>0</v>
      </c>
      <c r="V39" s="67">
        <f>Config!$D88*'Commandes - Calculs auto'!V18</f>
        <v>0</v>
      </c>
      <c r="W39" s="67">
        <f>Config!$D88*'Commandes - Calculs auto'!W18</f>
        <v>0</v>
      </c>
      <c r="X39" s="67">
        <f>Config!$D88*'Commandes - Calculs auto'!X18</f>
        <v>0</v>
      </c>
      <c r="Y39" s="67">
        <f>Config!$D88*'Commandes - Calculs auto'!Y18</f>
        <v>0</v>
      </c>
      <c r="Z39" s="67">
        <f>Config!$D88*'Commandes - Calculs auto'!Z18</f>
        <v>0</v>
      </c>
      <c r="AA39" s="67">
        <f>Config!$D88*'Commandes - Calculs auto'!AA18</f>
        <v>0</v>
      </c>
      <c r="AB39" s="67">
        <f>Config!$D88*'Commandes - Calculs auto'!AB18</f>
        <v>0</v>
      </c>
      <c r="AC39" s="67">
        <f>Config!$D88*'Commandes - Calculs auto'!AC18</f>
        <v>0</v>
      </c>
      <c r="AD39" s="67">
        <f>Config!$D88*'Commandes - Calculs auto'!AD18</f>
        <v>0</v>
      </c>
      <c r="AE39" s="67">
        <f>Config!$D88*'Commandes - Calculs auto'!AE18</f>
        <v>0</v>
      </c>
      <c r="AF39" s="67">
        <f>Config!$D88*'Commandes - Calculs auto'!AF18</f>
        <v>0</v>
      </c>
      <c r="AG39" s="67">
        <f>Config!$D88*'Commandes - Calculs auto'!AG18</f>
        <v>0</v>
      </c>
      <c r="AH39" s="67">
        <f>Config!$D88*'Commandes - Calculs auto'!AH18</f>
        <v>0</v>
      </c>
      <c r="AI39" s="67">
        <f>Config!$D88*'Commandes - Calculs auto'!AI18</f>
        <v>0</v>
      </c>
      <c r="AJ39" s="67">
        <f>Config!$D88*'Commandes - Calculs auto'!AJ18</f>
        <v>0</v>
      </c>
      <c r="AK39" s="67">
        <f>Config!$D88*'Commandes - Calculs auto'!AK18</f>
        <v>0</v>
      </c>
      <c r="AL39" s="67">
        <f>Config!$D88*'Commandes - Calculs auto'!AL18</f>
        <v>0</v>
      </c>
      <c r="AM39" s="67">
        <f>Config!$D88*'Commandes - Calculs auto'!AM18</f>
        <v>0</v>
      </c>
      <c r="AN39" s="67">
        <f>Config!$D88*'Commandes - Calculs auto'!AN18</f>
        <v>0</v>
      </c>
      <c r="AO39" s="67">
        <f>Config!$D88*'Commandes - Calculs auto'!AO18</f>
        <v>0</v>
      </c>
      <c r="AP39" s="67">
        <f>Config!$D88*'Commandes - Calculs auto'!AP18</f>
        <v>0</v>
      </c>
      <c r="AQ39" s="67">
        <f>Config!$D88*'Commandes - Calculs auto'!AQ18</f>
        <v>0</v>
      </c>
      <c r="AR39" s="67">
        <f>Config!$D88*'Commandes - Calculs auto'!AR18</f>
        <v>0</v>
      </c>
      <c r="AS39" s="67">
        <f>Config!$D88*'Commandes - Calculs auto'!AS18</f>
        <v>0</v>
      </c>
      <c r="AT39" s="67">
        <f>Config!$D88*'Commandes - Calculs auto'!AT18</f>
        <v>0</v>
      </c>
      <c r="AU39" s="67">
        <f>Config!$D88*'Commandes - Calculs auto'!AU18</f>
        <v>0</v>
      </c>
      <c r="AV39" s="67">
        <f>Config!$D88*'Commandes - Calculs auto'!AV18</f>
        <v>0</v>
      </c>
      <c r="AW39" s="67">
        <f>Config!$D88*'Commandes - Calculs auto'!AW18</f>
        <v>0</v>
      </c>
      <c r="AX39" s="67">
        <f>Config!$D88*'Commandes - Calculs auto'!AX18</f>
        <v>0</v>
      </c>
      <c r="AY39" s="67">
        <f>Config!$D88*'Commandes - Calculs auto'!AY18</f>
        <v>0</v>
      </c>
      <c r="AZ39" s="67">
        <f>Config!$D88*'Commandes - Calculs auto'!AZ18</f>
        <v>0</v>
      </c>
      <c r="BA39" s="67">
        <f>Config!$D88*'Commandes - Calculs auto'!BA18</f>
        <v>0</v>
      </c>
      <c r="BB39" s="67">
        <f>Config!$D88*'Commandes - Calculs auto'!BB18</f>
        <v>0</v>
      </c>
      <c r="BC39" s="67">
        <f>Config!$D88*'Commandes - Calculs auto'!BC18</f>
        <v>0</v>
      </c>
      <c r="BD39" s="67">
        <f>Config!$D88*'Commandes - Calculs auto'!BD18</f>
        <v>0</v>
      </c>
      <c r="BE39" s="67">
        <f>Config!$D88*'Commandes - Calculs auto'!BE18</f>
        <v>0</v>
      </c>
      <c r="BF39" s="67">
        <f>Config!$D88*'Commandes - Calculs auto'!BF18</f>
        <v>0</v>
      </c>
      <c r="BG39" s="67">
        <f>Config!$D88*'Commandes - Calculs auto'!BG18</f>
        <v>0</v>
      </c>
      <c r="BH39" s="67">
        <f>Config!$D88*'Commandes - Calculs auto'!BH18</f>
        <v>0</v>
      </c>
      <c r="BI39" s="67">
        <f>Config!$D88*'Commandes - Calculs auto'!BI18</f>
        <v>0</v>
      </c>
      <c r="BJ39" s="67">
        <f>Config!$D88*'Commandes - Calculs auto'!BJ18</f>
        <v>0</v>
      </c>
      <c r="BK39" s="70"/>
    </row>
    <row r="40" spans="2:63" x14ac:dyDescent="0.2">
      <c r="B40" s="46">
        <f>Config!$B$24</f>
        <v>0</v>
      </c>
      <c r="C40" s="67">
        <f>Config!$D89*'Commandes - Calculs auto'!C19</f>
        <v>0</v>
      </c>
      <c r="D40" s="67">
        <f>Config!$D89*'Commandes - Calculs auto'!D19</f>
        <v>0</v>
      </c>
      <c r="E40" s="67">
        <f>Config!$D89*'Commandes - Calculs auto'!E19</f>
        <v>0</v>
      </c>
      <c r="F40" s="67">
        <f>Config!$D89*'Commandes - Calculs auto'!F19</f>
        <v>0</v>
      </c>
      <c r="G40" s="67">
        <f>Config!$D89*'Commandes - Calculs auto'!G19</f>
        <v>0</v>
      </c>
      <c r="H40" s="67">
        <f>Config!$D89*'Commandes - Calculs auto'!H19</f>
        <v>0</v>
      </c>
      <c r="I40" s="67">
        <f>Config!$D89*'Commandes - Calculs auto'!I19</f>
        <v>0</v>
      </c>
      <c r="J40" s="67">
        <f>Config!$D89*'Commandes - Calculs auto'!J19</f>
        <v>0</v>
      </c>
      <c r="K40" s="67">
        <f>Config!$D89*'Commandes - Calculs auto'!K19</f>
        <v>0</v>
      </c>
      <c r="L40" s="67">
        <f>Config!$D89*'Commandes - Calculs auto'!L19</f>
        <v>0</v>
      </c>
      <c r="M40" s="67">
        <f>Config!$D89*'Commandes - Calculs auto'!M19</f>
        <v>0</v>
      </c>
      <c r="N40" s="67">
        <f>Config!$D89*'Commandes - Calculs auto'!N19</f>
        <v>0</v>
      </c>
      <c r="O40" s="67">
        <f>Config!$D89*'Commandes - Calculs auto'!O19</f>
        <v>0</v>
      </c>
      <c r="P40" s="67">
        <f>Config!$D89*'Commandes - Calculs auto'!P19</f>
        <v>0</v>
      </c>
      <c r="Q40" s="67">
        <f>Config!$D89*'Commandes - Calculs auto'!Q19</f>
        <v>0</v>
      </c>
      <c r="R40" s="67">
        <f>Config!$D89*'Commandes - Calculs auto'!R19</f>
        <v>0</v>
      </c>
      <c r="S40" s="67">
        <f>Config!$D89*'Commandes - Calculs auto'!S19</f>
        <v>0</v>
      </c>
      <c r="T40" s="67">
        <f>Config!$D89*'Commandes - Calculs auto'!T19</f>
        <v>0</v>
      </c>
      <c r="U40" s="67">
        <f>Config!$D89*'Commandes - Calculs auto'!U19</f>
        <v>0</v>
      </c>
      <c r="V40" s="67">
        <f>Config!$D89*'Commandes - Calculs auto'!V19</f>
        <v>0</v>
      </c>
      <c r="W40" s="67">
        <f>Config!$D89*'Commandes - Calculs auto'!W19</f>
        <v>0</v>
      </c>
      <c r="X40" s="67">
        <f>Config!$D89*'Commandes - Calculs auto'!X19</f>
        <v>0</v>
      </c>
      <c r="Y40" s="67">
        <f>Config!$D89*'Commandes - Calculs auto'!Y19</f>
        <v>0</v>
      </c>
      <c r="Z40" s="67">
        <f>Config!$D89*'Commandes - Calculs auto'!Z19</f>
        <v>0</v>
      </c>
      <c r="AA40" s="67">
        <f>Config!$D89*'Commandes - Calculs auto'!AA19</f>
        <v>0</v>
      </c>
      <c r="AB40" s="67">
        <f>Config!$D89*'Commandes - Calculs auto'!AB19</f>
        <v>0</v>
      </c>
      <c r="AC40" s="67">
        <f>Config!$D89*'Commandes - Calculs auto'!AC19</f>
        <v>0</v>
      </c>
      <c r="AD40" s="67">
        <f>Config!$D89*'Commandes - Calculs auto'!AD19</f>
        <v>0</v>
      </c>
      <c r="AE40" s="67">
        <f>Config!$D89*'Commandes - Calculs auto'!AE19</f>
        <v>0</v>
      </c>
      <c r="AF40" s="67">
        <f>Config!$D89*'Commandes - Calculs auto'!AF19</f>
        <v>0</v>
      </c>
      <c r="AG40" s="67">
        <f>Config!$D89*'Commandes - Calculs auto'!AG19</f>
        <v>0</v>
      </c>
      <c r="AH40" s="67">
        <f>Config!$D89*'Commandes - Calculs auto'!AH19</f>
        <v>0</v>
      </c>
      <c r="AI40" s="67">
        <f>Config!$D89*'Commandes - Calculs auto'!AI19</f>
        <v>0</v>
      </c>
      <c r="AJ40" s="67">
        <f>Config!$D89*'Commandes - Calculs auto'!AJ19</f>
        <v>0</v>
      </c>
      <c r="AK40" s="67">
        <f>Config!$D89*'Commandes - Calculs auto'!AK19</f>
        <v>0</v>
      </c>
      <c r="AL40" s="67">
        <f>Config!$D89*'Commandes - Calculs auto'!AL19</f>
        <v>0</v>
      </c>
      <c r="AM40" s="67">
        <f>Config!$D89*'Commandes - Calculs auto'!AM19</f>
        <v>0</v>
      </c>
      <c r="AN40" s="67">
        <f>Config!$D89*'Commandes - Calculs auto'!AN19</f>
        <v>0</v>
      </c>
      <c r="AO40" s="67">
        <f>Config!$D89*'Commandes - Calculs auto'!AO19</f>
        <v>0</v>
      </c>
      <c r="AP40" s="67">
        <f>Config!$D89*'Commandes - Calculs auto'!AP19</f>
        <v>0</v>
      </c>
      <c r="AQ40" s="67">
        <f>Config!$D89*'Commandes - Calculs auto'!AQ19</f>
        <v>0</v>
      </c>
      <c r="AR40" s="67">
        <f>Config!$D89*'Commandes - Calculs auto'!AR19</f>
        <v>0</v>
      </c>
      <c r="AS40" s="67">
        <f>Config!$D89*'Commandes - Calculs auto'!AS19</f>
        <v>0</v>
      </c>
      <c r="AT40" s="67">
        <f>Config!$D89*'Commandes - Calculs auto'!AT19</f>
        <v>0</v>
      </c>
      <c r="AU40" s="67">
        <f>Config!$D89*'Commandes - Calculs auto'!AU19</f>
        <v>0</v>
      </c>
      <c r="AV40" s="67">
        <f>Config!$D89*'Commandes - Calculs auto'!AV19</f>
        <v>0</v>
      </c>
      <c r="AW40" s="67">
        <f>Config!$D89*'Commandes - Calculs auto'!AW19</f>
        <v>0</v>
      </c>
      <c r="AX40" s="67">
        <f>Config!$D89*'Commandes - Calculs auto'!AX19</f>
        <v>0</v>
      </c>
      <c r="AY40" s="67">
        <f>Config!$D89*'Commandes - Calculs auto'!AY19</f>
        <v>0</v>
      </c>
      <c r="AZ40" s="67">
        <f>Config!$D89*'Commandes - Calculs auto'!AZ19</f>
        <v>0</v>
      </c>
      <c r="BA40" s="67">
        <f>Config!$D89*'Commandes - Calculs auto'!BA19</f>
        <v>0</v>
      </c>
      <c r="BB40" s="67">
        <f>Config!$D89*'Commandes - Calculs auto'!BB19</f>
        <v>0</v>
      </c>
      <c r="BC40" s="67">
        <f>Config!$D89*'Commandes - Calculs auto'!BC19</f>
        <v>0</v>
      </c>
      <c r="BD40" s="67">
        <f>Config!$D89*'Commandes - Calculs auto'!BD19</f>
        <v>0</v>
      </c>
      <c r="BE40" s="67">
        <f>Config!$D89*'Commandes - Calculs auto'!BE19</f>
        <v>0</v>
      </c>
      <c r="BF40" s="67">
        <f>Config!$D89*'Commandes - Calculs auto'!BF19</f>
        <v>0</v>
      </c>
      <c r="BG40" s="67">
        <f>Config!$D89*'Commandes - Calculs auto'!BG19</f>
        <v>0</v>
      </c>
      <c r="BH40" s="67">
        <f>Config!$D89*'Commandes - Calculs auto'!BH19</f>
        <v>0</v>
      </c>
      <c r="BI40" s="67">
        <f>Config!$D89*'Commandes - Calculs auto'!BI19</f>
        <v>0</v>
      </c>
      <c r="BJ40" s="67">
        <f>Config!$D89*'Commandes - Calculs auto'!BJ19</f>
        <v>0</v>
      </c>
      <c r="BK40" s="70"/>
    </row>
    <row r="41" spans="2:63" x14ac:dyDescent="0.2">
      <c r="B41" s="46">
        <f>Config!$B$25</f>
        <v>0</v>
      </c>
      <c r="C41" s="67">
        <f>Config!$D90*'Commandes - Calculs auto'!C20</f>
        <v>0</v>
      </c>
      <c r="D41" s="67">
        <f>Config!$D90*'Commandes - Calculs auto'!D20</f>
        <v>0</v>
      </c>
      <c r="E41" s="67">
        <f>Config!$D90*'Commandes - Calculs auto'!E20</f>
        <v>0</v>
      </c>
      <c r="F41" s="67">
        <f>Config!$D90*'Commandes - Calculs auto'!F20</f>
        <v>0</v>
      </c>
      <c r="G41" s="67">
        <f>Config!$D90*'Commandes - Calculs auto'!G20</f>
        <v>0</v>
      </c>
      <c r="H41" s="67">
        <f>Config!$D90*'Commandes - Calculs auto'!H20</f>
        <v>0</v>
      </c>
      <c r="I41" s="67">
        <f>Config!$D90*'Commandes - Calculs auto'!I20</f>
        <v>0</v>
      </c>
      <c r="J41" s="67">
        <f>Config!$D90*'Commandes - Calculs auto'!J20</f>
        <v>0</v>
      </c>
      <c r="K41" s="67">
        <f>Config!$D90*'Commandes - Calculs auto'!K20</f>
        <v>0</v>
      </c>
      <c r="L41" s="67">
        <f>Config!$D90*'Commandes - Calculs auto'!L20</f>
        <v>0</v>
      </c>
      <c r="M41" s="67">
        <f>Config!$D90*'Commandes - Calculs auto'!M20</f>
        <v>0</v>
      </c>
      <c r="N41" s="67">
        <f>Config!$D90*'Commandes - Calculs auto'!N20</f>
        <v>0</v>
      </c>
      <c r="O41" s="67">
        <f>Config!$D90*'Commandes - Calculs auto'!O20</f>
        <v>0</v>
      </c>
      <c r="P41" s="67">
        <f>Config!$D90*'Commandes - Calculs auto'!P20</f>
        <v>0</v>
      </c>
      <c r="Q41" s="67">
        <f>Config!$D90*'Commandes - Calculs auto'!Q20</f>
        <v>0</v>
      </c>
      <c r="R41" s="67">
        <f>Config!$D90*'Commandes - Calculs auto'!R20</f>
        <v>0</v>
      </c>
      <c r="S41" s="67">
        <f>Config!$D90*'Commandes - Calculs auto'!S20</f>
        <v>0</v>
      </c>
      <c r="T41" s="67">
        <f>Config!$D90*'Commandes - Calculs auto'!T20</f>
        <v>0</v>
      </c>
      <c r="U41" s="67">
        <f>Config!$D90*'Commandes - Calculs auto'!U20</f>
        <v>0</v>
      </c>
      <c r="V41" s="67">
        <f>Config!$D90*'Commandes - Calculs auto'!V20</f>
        <v>0</v>
      </c>
      <c r="W41" s="67">
        <f>Config!$D90*'Commandes - Calculs auto'!W20</f>
        <v>0</v>
      </c>
      <c r="X41" s="67">
        <f>Config!$D90*'Commandes - Calculs auto'!X20</f>
        <v>0</v>
      </c>
      <c r="Y41" s="67">
        <f>Config!$D90*'Commandes - Calculs auto'!Y20</f>
        <v>0</v>
      </c>
      <c r="Z41" s="67">
        <f>Config!$D90*'Commandes - Calculs auto'!Z20</f>
        <v>0</v>
      </c>
      <c r="AA41" s="67">
        <f>Config!$D90*'Commandes - Calculs auto'!AA20</f>
        <v>0</v>
      </c>
      <c r="AB41" s="67">
        <f>Config!$D90*'Commandes - Calculs auto'!AB20</f>
        <v>0</v>
      </c>
      <c r="AC41" s="67">
        <f>Config!$D90*'Commandes - Calculs auto'!AC20</f>
        <v>0</v>
      </c>
      <c r="AD41" s="67">
        <f>Config!$D90*'Commandes - Calculs auto'!AD20</f>
        <v>0</v>
      </c>
      <c r="AE41" s="67">
        <f>Config!$D90*'Commandes - Calculs auto'!AE20</f>
        <v>0</v>
      </c>
      <c r="AF41" s="67">
        <f>Config!$D90*'Commandes - Calculs auto'!AF20</f>
        <v>0</v>
      </c>
      <c r="AG41" s="67">
        <f>Config!$D90*'Commandes - Calculs auto'!AG20</f>
        <v>0</v>
      </c>
      <c r="AH41" s="67">
        <f>Config!$D90*'Commandes - Calculs auto'!AH20</f>
        <v>0</v>
      </c>
      <c r="AI41" s="67">
        <f>Config!$D90*'Commandes - Calculs auto'!AI20</f>
        <v>0</v>
      </c>
      <c r="AJ41" s="67">
        <f>Config!$D90*'Commandes - Calculs auto'!AJ20</f>
        <v>0</v>
      </c>
      <c r="AK41" s="67">
        <f>Config!$D90*'Commandes - Calculs auto'!AK20</f>
        <v>0</v>
      </c>
      <c r="AL41" s="67">
        <f>Config!$D90*'Commandes - Calculs auto'!AL20</f>
        <v>0</v>
      </c>
      <c r="AM41" s="67">
        <f>Config!$D90*'Commandes - Calculs auto'!AM20</f>
        <v>0</v>
      </c>
      <c r="AN41" s="67">
        <f>Config!$D90*'Commandes - Calculs auto'!AN20</f>
        <v>0</v>
      </c>
      <c r="AO41" s="67">
        <f>Config!$D90*'Commandes - Calculs auto'!AO20</f>
        <v>0</v>
      </c>
      <c r="AP41" s="67">
        <f>Config!$D90*'Commandes - Calculs auto'!AP20</f>
        <v>0</v>
      </c>
      <c r="AQ41" s="67">
        <f>Config!$D90*'Commandes - Calculs auto'!AQ20</f>
        <v>0</v>
      </c>
      <c r="AR41" s="67">
        <f>Config!$D90*'Commandes - Calculs auto'!AR20</f>
        <v>0</v>
      </c>
      <c r="AS41" s="67">
        <f>Config!$D90*'Commandes - Calculs auto'!AS20</f>
        <v>0</v>
      </c>
      <c r="AT41" s="67">
        <f>Config!$D90*'Commandes - Calculs auto'!AT20</f>
        <v>0</v>
      </c>
      <c r="AU41" s="67">
        <f>Config!$D90*'Commandes - Calculs auto'!AU20</f>
        <v>0</v>
      </c>
      <c r="AV41" s="67">
        <f>Config!$D90*'Commandes - Calculs auto'!AV20</f>
        <v>0</v>
      </c>
      <c r="AW41" s="67">
        <f>Config!$D90*'Commandes - Calculs auto'!AW20</f>
        <v>0</v>
      </c>
      <c r="AX41" s="67">
        <f>Config!$D90*'Commandes - Calculs auto'!AX20</f>
        <v>0</v>
      </c>
      <c r="AY41" s="67">
        <f>Config!$D90*'Commandes - Calculs auto'!AY20</f>
        <v>0</v>
      </c>
      <c r="AZ41" s="67">
        <f>Config!$D90*'Commandes - Calculs auto'!AZ20</f>
        <v>0</v>
      </c>
      <c r="BA41" s="67">
        <f>Config!$D90*'Commandes - Calculs auto'!BA20</f>
        <v>0</v>
      </c>
      <c r="BB41" s="67">
        <f>Config!$D90*'Commandes - Calculs auto'!BB20</f>
        <v>0</v>
      </c>
      <c r="BC41" s="67">
        <f>Config!$D90*'Commandes - Calculs auto'!BC20</f>
        <v>0</v>
      </c>
      <c r="BD41" s="67">
        <f>Config!$D90*'Commandes - Calculs auto'!BD20</f>
        <v>0</v>
      </c>
      <c r="BE41" s="67">
        <f>Config!$D90*'Commandes - Calculs auto'!BE20</f>
        <v>0</v>
      </c>
      <c r="BF41" s="67">
        <f>Config!$D90*'Commandes - Calculs auto'!BF20</f>
        <v>0</v>
      </c>
      <c r="BG41" s="67">
        <f>Config!$D90*'Commandes - Calculs auto'!BG20</f>
        <v>0</v>
      </c>
      <c r="BH41" s="67">
        <f>Config!$D90*'Commandes - Calculs auto'!BH20</f>
        <v>0</v>
      </c>
      <c r="BI41" s="67">
        <f>Config!$D90*'Commandes - Calculs auto'!BI20</f>
        <v>0</v>
      </c>
      <c r="BJ41" s="67">
        <f>Config!$D90*'Commandes - Calculs auto'!BJ20</f>
        <v>0</v>
      </c>
      <c r="BK41" s="70"/>
    </row>
    <row r="42" spans="2:63" x14ac:dyDescent="0.2">
      <c r="B42" s="115"/>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row>
    <row r="43" spans="2:63" x14ac:dyDescent="0.2">
      <c r="B43" s="144" t="s">
        <v>97</v>
      </c>
      <c r="C43" s="67">
        <f t="shared" ref="C43:AH43" si="4">SUM(C30:C41)</f>
        <v>95.667000000000002</v>
      </c>
      <c r="D43" s="67">
        <f t="shared" si="4"/>
        <v>198.99549999999999</v>
      </c>
      <c r="E43" s="67">
        <f t="shared" si="4"/>
        <v>343.71699999999998</v>
      </c>
      <c r="F43" s="67">
        <f t="shared" si="4"/>
        <v>623.51300000000003</v>
      </c>
      <c r="G43" s="67">
        <f t="shared" si="4"/>
        <v>928.49350000000004</v>
      </c>
      <c r="H43" s="67">
        <f t="shared" si="4"/>
        <v>1202.454</v>
      </c>
      <c r="I43" s="67">
        <f t="shared" si="4"/>
        <v>1160.4835</v>
      </c>
      <c r="J43" s="67">
        <f t="shared" si="4"/>
        <v>1027.5429999999999</v>
      </c>
      <c r="K43" s="67">
        <f t="shared" si="4"/>
        <v>1703.7075</v>
      </c>
      <c r="L43" s="67">
        <f t="shared" si="4"/>
        <v>1708.135</v>
      </c>
      <c r="M43" s="67">
        <f t="shared" si="4"/>
        <v>1847.3290000000002</v>
      </c>
      <c r="N43" s="67">
        <f t="shared" si="4"/>
        <v>2439.569</v>
      </c>
      <c r="O43" s="67">
        <f t="shared" si="4"/>
        <v>2351.4535000000001</v>
      </c>
      <c r="P43" s="67">
        <f t="shared" si="4"/>
        <v>2360.5780000000004</v>
      </c>
      <c r="Q43" s="67">
        <f t="shared" si="4"/>
        <v>2595.4389999999999</v>
      </c>
      <c r="R43" s="67">
        <f t="shared" si="4"/>
        <v>3009.116</v>
      </c>
      <c r="S43" s="67">
        <f t="shared" si="4"/>
        <v>3473.8879999999995</v>
      </c>
      <c r="T43" s="67">
        <f t="shared" si="4"/>
        <v>3847.69</v>
      </c>
      <c r="U43" s="67">
        <f t="shared" si="4"/>
        <v>3761.4005000000002</v>
      </c>
      <c r="V43" s="67">
        <f t="shared" si="4"/>
        <v>3667.8124999999995</v>
      </c>
      <c r="W43" s="67">
        <f t="shared" si="4"/>
        <v>4764.6994999999988</v>
      </c>
      <c r="X43" s="67">
        <f t="shared" si="4"/>
        <v>4724.8080000000009</v>
      </c>
      <c r="Y43" s="67">
        <f t="shared" si="4"/>
        <v>4956.7980000000007</v>
      </c>
      <c r="Z43" s="67">
        <f t="shared" si="4"/>
        <v>5810.75</v>
      </c>
      <c r="AA43" s="67">
        <f t="shared" si="4"/>
        <v>5835.5</v>
      </c>
      <c r="AB43" s="67">
        <f t="shared" si="4"/>
        <v>5702.8125</v>
      </c>
      <c r="AC43" s="67">
        <f t="shared" si="4"/>
        <v>5976.773000000001</v>
      </c>
      <c r="AD43" s="67">
        <f t="shared" si="4"/>
        <v>6390.4500000000007</v>
      </c>
      <c r="AE43" s="67">
        <f t="shared" si="4"/>
        <v>6946.192</v>
      </c>
      <c r="AF43" s="67">
        <f t="shared" si="4"/>
        <v>7410.9639999999999</v>
      </c>
      <c r="AG43" s="67">
        <f t="shared" si="4"/>
        <v>7096.3365000000003</v>
      </c>
      <c r="AH43" s="67">
        <f t="shared" si="4"/>
        <v>6956.3504999999996</v>
      </c>
      <c r="AI43" s="67">
        <f t="shared" ref="AI43:BJ43" si="5">SUM(AI30:AI41)</f>
        <v>8095.9835000000003</v>
      </c>
      <c r="AJ43" s="67">
        <f t="shared" si="5"/>
        <v>7874.152</v>
      </c>
      <c r="AK43" s="67">
        <f t="shared" si="5"/>
        <v>8106.1419999999998</v>
      </c>
      <c r="AL43" s="67">
        <f t="shared" si="5"/>
        <v>9453.0150000000012</v>
      </c>
      <c r="AM43" s="67">
        <f t="shared" si="5"/>
        <v>9569.7635000000009</v>
      </c>
      <c r="AN43" s="67">
        <f t="shared" si="5"/>
        <v>9216.0364999999983</v>
      </c>
      <c r="AO43" s="67">
        <f t="shared" si="5"/>
        <v>9627.3649999999998</v>
      </c>
      <c r="AP43" s="67">
        <f t="shared" si="5"/>
        <v>10361.923000000001</v>
      </c>
      <c r="AQ43" s="67">
        <f t="shared" si="5"/>
        <v>11145.227500000001</v>
      </c>
      <c r="AR43" s="67">
        <f t="shared" si="5"/>
        <v>11881.089</v>
      </c>
      <c r="AS43" s="67">
        <f t="shared" si="5"/>
        <v>11581.058500000001</v>
      </c>
      <c r="AT43" s="67">
        <f t="shared" si="5"/>
        <v>11359.226999999999</v>
      </c>
      <c r="AU43" s="67">
        <f t="shared" si="5"/>
        <v>13172.928999999998</v>
      </c>
      <c r="AV43" s="67">
        <f t="shared" si="5"/>
        <v>12962.048000000003</v>
      </c>
      <c r="AW43" s="67">
        <f t="shared" si="5"/>
        <v>13426.028000000002</v>
      </c>
      <c r="AX43" s="67">
        <f t="shared" si="5"/>
        <v>15458.7125</v>
      </c>
      <c r="AY43" s="67">
        <f t="shared" si="5"/>
        <v>15524.618999999999</v>
      </c>
      <c r="AZ43" s="67">
        <f t="shared" si="5"/>
        <v>15042.648499999999</v>
      </c>
      <c r="BA43" s="67">
        <f t="shared" si="5"/>
        <v>15541.823000000002</v>
      </c>
      <c r="BB43" s="67">
        <f t="shared" si="5"/>
        <v>14826.861499999999</v>
      </c>
      <c r="BC43" s="67">
        <f t="shared" si="5"/>
        <v>17796.845000000001</v>
      </c>
      <c r="BD43" s="67">
        <f t="shared" si="5"/>
        <v>18997.478500000001</v>
      </c>
      <c r="BE43" s="67">
        <f t="shared" si="5"/>
        <v>18657.556499999999</v>
      </c>
      <c r="BF43" s="67">
        <f t="shared" si="5"/>
        <v>18292.092499999999</v>
      </c>
      <c r="BG43" s="67">
        <f t="shared" si="5"/>
        <v>21245.427500000002</v>
      </c>
      <c r="BH43" s="67">
        <f t="shared" si="5"/>
        <v>20812.715</v>
      </c>
      <c r="BI43" s="67">
        <f t="shared" si="5"/>
        <v>21508.685000000001</v>
      </c>
      <c r="BJ43" s="67">
        <f t="shared" si="5"/>
        <v>24912.9925</v>
      </c>
      <c r="BK43" s="70"/>
    </row>
    <row r="44" spans="2:63" x14ac:dyDescent="0.2">
      <c r="B44" s="115"/>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row>
    <row r="45" spans="2:63" x14ac:dyDescent="0.2">
      <c r="B45" s="144" t="s">
        <v>271</v>
      </c>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row>
    <row r="46" spans="2:63" x14ac:dyDescent="0.2">
      <c r="B46" s="115"/>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row>
    <row r="47" spans="2:63" x14ac:dyDescent="0.2">
      <c r="B47" s="71"/>
      <c r="C47" s="174" t="s">
        <v>77</v>
      </c>
      <c r="D47" s="157"/>
      <c r="E47" s="157"/>
      <c r="F47" s="157"/>
      <c r="G47" s="157"/>
      <c r="H47" s="157"/>
      <c r="I47" s="157"/>
      <c r="J47" s="157"/>
      <c r="K47" s="157"/>
      <c r="L47" s="157"/>
      <c r="M47" s="157"/>
      <c r="N47" s="158"/>
      <c r="O47" s="174" t="s">
        <v>78</v>
      </c>
      <c r="P47" s="157"/>
      <c r="Q47" s="157"/>
      <c r="R47" s="157"/>
      <c r="S47" s="157"/>
      <c r="T47" s="157"/>
      <c r="U47" s="157"/>
      <c r="V47" s="157"/>
      <c r="W47" s="157"/>
      <c r="X47" s="157"/>
      <c r="Y47" s="157"/>
      <c r="Z47" s="158"/>
      <c r="AA47" s="174" t="s">
        <v>79</v>
      </c>
      <c r="AB47" s="157"/>
      <c r="AC47" s="157"/>
      <c r="AD47" s="157"/>
      <c r="AE47" s="157"/>
      <c r="AF47" s="157"/>
      <c r="AG47" s="157"/>
      <c r="AH47" s="157"/>
      <c r="AI47" s="157"/>
      <c r="AJ47" s="157"/>
      <c r="AK47" s="157"/>
      <c r="AL47" s="158"/>
      <c r="AM47" s="174" t="s">
        <v>80</v>
      </c>
      <c r="AN47" s="157"/>
      <c r="AO47" s="157"/>
      <c r="AP47" s="157"/>
      <c r="AQ47" s="157"/>
      <c r="AR47" s="157"/>
      <c r="AS47" s="157"/>
      <c r="AT47" s="157"/>
      <c r="AU47" s="157"/>
      <c r="AV47" s="157"/>
      <c r="AW47" s="157"/>
      <c r="AX47" s="158"/>
      <c r="AY47" s="174" t="s">
        <v>81</v>
      </c>
      <c r="AZ47" s="157"/>
      <c r="BA47" s="157"/>
      <c r="BB47" s="157"/>
      <c r="BC47" s="157"/>
      <c r="BD47" s="157"/>
      <c r="BE47" s="157"/>
      <c r="BF47" s="157"/>
      <c r="BG47" s="157"/>
      <c r="BH47" s="157"/>
      <c r="BI47" s="157"/>
      <c r="BJ47" s="158"/>
      <c r="BK47" s="70"/>
    </row>
    <row r="48" spans="2:63" x14ac:dyDescent="0.2">
      <c r="B48" s="144" t="s">
        <v>63</v>
      </c>
      <c r="C48" s="55">
        <f>Config!$C$7</f>
        <v>46388</v>
      </c>
      <c r="D48" s="55">
        <f t="shared" ref="D48:AI48" si="6">DATE(YEAR(C48),MONTH(C48)+1,DAY(C48))</f>
        <v>46419</v>
      </c>
      <c r="E48" s="55">
        <f t="shared" si="6"/>
        <v>46447</v>
      </c>
      <c r="F48" s="55">
        <f t="shared" si="6"/>
        <v>46478</v>
      </c>
      <c r="G48" s="55">
        <f t="shared" si="6"/>
        <v>46508</v>
      </c>
      <c r="H48" s="55">
        <f t="shared" si="6"/>
        <v>46539</v>
      </c>
      <c r="I48" s="55">
        <f t="shared" si="6"/>
        <v>46569</v>
      </c>
      <c r="J48" s="55">
        <f t="shared" si="6"/>
        <v>46600</v>
      </c>
      <c r="K48" s="55">
        <f t="shared" si="6"/>
        <v>46631</v>
      </c>
      <c r="L48" s="55">
        <f t="shared" si="6"/>
        <v>46661</v>
      </c>
      <c r="M48" s="55">
        <f t="shared" si="6"/>
        <v>46692</v>
      </c>
      <c r="N48" s="55">
        <f t="shared" si="6"/>
        <v>46722</v>
      </c>
      <c r="O48" s="55">
        <f t="shared" si="6"/>
        <v>46753</v>
      </c>
      <c r="P48" s="55">
        <f t="shared" si="6"/>
        <v>46784</v>
      </c>
      <c r="Q48" s="55">
        <f t="shared" si="6"/>
        <v>46813</v>
      </c>
      <c r="R48" s="55">
        <f t="shared" si="6"/>
        <v>46844</v>
      </c>
      <c r="S48" s="55">
        <f t="shared" si="6"/>
        <v>46874</v>
      </c>
      <c r="T48" s="55">
        <f t="shared" si="6"/>
        <v>46905</v>
      </c>
      <c r="U48" s="55">
        <f t="shared" si="6"/>
        <v>46935</v>
      </c>
      <c r="V48" s="55">
        <f t="shared" si="6"/>
        <v>46966</v>
      </c>
      <c r="W48" s="55">
        <f t="shared" si="6"/>
        <v>46997</v>
      </c>
      <c r="X48" s="55">
        <f t="shared" si="6"/>
        <v>47027</v>
      </c>
      <c r="Y48" s="55">
        <f t="shared" si="6"/>
        <v>47058</v>
      </c>
      <c r="Z48" s="55">
        <f t="shared" si="6"/>
        <v>47088</v>
      </c>
      <c r="AA48" s="55">
        <f t="shared" si="6"/>
        <v>47119</v>
      </c>
      <c r="AB48" s="55">
        <f t="shared" si="6"/>
        <v>47150</v>
      </c>
      <c r="AC48" s="55">
        <f t="shared" si="6"/>
        <v>47178</v>
      </c>
      <c r="AD48" s="55">
        <f t="shared" si="6"/>
        <v>47209</v>
      </c>
      <c r="AE48" s="55">
        <f t="shared" si="6"/>
        <v>47239</v>
      </c>
      <c r="AF48" s="55">
        <f t="shared" si="6"/>
        <v>47270</v>
      </c>
      <c r="AG48" s="55">
        <f t="shared" si="6"/>
        <v>47300</v>
      </c>
      <c r="AH48" s="55">
        <f t="shared" si="6"/>
        <v>47331</v>
      </c>
      <c r="AI48" s="55">
        <f t="shared" si="6"/>
        <v>47362</v>
      </c>
      <c r="AJ48" s="55">
        <f t="shared" ref="AJ48:BJ48" si="7">DATE(YEAR(AI48),MONTH(AI48)+1,DAY(AI48))</f>
        <v>47392</v>
      </c>
      <c r="AK48" s="55">
        <f t="shared" si="7"/>
        <v>47423</v>
      </c>
      <c r="AL48" s="55">
        <f t="shared" si="7"/>
        <v>47453</v>
      </c>
      <c r="AM48" s="55">
        <f t="shared" si="7"/>
        <v>47484</v>
      </c>
      <c r="AN48" s="55">
        <f t="shared" si="7"/>
        <v>47515</v>
      </c>
      <c r="AO48" s="55">
        <f t="shared" si="7"/>
        <v>47543</v>
      </c>
      <c r="AP48" s="55">
        <f t="shared" si="7"/>
        <v>47574</v>
      </c>
      <c r="AQ48" s="55">
        <f t="shared" si="7"/>
        <v>47604</v>
      </c>
      <c r="AR48" s="55">
        <f t="shared" si="7"/>
        <v>47635</v>
      </c>
      <c r="AS48" s="55">
        <f t="shared" si="7"/>
        <v>47665</v>
      </c>
      <c r="AT48" s="55">
        <f t="shared" si="7"/>
        <v>47696</v>
      </c>
      <c r="AU48" s="55">
        <f t="shared" si="7"/>
        <v>47727</v>
      </c>
      <c r="AV48" s="55">
        <f t="shared" si="7"/>
        <v>47757</v>
      </c>
      <c r="AW48" s="55">
        <f t="shared" si="7"/>
        <v>47788</v>
      </c>
      <c r="AX48" s="55">
        <f t="shared" si="7"/>
        <v>47818</v>
      </c>
      <c r="AY48" s="55">
        <f t="shared" si="7"/>
        <v>47849</v>
      </c>
      <c r="AZ48" s="55">
        <f t="shared" si="7"/>
        <v>47880</v>
      </c>
      <c r="BA48" s="55">
        <f t="shared" si="7"/>
        <v>47908</v>
      </c>
      <c r="BB48" s="55">
        <f t="shared" si="7"/>
        <v>47939</v>
      </c>
      <c r="BC48" s="55">
        <f t="shared" si="7"/>
        <v>47969</v>
      </c>
      <c r="BD48" s="55">
        <f t="shared" si="7"/>
        <v>48000</v>
      </c>
      <c r="BE48" s="55">
        <f t="shared" si="7"/>
        <v>48030</v>
      </c>
      <c r="BF48" s="55">
        <f t="shared" si="7"/>
        <v>48061</v>
      </c>
      <c r="BG48" s="55">
        <f t="shared" si="7"/>
        <v>48092</v>
      </c>
      <c r="BH48" s="55">
        <f t="shared" si="7"/>
        <v>48122</v>
      </c>
      <c r="BI48" s="55">
        <f t="shared" si="7"/>
        <v>48153</v>
      </c>
      <c r="BJ48" s="55">
        <f t="shared" si="7"/>
        <v>48183</v>
      </c>
      <c r="BK48" s="70"/>
    </row>
    <row r="49" spans="2:63" x14ac:dyDescent="0.2">
      <c r="B49" s="46" t="str">
        <f>Config!$B$14</f>
        <v>Vente d'abonnement mensuel (30 Shots)</v>
      </c>
      <c r="C49" s="67">
        <f t="shared" ref="C49:AH49" si="8">C11-C30</f>
        <v>0</v>
      </c>
      <c r="D49" s="67">
        <f t="shared" si="8"/>
        <v>-46.398000000000003</v>
      </c>
      <c r="E49" s="67">
        <f t="shared" si="8"/>
        <v>-68.745000000000005</v>
      </c>
      <c r="F49" s="67">
        <f t="shared" si="8"/>
        <v>-90.665999999999997</v>
      </c>
      <c r="G49" s="67">
        <f t="shared" si="8"/>
        <v>-112.161</v>
      </c>
      <c r="H49" s="67">
        <f t="shared" si="8"/>
        <v>-133.23000000000002</v>
      </c>
      <c r="I49" s="67">
        <f t="shared" si="8"/>
        <v>-84.276000000000067</v>
      </c>
      <c r="J49" s="67">
        <f t="shared" si="8"/>
        <v>-82.572000000000003</v>
      </c>
      <c r="K49" s="67">
        <f t="shared" si="8"/>
        <v>-173.66399999999999</v>
      </c>
      <c r="L49" s="67">
        <f t="shared" si="8"/>
        <v>-123.85799999999995</v>
      </c>
      <c r="M49" s="67">
        <f t="shared" si="8"/>
        <v>-121.30200000000013</v>
      </c>
      <c r="N49" s="67">
        <f t="shared" si="8"/>
        <v>-165.14400000000001</v>
      </c>
      <c r="O49" s="67">
        <f t="shared" si="8"/>
        <v>-68.940000000000055</v>
      </c>
      <c r="P49" s="67">
        <f t="shared" si="8"/>
        <v>-113.63400000000001</v>
      </c>
      <c r="Q49" s="67">
        <f t="shared" si="8"/>
        <v>-111.07799999999997</v>
      </c>
      <c r="R49" s="67">
        <f t="shared" si="8"/>
        <v>-154.92000000000007</v>
      </c>
      <c r="S49" s="67">
        <f t="shared" si="8"/>
        <v>-197.90999999999985</v>
      </c>
      <c r="T49" s="67">
        <f t="shared" si="8"/>
        <v>-193.65000000000009</v>
      </c>
      <c r="U49" s="67">
        <f t="shared" si="8"/>
        <v>-142.99200000000019</v>
      </c>
      <c r="V49" s="67">
        <f t="shared" si="8"/>
        <v>-93.185999999999694</v>
      </c>
      <c r="W49" s="67">
        <f t="shared" si="8"/>
        <v>-322.61999999999989</v>
      </c>
      <c r="X49" s="67">
        <f t="shared" si="8"/>
        <v>-176.61000000000013</v>
      </c>
      <c r="Y49" s="67">
        <f t="shared" si="8"/>
        <v>-172.34999999999991</v>
      </c>
      <c r="Z49" s="67">
        <f t="shared" si="8"/>
        <v>-168.09000000000015</v>
      </c>
      <c r="AA49" s="67">
        <f t="shared" si="8"/>
        <v>-163.82999999999993</v>
      </c>
      <c r="AB49" s="67">
        <f t="shared" si="8"/>
        <v>-66.774000000000342</v>
      </c>
      <c r="AC49" s="67">
        <f t="shared" si="8"/>
        <v>-64.218000000000757</v>
      </c>
      <c r="AD49" s="67">
        <f t="shared" si="8"/>
        <v>-108.0600000000004</v>
      </c>
      <c r="AE49" s="67">
        <f t="shared" si="8"/>
        <v>-151.05000000000018</v>
      </c>
      <c r="AF49" s="67">
        <f t="shared" si="8"/>
        <v>-146.78999999999996</v>
      </c>
      <c r="AG49" s="67">
        <f t="shared" si="8"/>
        <v>-49.734000000000378</v>
      </c>
      <c r="AH49" s="67">
        <f t="shared" si="8"/>
        <v>-0.77999999999974534</v>
      </c>
      <c r="AI49" s="67">
        <f t="shared" ref="AI49:BJ49" si="9">AI11-AI30</f>
        <v>-138.27000000000044</v>
      </c>
      <c r="AJ49" s="67">
        <f t="shared" si="9"/>
        <v>-134.01000000000022</v>
      </c>
      <c r="AK49" s="67">
        <f t="shared" si="9"/>
        <v>-129.75</v>
      </c>
      <c r="AL49" s="67">
        <f t="shared" si="9"/>
        <v>-125.48999999999978</v>
      </c>
      <c r="AM49" s="67">
        <f t="shared" si="9"/>
        <v>-121.23000000000047</v>
      </c>
      <c r="AN49" s="67">
        <f t="shared" si="9"/>
        <v>-24.173999999999978</v>
      </c>
      <c r="AO49" s="67">
        <f t="shared" si="9"/>
        <v>-68.015999999999622</v>
      </c>
      <c r="AP49" s="67">
        <f t="shared" si="9"/>
        <v>-157.40400000000045</v>
      </c>
      <c r="AQ49" s="67">
        <f t="shared" si="9"/>
        <v>-198.6899999999996</v>
      </c>
      <c r="AR49" s="67">
        <f t="shared" si="9"/>
        <v>-331.92000000000007</v>
      </c>
      <c r="AS49" s="67">
        <f t="shared" si="9"/>
        <v>-91.409999999999854</v>
      </c>
      <c r="AT49" s="67">
        <f t="shared" si="9"/>
        <v>-87.149999999999636</v>
      </c>
      <c r="AU49" s="67">
        <f t="shared" si="9"/>
        <v>-314.8799999999992</v>
      </c>
      <c r="AV49" s="67">
        <f t="shared" si="9"/>
        <v>-306.36000000000058</v>
      </c>
      <c r="AW49" s="67">
        <f t="shared" si="9"/>
        <v>-297.84000000000015</v>
      </c>
      <c r="AX49" s="67">
        <f t="shared" si="9"/>
        <v>-289.31999999999971</v>
      </c>
      <c r="AY49" s="67">
        <f t="shared" si="9"/>
        <v>-48.809999999999491</v>
      </c>
      <c r="AZ49" s="67">
        <f t="shared" si="9"/>
        <v>-44.549999999999272</v>
      </c>
      <c r="BA49" s="67">
        <f t="shared" si="9"/>
        <v>-40.290000000000873</v>
      </c>
      <c r="BB49" s="67">
        <f t="shared" si="9"/>
        <v>-268.02000000000044</v>
      </c>
      <c r="BC49" s="67">
        <f t="shared" si="9"/>
        <v>-259.5</v>
      </c>
      <c r="BD49" s="67">
        <f t="shared" si="9"/>
        <v>-482.96999999999935</v>
      </c>
      <c r="BE49" s="67">
        <f t="shared" si="9"/>
        <v>-238.20000000000073</v>
      </c>
      <c r="BF49" s="67">
        <f t="shared" si="9"/>
        <v>-229.68000000000029</v>
      </c>
      <c r="BG49" s="67">
        <f t="shared" si="9"/>
        <v>-453.14999999999964</v>
      </c>
      <c r="BH49" s="67">
        <f t="shared" si="9"/>
        <v>-440.3700000000008</v>
      </c>
      <c r="BI49" s="67">
        <f t="shared" si="9"/>
        <v>-427.59000000000015</v>
      </c>
      <c r="BJ49" s="67">
        <f t="shared" si="9"/>
        <v>-646.79999999999927</v>
      </c>
      <c r="BK49" s="70"/>
    </row>
    <row r="50" spans="2:63" x14ac:dyDescent="0.2">
      <c r="B50" s="46" t="str">
        <f>Config!$B$15</f>
        <v>Vente de pack découverte (9 Shots)</v>
      </c>
      <c r="C50" s="67">
        <f t="shared" ref="C50:AH50" si="10">C12-C31</f>
        <v>-90.97</v>
      </c>
      <c r="D50" s="67">
        <f t="shared" si="10"/>
        <v>-81.801999999999992</v>
      </c>
      <c r="E50" s="67">
        <f t="shared" si="10"/>
        <v>-116.328</v>
      </c>
      <c r="F50" s="67">
        <f t="shared" si="10"/>
        <v>-210.88</v>
      </c>
      <c r="G50" s="67">
        <f t="shared" si="10"/>
        <v>-290.82000000000005</v>
      </c>
      <c r="H50" s="67">
        <f t="shared" si="10"/>
        <v>-254.28999999999996</v>
      </c>
      <c r="I50" s="67">
        <f t="shared" si="10"/>
        <v>-99.57000000000005</v>
      </c>
      <c r="J50" s="67">
        <f t="shared" si="10"/>
        <v>18.620000000000005</v>
      </c>
      <c r="K50" s="67">
        <f t="shared" si="10"/>
        <v>-472.76</v>
      </c>
      <c r="L50" s="67">
        <f t="shared" si="10"/>
        <v>-126.78999999999996</v>
      </c>
      <c r="M50" s="67">
        <f t="shared" si="10"/>
        <v>-190.53999999999996</v>
      </c>
      <c r="N50" s="67">
        <f t="shared" si="10"/>
        <v>-463.45000000000005</v>
      </c>
      <c r="O50" s="67">
        <f t="shared" si="10"/>
        <v>-181.23000000000002</v>
      </c>
      <c r="P50" s="67">
        <f t="shared" si="10"/>
        <v>-154.01</v>
      </c>
      <c r="Q50" s="67">
        <f t="shared" si="10"/>
        <v>-308.73</v>
      </c>
      <c r="R50" s="67">
        <f t="shared" si="10"/>
        <v>-426.91999999999996</v>
      </c>
      <c r="S50" s="67">
        <f t="shared" si="10"/>
        <v>-481.3599999999999</v>
      </c>
      <c r="T50" s="67">
        <f t="shared" si="10"/>
        <v>-444.82999999999993</v>
      </c>
      <c r="U50" s="67">
        <f t="shared" si="10"/>
        <v>-199.1400000000001</v>
      </c>
      <c r="V50" s="67">
        <f t="shared" si="10"/>
        <v>-144.70000000000005</v>
      </c>
      <c r="W50" s="67">
        <f t="shared" si="10"/>
        <v>-818.02</v>
      </c>
      <c r="X50" s="67">
        <f t="shared" si="10"/>
        <v>-253.57999999999993</v>
      </c>
      <c r="Y50" s="67">
        <f t="shared" si="10"/>
        <v>-381.07999999999993</v>
      </c>
      <c r="Z50" s="67">
        <f t="shared" si="10"/>
        <v>-744.96</v>
      </c>
      <c r="AA50" s="67">
        <f t="shared" si="10"/>
        <v>-489.96000000000004</v>
      </c>
      <c r="AB50" s="67">
        <f t="shared" si="10"/>
        <v>-308.02</v>
      </c>
      <c r="AC50" s="67">
        <f t="shared" si="10"/>
        <v>-526.49</v>
      </c>
      <c r="AD50" s="67">
        <f t="shared" si="10"/>
        <v>-644.68000000000006</v>
      </c>
      <c r="AE50" s="67">
        <f t="shared" si="10"/>
        <v>-790.08999999999992</v>
      </c>
      <c r="AF50" s="67">
        <f t="shared" si="10"/>
        <v>-780.7800000000002</v>
      </c>
      <c r="AG50" s="67">
        <f t="shared" si="10"/>
        <v>-289.40000000000009</v>
      </c>
      <c r="AH50" s="67">
        <f t="shared" si="10"/>
        <v>-362.46000000000004</v>
      </c>
      <c r="AI50" s="67">
        <f t="shared" ref="AI50:BJ50" si="11">AI12-AI31</f>
        <v>-1217.7199999999998</v>
      </c>
      <c r="AJ50" s="67">
        <f t="shared" si="11"/>
        <v>-343.83999999999992</v>
      </c>
      <c r="AK50" s="67">
        <f t="shared" si="11"/>
        <v>-598.83999999999992</v>
      </c>
      <c r="AL50" s="67">
        <f t="shared" si="11"/>
        <v>-1326.6</v>
      </c>
      <c r="AM50" s="67">
        <f t="shared" si="11"/>
        <v>-998.54</v>
      </c>
      <c r="AN50" s="67">
        <f t="shared" si="11"/>
        <v>-507.15999999999985</v>
      </c>
      <c r="AO50" s="67">
        <f t="shared" si="11"/>
        <v>-944.09999999999991</v>
      </c>
      <c r="AP50" s="67">
        <f t="shared" si="11"/>
        <v>-1180.48</v>
      </c>
      <c r="AQ50" s="67">
        <f t="shared" si="11"/>
        <v>-1289.3600000000001</v>
      </c>
      <c r="AR50" s="67">
        <f t="shared" si="11"/>
        <v>-1216.3000000000002</v>
      </c>
      <c r="AS50" s="67">
        <f t="shared" si="11"/>
        <v>-724.92000000000007</v>
      </c>
      <c r="AT50" s="67">
        <f t="shared" si="11"/>
        <v>-616.04</v>
      </c>
      <c r="AU50" s="67">
        <f t="shared" si="11"/>
        <v>-1962.6799999999998</v>
      </c>
      <c r="AV50" s="67">
        <f t="shared" si="11"/>
        <v>-651.86000000000013</v>
      </c>
      <c r="AW50" s="67">
        <f t="shared" si="11"/>
        <v>-1034.3600000000001</v>
      </c>
      <c r="AX50" s="67">
        <f t="shared" si="11"/>
        <v>-2126</v>
      </c>
      <c r="AY50" s="67">
        <f t="shared" si="11"/>
        <v>-1542.9399999999996</v>
      </c>
      <c r="AZ50" s="67">
        <f t="shared" si="11"/>
        <v>-869.61999999999989</v>
      </c>
      <c r="BA50" s="67">
        <f t="shared" si="11"/>
        <v>-1434.0600000000004</v>
      </c>
      <c r="BB50" s="67">
        <f t="shared" si="11"/>
        <v>-32.980000000000018</v>
      </c>
      <c r="BC50" s="67">
        <f t="shared" si="11"/>
        <v>-3290.7</v>
      </c>
      <c r="BD50" s="67">
        <f t="shared" si="11"/>
        <v>-1997.08</v>
      </c>
      <c r="BE50" s="67">
        <f t="shared" si="11"/>
        <v>-1196.2600000000002</v>
      </c>
      <c r="BF50" s="67">
        <f t="shared" si="11"/>
        <v>-851</v>
      </c>
      <c r="BG50" s="67">
        <f t="shared" si="11"/>
        <v>-3180.3999999999996</v>
      </c>
      <c r="BH50" s="67">
        <f t="shared" si="11"/>
        <v>-995.69999999999982</v>
      </c>
      <c r="BI50" s="67">
        <f t="shared" si="11"/>
        <v>-1633.1999999999998</v>
      </c>
      <c r="BJ50" s="67">
        <f t="shared" si="11"/>
        <v>-3452.6000000000004</v>
      </c>
      <c r="BK50" s="70"/>
    </row>
    <row r="51" spans="2:63" x14ac:dyDescent="0.2">
      <c r="B51" s="46" t="str">
        <f>Config!$B$16</f>
        <v xml:space="preserve">Vente de shots à l'unité </v>
      </c>
      <c r="C51" s="67">
        <f t="shared" ref="C51:AH51" si="12">C13-C32</f>
        <v>-4.6969999999999992</v>
      </c>
      <c r="D51" s="67">
        <f t="shared" si="12"/>
        <v>-3.5954999999999999</v>
      </c>
      <c r="E51" s="67">
        <f t="shared" si="12"/>
        <v>-4.2189999999999985</v>
      </c>
      <c r="F51" s="67">
        <f t="shared" si="12"/>
        <v>-4.8424999999999985</v>
      </c>
      <c r="G51" s="67">
        <f t="shared" si="12"/>
        <v>-10.162999999999998</v>
      </c>
      <c r="H51" s="67">
        <f t="shared" si="12"/>
        <v>-9.6849999999999969</v>
      </c>
      <c r="I51" s="67">
        <f t="shared" si="12"/>
        <v>-1.5380000000000003</v>
      </c>
      <c r="J51" s="67">
        <f t="shared" si="12"/>
        <v>-0.29100000000000037</v>
      </c>
      <c r="K51" s="67">
        <f t="shared" si="12"/>
        <v>-13.134999999999996</v>
      </c>
      <c r="L51" s="67">
        <f t="shared" si="12"/>
        <v>-1.5380000000000003</v>
      </c>
      <c r="M51" s="67">
        <f t="shared" si="12"/>
        <v>-4.9879999999999978</v>
      </c>
      <c r="N51" s="67">
        <f t="shared" si="12"/>
        <v>-21.427499999999995</v>
      </c>
      <c r="O51" s="67">
        <f t="shared" si="12"/>
        <v>2.3900000000000041</v>
      </c>
      <c r="P51" s="67">
        <f t="shared" si="12"/>
        <v>-6.2349999999999994</v>
      </c>
      <c r="Q51" s="67">
        <f t="shared" si="12"/>
        <v>-10.932000000000002</v>
      </c>
      <c r="R51" s="67">
        <f t="shared" si="12"/>
        <v>-14.527499999999993</v>
      </c>
      <c r="S51" s="67">
        <f t="shared" si="12"/>
        <v>-21.094999999999992</v>
      </c>
      <c r="T51" s="67">
        <f t="shared" si="12"/>
        <v>-24.212500000000006</v>
      </c>
      <c r="U51" s="67">
        <f t="shared" si="12"/>
        <v>-3.8449999999999918</v>
      </c>
      <c r="V51" s="67">
        <f t="shared" si="12"/>
        <v>-0.72749999999999915</v>
      </c>
      <c r="W51" s="67">
        <f t="shared" si="12"/>
        <v>-32.837499999999999</v>
      </c>
      <c r="X51" s="67">
        <f t="shared" si="12"/>
        <v>-3.8449999999999918</v>
      </c>
      <c r="Y51" s="67">
        <f t="shared" si="12"/>
        <v>-12.469999999999999</v>
      </c>
      <c r="Z51" s="67">
        <f t="shared" si="12"/>
        <v>-35.954999999999991</v>
      </c>
      <c r="AA51" s="67">
        <f t="shared" si="12"/>
        <v>-6.9624999999999986</v>
      </c>
      <c r="AB51" s="67">
        <f t="shared" si="12"/>
        <v>-3.8449999999999918</v>
      </c>
      <c r="AC51" s="67">
        <f t="shared" si="12"/>
        <v>-17.167000000000002</v>
      </c>
      <c r="AD51" s="67">
        <f t="shared" si="12"/>
        <v>-20.762500000000003</v>
      </c>
      <c r="AE51" s="67">
        <f t="shared" si="12"/>
        <v>-27.329999999999984</v>
      </c>
      <c r="AF51" s="67">
        <f t="shared" si="12"/>
        <v>-30.447499999999991</v>
      </c>
      <c r="AG51" s="67">
        <f t="shared" si="12"/>
        <v>-10.079999999999998</v>
      </c>
      <c r="AH51" s="67">
        <f t="shared" si="12"/>
        <v>-6.9624999999999986</v>
      </c>
      <c r="AI51" s="67">
        <f t="shared" ref="AI51:BJ51" si="13">AI13-AI32</f>
        <v>-39.072499999999991</v>
      </c>
      <c r="AJ51" s="67">
        <f t="shared" si="13"/>
        <v>-10.079999999999998</v>
      </c>
      <c r="AK51" s="67">
        <f t="shared" si="13"/>
        <v>-18.704999999999984</v>
      </c>
      <c r="AL51" s="67">
        <f t="shared" si="13"/>
        <v>-53.93249999999999</v>
      </c>
      <c r="AM51" s="67">
        <f t="shared" si="13"/>
        <v>-4.5724999999999909</v>
      </c>
      <c r="AN51" s="67">
        <f t="shared" si="13"/>
        <v>-10.079999999999998</v>
      </c>
      <c r="AO51" s="67">
        <f t="shared" si="13"/>
        <v>-23.401999999999987</v>
      </c>
      <c r="AP51" s="67">
        <f t="shared" si="13"/>
        <v>-34.042999999999999</v>
      </c>
      <c r="AQ51" s="67">
        <f t="shared" si="13"/>
        <v>-40.132500000000007</v>
      </c>
      <c r="AR51" s="67">
        <f t="shared" si="13"/>
        <v>-39.799999999999997</v>
      </c>
      <c r="AS51" s="67">
        <f t="shared" si="13"/>
        <v>-19.43249999999999</v>
      </c>
      <c r="AT51" s="67">
        <f t="shared" si="13"/>
        <v>-16.314999999999984</v>
      </c>
      <c r="AU51" s="67">
        <f t="shared" si="13"/>
        <v>-48.425000000000011</v>
      </c>
      <c r="AV51" s="67">
        <f t="shared" si="13"/>
        <v>-19.43249999999999</v>
      </c>
      <c r="AW51" s="67">
        <f t="shared" si="13"/>
        <v>-28.05749999999999</v>
      </c>
      <c r="AX51" s="67">
        <f t="shared" si="13"/>
        <v>-75.027499999999975</v>
      </c>
      <c r="AY51" s="67">
        <f t="shared" si="13"/>
        <v>-5.3000000000000114</v>
      </c>
      <c r="AZ51" s="67">
        <f t="shared" si="13"/>
        <v>-19.43249999999999</v>
      </c>
      <c r="BA51" s="67">
        <f t="shared" si="13"/>
        <v>-35.102999999999994</v>
      </c>
      <c r="BB51" s="67">
        <f t="shared" si="13"/>
        <v>-46.367499999999993</v>
      </c>
      <c r="BC51" s="67">
        <f t="shared" si="13"/>
        <v>-57.777499999999975</v>
      </c>
      <c r="BD51" s="67">
        <f t="shared" si="13"/>
        <v>-64.012500000000003</v>
      </c>
      <c r="BE51" s="67">
        <f t="shared" si="13"/>
        <v>-23.277500000000003</v>
      </c>
      <c r="BF51" s="67">
        <f t="shared" si="13"/>
        <v>-17.042500000000004</v>
      </c>
      <c r="BG51" s="67">
        <f t="shared" si="13"/>
        <v>-81.262499999999989</v>
      </c>
      <c r="BH51" s="67">
        <f t="shared" si="13"/>
        <v>-23.277500000000003</v>
      </c>
      <c r="BI51" s="67">
        <f t="shared" si="13"/>
        <v>-40.527499999999989</v>
      </c>
      <c r="BJ51" s="67">
        <f t="shared" si="13"/>
        <v>-110.9825</v>
      </c>
      <c r="BK51" s="70"/>
    </row>
    <row r="52" spans="2:63" x14ac:dyDescent="0.2">
      <c r="B52" s="46" t="str">
        <f>Config!$B$17</f>
        <v>Vente d'abonnement annuel (360 Shots)</v>
      </c>
      <c r="C52" s="67">
        <f t="shared" ref="C52:AH52" si="14">C14-C33</f>
        <v>0</v>
      </c>
      <c r="D52" s="67">
        <f t="shared" si="14"/>
        <v>0</v>
      </c>
      <c r="E52" s="67">
        <f t="shared" si="14"/>
        <v>0</v>
      </c>
      <c r="F52" s="67">
        <f t="shared" si="14"/>
        <v>-39.099499999999999</v>
      </c>
      <c r="G52" s="67">
        <f t="shared" si="14"/>
        <v>17.600499999999997</v>
      </c>
      <c r="H52" s="67">
        <f t="shared" si="14"/>
        <v>-21.499000000000002</v>
      </c>
      <c r="I52" s="67">
        <f t="shared" si="14"/>
        <v>74.3005</v>
      </c>
      <c r="J52" s="67">
        <f t="shared" si="14"/>
        <v>56.699999999999996</v>
      </c>
      <c r="K52" s="67">
        <f t="shared" si="14"/>
        <v>-117.29849999999999</v>
      </c>
      <c r="L52" s="67">
        <f t="shared" si="14"/>
        <v>91.900999999999996</v>
      </c>
      <c r="M52" s="67">
        <f t="shared" si="14"/>
        <v>35.200999999999993</v>
      </c>
      <c r="N52" s="67">
        <f t="shared" si="14"/>
        <v>-82.097500000000011</v>
      </c>
      <c r="O52" s="67">
        <f t="shared" si="14"/>
        <v>166.20150000000001</v>
      </c>
      <c r="P52" s="67">
        <f t="shared" si="14"/>
        <v>91.900999999999996</v>
      </c>
      <c r="Q52" s="67">
        <f t="shared" si="14"/>
        <v>35.200999999999993</v>
      </c>
      <c r="R52" s="67">
        <f t="shared" si="14"/>
        <v>-3.8984999999999985</v>
      </c>
      <c r="S52" s="67">
        <f t="shared" si="14"/>
        <v>13.701999999999998</v>
      </c>
      <c r="T52" s="67">
        <f t="shared" si="14"/>
        <v>31.302499999999981</v>
      </c>
      <c r="U52" s="67">
        <f t="shared" si="14"/>
        <v>166.20150000000001</v>
      </c>
      <c r="V52" s="67">
        <f t="shared" si="14"/>
        <v>91.900999999999996</v>
      </c>
      <c r="W52" s="67">
        <f t="shared" si="14"/>
        <v>-121.19699999999999</v>
      </c>
      <c r="X52" s="67">
        <f t="shared" si="14"/>
        <v>183.80199999999999</v>
      </c>
      <c r="Y52" s="67">
        <f t="shared" si="14"/>
        <v>70.401999999999987</v>
      </c>
      <c r="Z52" s="67">
        <f t="shared" si="14"/>
        <v>-164.19500000000002</v>
      </c>
      <c r="AA52" s="67">
        <f t="shared" si="14"/>
        <v>371.5025</v>
      </c>
      <c r="AB52" s="67">
        <f t="shared" si="14"/>
        <v>166.20150000000001</v>
      </c>
      <c r="AC52" s="67">
        <f t="shared" si="14"/>
        <v>13.701999999999998</v>
      </c>
      <c r="AD52" s="67">
        <f t="shared" si="14"/>
        <v>31.302499999999981</v>
      </c>
      <c r="AE52" s="67">
        <f t="shared" si="14"/>
        <v>48.90300000000002</v>
      </c>
      <c r="AF52" s="67">
        <f t="shared" si="14"/>
        <v>66.503499999999974</v>
      </c>
      <c r="AG52" s="67">
        <f t="shared" si="14"/>
        <v>201.40249999999997</v>
      </c>
      <c r="AH52" s="67">
        <f t="shared" si="14"/>
        <v>127.102</v>
      </c>
      <c r="AI52" s="67">
        <f t="shared" ref="AI52:BJ52" si="15">AI14-AI33</f>
        <v>-85.996000000000009</v>
      </c>
      <c r="AJ52" s="67">
        <f t="shared" si="15"/>
        <v>219.00299999999999</v>
      </c>
      <c r="AK52" s="67">
        <f t="shared" si="15"/>
        <v>105.60300000000001</v>
      </c>
      <c r="AL52" s="67">
        <f t="shared" si="15"/>
        <v>-246.29249999999996</v>
      </c>
      <c r="AM52" s="67">
        <f t="shared" si="15"/>
        <v>537.70399999999995</v>
      </c>
      <c r="AN52" s="67">
        <f t="shared" si="15"/>
        <v>258.10249999999996</v>
      </c>
      <c r="AO52" s="67">
        <f t="shared" si="15"/>
        <v>48.90300000000002</v>
      </c>
      <c r="AP52" s="67">
        <f t="shared" si="15"/>
        <v>27.403999999999996</v>
      </c>
      <c r="AQ52" s="67">
        <f t="shared" si="15"/>
        <v>62.604999999999961</v>
      </c>
      <c r="AR52" s="67">
        <f t="shared" si="15"/>
        <v>97.80600000000004</v>
      </c>
      <c r="AS52" s="67">
        <f t="shared" si="15"/>
        <v>367.60399999999998</v>
      </c>
      <c r="AT52" s="67">
        <f t="shared" si="15"/>
        <v>219.00299999999999</v>
      </c>
      <c r="AU52" s="67">
        <f t="shared" si="15"/>
        <v>-128.99399999999997</v>
      </c>
      <c r="AV52" s="67">
        <f t="shared" si="15"/>
        <v>328.50450000000001</v>
      </c>
      <c r="AW52" s="67">
        <f t="shared" si="15"/>
        <v>158.40449999999998</v>
      </c>
      <c r="AX52" s="67">
        <f t="shared" si="15"/>
        <v>-271.69000000000005</v>
      </c>
      <c r="AY52" s="67">
        <f t="shared" si="15"/>
        <v>664.80600000000004</v>
      </c>
      <c r="AZ52" s="67">
        <f t="shared" si="15"/>
        <v>367.60399999999998</v>
      </c>
      <c r="BA52" s="67">
        <f t="shared" si="15"/>
        <v>62.604999999999961</v>
      </c>
      <c r="BB52" s="67">
        <f t="shared" si="15"/>
        <v>97.80600000000004</v>
      </c>
      <c r="BC52" s="67">
        <f t="shared" si="15"/>
        <v>93.907500000000027</v>
      </c>
      <c r="BD52" s="67">
        <f t="shared" si="15"/>
        <v>146.70900000000006</v>
      </c>
      <c r="BE52" s="67">
        <f t="shared" si="15"/>
        <v>551.40599999999995</v>
      </c>
      <c r="BF52" s="67">
        <f t="shared" si="15"/>
        <v>289.40499999999997</v>
      </c>
      <c r="BG52" s="67">
        <f t="shared" si="15"/>
        <v>-214.99</v>
      </c>
      <c r="BH52" s="67">
        <f t="shared" si="15"/>
        <v>547.50750000000005</v>
      </c>
      <c r="BI52" s="67">
        <f t="shared" si="15"/>
        <v>264.00750000000005</v>
      </c>
      <c r="BJ52" s="67">
        <f t="shared" si="15"/>
        <v>-322.4849999999999</v>
      </c>
      <c r="BK52" s="70"/>
    </row>
    <row r="53" spans="2:63" x14ac:dyDescent="0.2">
      <c r="B53" s="46">
        <f>Config!$B$18</f>
        <v>0</v>
      </c>
      <c r="C53" s="67">
        <f t="shared" ref="C53:AH53" si="16">C15-C34</f>
        <v>0</v>
      </c>
      <c r="D53" s="67">
        <f t="shared" si="16"/>
        <v>0</v>
      </c>
      <c r="E53" s="67">
        <f t="shared" si="16"/>
        <v>0</v>
      </c>
      <c r="F53" s="67">
        <f t="shared" si="16"/>
        <v>0</v>
      </c>
      <c r="G53" s="67">
        <f t="shared" si="16"/>
        <v>0</v>
      </c>
      <c r="H53" s="67">
        <f t="shared" si="16"/>
        <v>0</v>
      </c>
      <c r="I53" s="67">
        <f t="shared" si="16"/>
        <v>0</v>
      </c>
      <c r="J53" s="67">
        <f t="shared" si="16"/>
        <v>0</v>
      </c>
      <c r="K53" s="67">
        <f t="shared" si="16"/>
        <v>0</v>
      </c>
      <c r="L53" s="67">
        <f t="shared" si="16"/>
        <v>0</v>
      </c>
      <c r="M53" s="67">
        <f t="shared" si="16"/>
        <v>0</v>
      </c>
      <c r="N53" s="67">
        <f t="shared" si="16"/>
        <v>0</v>
      </c>
      <c r="O53" s="67">
        <f t="shared" si="16"/>
        <v>0</v>
      </c>
      <c r="P53" s="67">
        <f t="shared" si="16"/>
        <v>0</v>
      </c>
      <c r="Q53" s="67">
        <f t="shared" si="16"/>
        <v>0</v>
      </c>
      <c r="R53" s="67">
        <f t="shared" si="16"/>
        <v>0</v>
      </c>
      <c r="S53" s="67">
        <f t="shared" si="16"/>
        <v>0</v>
      </c>
      <c r="T53" s="67">
        <f t="shared" si="16"/>
        <v>0</v>
      </c>
      <c r="U53" s="67">
        <f t="shared" si="16"/>
        <v>0</v>
      </c>
      <c r="V53" s="67">
        <f t="shared" si="16"/>
        <v>0</v>
      </c>
      <c r="W53" s="67">
        <f t="shared" si="16"/>
        <v>0</v>
      </c>
      <c r="X53" s="67">
        <f t="shared" si="16"/>
        <v>0</v>
      </c>
      <c r="Y53" s="67">
        <f t="shared" si="16"/>
        <v>0</v>
      </c>
      <c r="Z53" s="67">
        <f t="shared" si="16"/>
        <v>0</v>
      </c>
      <c r="AA53" s="67">
        <f t="shared" si="16"/>
        <v>0</v>
      </c>
      <c r="AB53" s="67">
        <f t="shared" si="16"/>
        <v>0</v>
      </c>
      <c r="AC53" s="67">
        <f t="shared" si="16"/>
        <v>0</v>
      </c>
      <c r="AD53" s="67">
        <f t="shared" si="16"/>
        <v>0</v>
      </c>
      <c r="AE53" s="67">
        <f t="shared" si="16"/>
        <v>0</v>
      </c>
      <c r="AF53" s="67">
        <f t="shared" si="16"/>
        <v>0</v>
      </c>
      <c r="AG53" s="67">
        <f t="shared" si="16"/>
        <v>0</v>
      </c>
      <c r="AH53" s="67">
        <f t="shared" si="16"/>
        <v>0</v>
      </c>
      <c r="AI53" s="67">
        <f t="shared" ref="AI53:BJ53" si="17">AI15-AI34</f>
        <v>0</v>
      </c>
      <c r="AJ53" s="67">
        <f t="shared" si="17"/>
        <v>0</v>
      </c>
      <c r="AK53" s="67">
        <f t="shared" si="17"/>
        <v>0</v>
      </c>
      <c r="AL53" s="67">
        <f t="shared" si="17"/>
        <v>0</v>
      </c>
      <c r="AM53" s="67">
        <f t="shared" si="17"/>
        <v>0</v>
      </c>
      <c r="AN53" s="67">
        <f t="shared" si="17"/>
        <v>0</v>
      </c>
      <c r="AO53" s="67">
        <f t="shared" si="17"/>
        <v>0</v>
      </c>
      <c r="AP53" s="67">
        <f t="shared" si="17"/>
        <v>0</v>
      </c>
      <c r="AQ53" s="67">
        <f t="shared" si="17"/>
        <v>0</v>
      </c>
      <c r="AR53" s="67">
        <f t="shared" si="17"/>
        <v>0</v>
      </c>
      <c r="AS53" s="67">
        <f t="shared" si="17"/>
        <v>0</v>
      </c>
      <c r="AT53" s="67">
        <f t="shared" si="17"/>
        <v>0</v>
      </c>
      <c r="AU53" s="67">
        <f t="shared" si="17"/>
        <v>0</v>
      </c>
      <c r="AV53" s="67">
        <f t="shared" si="17"/>
        <v>0</v>
      </c>
      <c r="AW53" s="67">
        <f t="shared" si="17"/>
        <v>0</v>
      </c>
      <c r="AX53" s="67">
        <f t="shared" si="17"/>
        <v>0</v>
      </c>
      <c r="AY53" s="67">
        <f t="shared" si="17"/>
        <v>0</v>
      </c>
      <c r="AZ53" s="67">
        <f t="shared" si="17"/>
        <v>0</v>
      </c>
      <c r="BA53" s="67">
        <f t="shared" si="17"/>
        <v>0</v>
      </c>
      <c r="BB53" s="67">
        <f t="shared" si="17"/>
        <v>0</v>
      </c>
      <c r="BC53" s="67">
        <f t="shared" si="17"/>
        <v>0</v>
      </c>
      <c r="BD53" s="67">
        <f t="shared" si="17"/>
        <v>0</v>
      </c>
      <c r="BE53" s="67">
        <f t="shared" si="17"/>
        <v>0</v>
      </c>
      <c r="BF53" s="67">
        <f t="shared" si="17"/>
        <v>0</v>
      </c>
      <c r="BG53" s="67">
        <f t="shared" si="17"/>
        <v>0</v>
      </c>
      <c r="BH53" s="67">
        <f t="shared" si="17"/>
        <v>0</v>
      </c>
      <c r="BI53" s="67">
        <f t="shared" si="17"/>
        <v>0</v>
      </c>
      <c r="BJ53" s="67">
        <f t="shared" si="17"/>
        <v>0</v>
      </c>
      <c r="BK53" s="70"/>
    </row>
    <row r="54" spans="2:63" x14ac:dyDescent="0.2">
      <c r="B54" s="46">
        <f>Config!$B$19</f>
        <v>0</v>
      </c>
      <c r="C54" s="67">
        <f t="shared" ref="C54:AH54" si="18">C16-C35</f>
        <v>0</v>
      </c>
      <c r="D54" s="67">
        <f t="shared" si="18"/>
        <v>0</v>
      </c>
      <c r="E54" s="67">
        <f t="shared" si="18"/>
        <v>0</v>
      </c>
      <c r="F54" s="67">
        <f t="shared" si="18"/>
        <v>0</v>
      </c>
      <c r="G54" s="67">
        <f t="shared" si="18"/>
        <v>0</v>
      </c>
      <c r="H54" s="67">
        <f t="shared" si="18"/>
        <v>0</v>
      </c>
      <c r="I54" s="67">
        <f t="shared" si="18"/>
        <v>0</v>
      </c>
      <c r="J54" s="67">
        <f t="shared" si="18"/>
        <v>0</v>
      </c>
      <c r="K54" s="67">
        <f t="shared" si="18"/>
        <v>0</v>
      </c>
      <c r="L54" s="67">
        <f t="shared" si="18"/>
        <v>0</v>
      </c>
      <c r="M54" s="67">
        <f t="shared" si="18"/>
        <v>0</v>
      </c>
      <c r="N54" s="67">
        <f t="shared" si="18"/>
        <v>0</v>
      </c>
      <c r="O54" s="67">
        <f t="shared" si="18"/>
        <v>0</v>
      </c>
      <c r="P54" s="67">
        <f t="shared" si="18"/>
        <v>0</v>
      </c>
      <c r="Q54" s="67">
        <f t="shared" si="18"/>
        <v>0</v>
      </c>
      <c r="R54" s="67">
        <f t="shared" si="18"/>
        <v>0</v>
      </c>
      <c r="S54" s="67">
        <f t="shared" si="18"/>
        <v>0</v>
      </c>
      <c r="T54" s="67">
        <f t="shared" si="18"/>
        <v>0</v>
      </c>
      <c r="U54" s="67">
        <f t="shared" si="18"/>
        <v>0</v>
      </c>
      <c r="V54" s="67">
        <f t="shared" si="18"/>
        <v>0</v>
      </c>
      <c r="W54" s="67">
        <f t="shared" si="18"/>
        <v>0</v>
      </c>
      <c r="X54" s="67">
        <f t="shared" si="18"/>
        <v>0</v>
      </c>
      <c r="Y54" s="67">
        <f t="shared" si="18"/>
        <v>0</v>
      </c>
      <c r="Z54" s="67">
        <f t="shared" si="18"/>
        <v>0</v>
      </c>
      <c r="AA54" s="67">
        <f t="shared" si="18"/>
        <v>0</v>
      </c>
      <c r="AB54" s="67">
        <f t="shared" si="18"/>
        <v>0</v>
      </c>
      <c r="AC54" s="67">
        <f t="shared" si="18"/>
        <v>0</v>
      </c>
      <c r="AD54" s="67">
        <f t="shared" si="18"/>
        <v>0</v>
      </c>
      <c r="AE54" s="67">
        <f t="shared" si="18"/>
        <v>0</v>
      </c>
      <c r="AF54" s="67">
        <f t="shared" si="18"/>
        <v>0</v>
      </c>
      <c r="AG54" s="67">
        <f t="shared" si="18"/>
        <v>0</v>
      </c>
      <c r="AH54" s="67">
        <f t="shared" si="18"/>
        <v>0</v>
      </c>
      <c r="AI54" s="67">
        <f t="shared" ref="AI54:BJ54" si="19">AI16-AI35</f>
        <v>0</v>
      </c>
      <c r="AJ54" s="67">
        <f t="shared" si="19"/>
        <v>0</v>
      </c>
      <c r="AK54" s="67">
        <f t="shared" si="19"/>
        <v>0</v>
      </c>
      <c r="AL54" s="67">
        <f t="shared" si="19"/>
        <v>0</v>
      </c>
      <c r="AM54" s="67">
        <f t="shared" si="19"/>
        <v>0</v>
      </c>
      <c r="AN54" s="67">
        <f t="shared" si="19"/>
        <v>0</v>
      </c>
      <c r="AO54" s="67">
        <f t="shared" si="19"/>
        <v>0</v>
      </c>
      <c r="AP54" s="67">
        <f t="shared" si="19"/>
        <v>0</v>
      </c>
      <c r="AQ54" s="67">
        <f t="shared" si="19"/>
        <v>0</v>
      </c>
      <c r="AR54" s="67">
        <f t="shared" si="19"/>
        <v>0</v>
      </c>
      <c r="AS54" s="67">
        <f t="shared" si="19"/>
        <v>0</v>
      </c>
      <c r="AT54" s="67">
        <f t="shared" si="19"/>
        <v>0</v>
      </c>
      <c r="AU54" s="67">
        <f t="shared" si="19"/>
        <v>0</v>
      </c>
      <c r="AV54" s="67">
        <f t="shared" si="19"/>
        <v>0</v>
      </c>
      <c r="AW54" s="67">
        <f t="shared" si="19"/>
        <v>0</v>
      </c>
      <c r="AX54" s="67">
        <f t="shared" si="19"/>
        <v>0</v>
      </c>
      <c r="AY54" s="67">
        <f t="shared" si="19"/>
        <v>0</v>
      </c>
      <c r="AZ54" s="67">
        <f t="shared" si="19"/>
        <v>0</v>
      </c>
      <c r="BA54" s="67">
        <f t="shared" si="19"/>
        <v>0</v>
      </c>
      <c r="BB54" s="67">
        <f t="shared" si="19"/>
        <v>0</v>
      </c>
      <c r="BC54" s="67">
        <f t="shared" si="19"/>
        <v>0</v>
      </c>
      <c r="BD54" s="67">
        <f t="shared" si="19"/>
        <v>0</v>
      </c>
      <c r="BE54" s="67">
        <f t="shared" si="19"/>
        <v>0</v>
      </c>
      <c r="BF54" s="67">
        <f t="shared" si="19"/>
        <v>0</v>
      </c>
      <c r="BG54" s="67">
        <f t="shared" si="19"/>
        <v>0</v>
      </c>
      <c r="BH54" s="67">
        <f t="shared" si="19"/>
        <v>0</v>
      </c>
      <c r="BI54" s="67">
        <f t="shared" si="19"/>
        <v>0</v>
      </c>
      <c r="BJ54" s="67">
        <f t="shared" si="19"/>
        <v>0</v>
      </c>
      <c r="BK54" s="70"/>
    </row>
    <row r="55" spans="2:63" x14ac:dyDescent="0.2">
      <c r="B55" s="46">
        <f>Config!$B$20</f>
        <v>0</v>
      </c>
      <c r="C55" s="67">
        <f t="shared" ref="C55:AH55" si="20">C17-C36</f>
        <v>0</v>
      </c>
      <c r="D55" s="67">
        <f t="shared" si="20"/>
        <v>0</v>
      </c>
      <c r="E55" s="67">
        <f t="shared" si="20"/>
        <v>0</v>
      </c>
      <c r="F55" s="67">
        <f t="shared" si="20"/>
        <v>0</v>
      </c>
      <c r="G55" s="67">
        <f t="shared" si="20"/>
        <v>0</v>
      </c>
      <c r="H55" s="67">
        <f t="shared" si="20"/>
        <v>0</v>
      </c>
      <c r="I55" s="67">
        <f t="shared" si="20"/>
        <v>0</v>
      </c>
      <c r="J55" s="67">
        <f t="shared" si="20"/>
        <v>0</v>
      </c>
      <c r="K55" s="67">
        <f t="shared" si="20"/>
        <v>0</v>
      </c>
      <c r="L55" s="67">
        <f t="shared" si="20"/>
        <v>0</v>
      </c>
      <c r="M55" s="67">
        <f t="shared" si="20"/>
        <v>0</v>
      </c>
      <c r="N55" s="67">
        <f t="shared" si="20"/>
        <v>0</v>
      </c>
      <c r="O55" s="67">
        <f t="shared" si="20"/>
        <v>0</v>
      </c>
      <c r="P55" s="67">
        <f t="shared" si="20"/>
        <v>0</v>
      </c>
      <c r="Q55" s="67">
        <f t="shared" si="20"/>
        <v>0</v>
      </c>
      <c r="R55" s="67">
        <f t="shared" si="20"/>
        <v>0</v>
      </c>
      <c r="S55" s="67">
        <f t="shared" si="20"/>
        <v>0</v>
      </c>
      <c r="T55" s="67">
        <f t="shared" si="20"/>
        <v>0</v>
      </c>
      <c r="U55" s="67">
        <f t="shared" si="20"/>
        <v>0</v>
      </c>
      <c r="V55" s="67">
        <f t="shared" si="20"/>
        <v>0</v>
      </c>
      <c r="W55" s="67">
        <f t="shared" si="20"/>
        <v>0</v>
      </c>
      <c r="X55" s="67">
        <f t="shared" si="20"/>
        <v>0</v>
      </c>
      <c r="Y55" s="67">
        <f t="shared" si="20"/>
        <v>0</v>
      </c>
      <c r="Z55" s="67">
        <f t="shared" si="20"/>
        <v>0</v>
      </c>
      <c r="AA55" s="67">
        <f t="shared" si="20"/>
        <v>0</v>
      </c>
      <c r="AB55" s="67">
        <f t="shared" si="20"/>
        <v>0</v>
      </c>
      <c r="AC55" s="67">
        <f t="shared" si="20"/>
        <v>0</v>
      </c>
      <c r="AD55" s="67">
        <f t="shared" si="20"/>
        <v>0</v>
      </c>
      <c r="AE55" s="67">
        <f t="shared" si="20"/>
        <v>0</v>
      </c>
      <c r="AF55" s="67">
        <f t="shared" si="20"/>
        <v>0</v>
      </c>
      <c r="AG55" s="67">
        <f t="shared" si="20"/>
        <v>0</v>
      </c>
      <c r="AH55" s="67">
        <f t="shared" si="20"/>
        <v>0</v>
      </c>
      <c r="AI55" s="67">
        <f t="shared" ref="AI55:BJ55" si="21">AI17-AI36</f>
        <v>0</v>
      </c>
      <c r="AJ55" s="67">
        <f t="shared" si="21"/>
        <v>0</v>
      </c>
      <c r="AK55" s="67">
        <f t="shared" si="21"/>
        <v>0</v>
      </c>
      <c r="AL55" s="67">
        <f t="shared" si="21"/>
        <v>0</v>
      </c>
      <c r="AM55" s="67">
        <f t="shared" si="21"/>
        <v>0</v>
      </c>
      <c r="AN55" s="67">
        <f t="shared" si="21"/>
        <v>0</v>
      </c>
      <c r="AO55" s="67">
        <f t="shared" si="21"/>
        <v>0</v>
      </c>
      <c r="AP55" s="67">
        <f t="shared" si="21"/>
        <v>0</v>
      </c>
      <c r="AQ55" s="67">
        <f t="shared" si="21"/>
        <v>0</v>
      </c>
      <c r="AR55" s="67">
        <f t="shared" si="21"/>
        <v>0</v>
      </c>
      <c r="AS55" s="67">
        <f t="shared" si="21"/>
        <v>0</v>
      </c>
      <c r="AT55" s="67">
        <f t="shared" si="21"/>
        <v>0</v>
      </c>
      <c r="AU55" s="67">
        <f t="shared" si="21"/>
        <v>0</v>
      </c>
      <c r="AV55" s="67">
        <f t="shared" si="21"/>
        <v>0</v>
      </c>
      <c r="AW55" s="67">
        <f t="shared" si="21"/>
        <v>0</v>
      </c>
      <c r="AX55" s="67">
        <f t="shared" si="21"/>
        <v>0</v>
      </c>
      <c r="AY55" s="67">
        <f t="shared" si="21"/>
        <v>0</v>
      </c>
      <c r="AZ55" s="67">
        <f t="shared" si="21"/>
        <v>0</v>
      </c>
      <c r="BA55" s="67">
        <f t="shared" si="21"/>
        <v>0</v>
      </c>
      <c r="BB55" s="67">
        <f t="shared" si="21"/>
        <v>0</v>
      </c>
      <c r="BC55" s="67">
        <f t="shared" si="21"/>
        <v>0</v>
      </c>
      <c r="BD55" s="67">
        <f t="shared" si="21"/>
        <v>0</v>
      </c>
      <c r="BE55" s="67">
        <f t="shared" si="21"/>
        <v>0</v>
      </c>
      <c r="BF55" s="67">
        <f t="shared" si="21"/>
        <v>0</v>
      </c>
      <c r="BG55" s="67">
        <f t="shared" si="21"/>
        <v>0</v>
      </c>
      <c r="BH55" s="67">
        <f t="shared" si="21"/>
        <v>0</v>
      </c>
      <c r="BI55" s="67">
        <f t="shared" si="21"/>
        <v>0</v>
      </c>
      <c r="BJ55" s="67">
        <f t="shared" si="21"/>
        <v>0</v>
      </c>
      <c r="BK55" s="70"/>
    </row>
    <row r="56" spans="2:63" x14ac:dyDescent="0.2">
      <c r="B56" s="46">
        <f>Config!$B$21</f>
        <v>0</v>
      </c>
      <c r="C56" s="67">
        <f t="shared" ref="C56:AH56" si="22">C18-C37</f>
        <v>0</v>
      </c>
      <c r="D56" s="67">
        <f t="shared" si="22"/>
        <v>0</v>
      </c>
      <c r="E56" s="67">
        <f t="shared" si="22"/>
        <v>0</v>
      </c>
      <c r="F56" s="67">
        <f t="shared" si="22"/>
        <v>0</v>
      </c>
      <c r="G56" s="67">
        <f t="shared" si="22"/>
        <v>0</v>
      </c>
      <c r="H56" s="67">
        <f t="shared" si="22"/>
        <v>0</v>
      </c>
      <c r="I56" s="67">
        <f t="shared" si="22"/>
        <v>0</v>
      </c>
      <c r="J56" s="67">
        <f t="shared" si="22"/>
        <v>0</v>
      </c>
      <c r="K56" s="67">
        <f t="shared" si="22"/>
        <v>0</v>
      </c>
      <c r="L56" s="67">
        <f t="shared" si="22"/>
        <v>0</v>
      </c>
      <c r="M56" s="67">
        <f t="shared" si="22"/>
        <v>0</v>
      </c>
      <c r="N56" s="67">
        <f t="shared" si="22"/>
        <v>0</v>
      </c>
      <c r="O56" s="67">
        <f t="shared" si="22"/>
        <v>0</v>
      </c>
      <c r="P56" s="67">
        <f t="shared" si="22"/>
        <v>0</v>
      </c>
      <c r="Q56" s="67">
        <f t="shared" si="22"/>
        <v>0</v>
      </c>
      <c r="R56" s="67">
        <f t="shared" si="22"/>
        <v>0</v>
      </c>
      <c r="S56" s="67">
        <f t="shared" si="22"/>
        <v>0</v>
      </c>
      <c r="T56" s="67">
        <f t="shared" si="22"/>
        <v>0</v>
      </c>
      <c r="U56" s="67">
        <f t="shared" si="22"/>
        <v>0</v>
      </c>
      <c r="V56" s="67">
        <f t="shared" si="22"/>
        <v>0</v>
      </c>
      <c r="W56" s="67">
        <f t="shared" si="22"/>
        <v>0</v>
      </c>
      <c r="X56" s="67">
        <f t="shared" si="22"/>
        <v>0</v>
      </c>
      <c r="Y56" s="67">
        <f t="shared" si="22"/>
        <v>0</v>
      </c>
      <c r="Z56" s="67">
        <f t="shared" si="22"/>
        <v>0</v>
      </c>
      <c r="AA56" s="67">
        <f t="shared" si="22"/>
        <v>0</v>
      </c>
      <c r="AB56" s="67">
        <f t="shared" si="22"/>
        <v>0</v>
      </c>
      <c r="AC56" s="67">
        <f t="shared" si="22"/>
        <v>0</v>
      </c>
      <c r="AD56" s="67">
        <f t="shared" si="22"/>
        <v>0</v>
      </c>
      <c r="AE56" s="67">
        <f t="shared" si="22"/>
        <v>0</v>
      </c>
      <c r="AF56" s="67">
        <f t="shared" si="22"/>
        <v>0</v>
      </c>
      <c r="AG56" s="67">
        <f t="shared" si="22"/>
        <v>0</v>
      </c>
      <c r="AH56" s="67">
        <f t="shared" si="22"/>
        <v>0</v>
      </c>
      <c r="AI56" s="67">
        <f t="shared" ref="AI56:BJ56" si="23">AI18-AI37</f>
        <v>0</v>
      </c>
      <c r="AJ56" s="67">
        <f t="shared" si="23"/>
        <v>0</v>
      </c>
      <c r="AK56" s="67">
        <f t="shared" si="23"/>
        <v>0</v>
      </c>
      <c r="AL56" s="67">
        <f t="shared" si="23"/>
        <v>0</v>
      </c>
      <c r="AM56" s="67">
        <f t="shared" si="23"/>
        <v>0</v>
      </c>
      <c r="AN56" s="67">
        <f t="shared" si="23"/>
        <v>0</v>
      </c>
      <c r="AO56" s="67">
        <f t="shared" si="23"/>
        <v>0</v>
      </c>
      <c r="AP56" s="67">
        <f t="shared" si="23"/>
        <v>0</v>
      </c>
      <c r="AQ56" s="67">
        <f t="shared" si="23"/>
        <v>0</v>
      </c>
      <c r="AR56" s="67">
        <f t="shared" si="23"/>
        <v>0</v>
      </c>
      <c r="AS56" s="67">
        <f t="shared" si="23"/>
        <v>0</v>
      </c>
      <c r="AT56" s="67">
        <f t="shared" si="23"/>
        <v>0</v>
      </c>
      <c r="AU56" s="67">
        <f t="shared" si="23"/>
        <v>0</v>
      </c>
      <c r="AV56" s="67">
        <f t="shared" si="23"/>
        <v>0</v>
      </c>
      <c r="AW56" s="67">
        <f t="shared" si="23"/>
        <v>0</v>
      </c>
      <c r="AX56" s="67">
        <f t="shared" si="23"/>
        <v>0</v>
      </c>
      <c r="AY56" s="67">
        <f t="shared" si="23"/>
        <v>0</v>
      </c>
      <c r="AZ56" s="67">
        <f t="shared" si="23"/>
        <v>0</v>
      </c>
      <c r="BA56" s="67">
        <f t="shared" si="23"/>
        <v>0</v>
      </c>
      <c r="BB56" s="67">
        <f t="shared" si="23"/>
        <v>0</v>
      </c>
      <c r="BC56" s="67">
        <f t="shared" si="23"/>
        <v>0</v>
      </c>
      <c r="BD56" s="67">
        <f t="shared" si="23"/>
        <v>0</v>
      </c>
      <c r="BE56" s="67">
        <f t="shared" si="23"/>
        <v>0</v>
      </c>
      <c r="BF56" s="67">
        <f t="shared" si="23"/>
        <v>0</v>
      </c>
      <c r="BG56" s="67">
        <f t="shared" si="23"/>
        <v>0</v>
      </c>
      <c r="BH56" s="67">
        <f t="shared" si="23"/>
        <v>0</v>
      </c>
      <c r="BI56" s="67">
        <f t="shared" si="23"/>
        <v>0</v>
      </c>
      <c r="BJ56" s="67">
        <f t="shared" si="23"/>
        <v>0</v>
      </c>
      <c r="BK56" s="70"/>
    </row>
    <row r="57" spans="2:63" x14ac:dyDescent="0.2">
      <c r="B57" s="46">
        <f>Config!$B$22</f>
        <v>0</v>
      </c>
      <c r="C57" s="67">
        <f t="shared" ref="C57:AH57" si="24">C19-C38</f>
        <v>0</v>
      </c>
      <c r="D57" s="67">
        <f t="shared" si="24"/>
        <v>0</v>
      </c>
      <c r="E57" s="67">
        <f t="shared" si="24"/>
        <v>0</v>
      </c>
      <c r="F57" s="67">
        <f t="shared" si="24"/>
        <v>0</v>
      </c>
      <c r="G57" s="67">
        <f t="shared" si="24"/>
        <v>0</v>
      </c>
      <c r="H57" s="67">
        <f t="shared" si="24"/>
        <v>0</v>
      </c>
      <c r="I57" s="67">
        <f t="shared" si="24"/>
        <v>0</v>
      </c>
      <c r="J57" s="67">
        <f t="shared" si="24"/>
        <v>0</v>
      </c>
      <c r="K57" s="67">
        <f t="shared" si="24"/>
        <v>0</v>
      </c>
      <c r="L57" s="67">
        <f t="shared" si="24"/>
        <v>0</v>
      </c>
      <c r="M57" s="67">
        <f t="shared" si="24"/>
        <v>0</v>
      </c>
      <c r="N57" s="67">
        <f t="shared" si="24"/>
        <v>0</v>
      </c>
      <c r="O57" s="67">
        <f t="shared" si="24"/>
        <v>0</v>
      </c>
      <c r="P57" s="67">
        <f t="shared" si="24"/>
        <v>0</v>
      </c>
      <c r="Q57" s="67">
        <f t="shared" si="24"/>
        <v>0</v>
      </c>
      <c r="R57" s="67">
        <f t="shared" si="24"/>
        <v>0</v>
      </c>
      <c r="S57" s="67">
        <f t="shared" si="24"/>
        <v>0</v>
      </c>
      <c r="T57" s="67">
        <f t="shared" si="24"/>
        <v>0</v>
      </c>
      <c r="U57" s="67">
        <f t="shared" si="24"/>
        <v>0</v>
      </c>
      <c r="V57" s="67">
        <f t="shared" si="24"/>
        <v>0</v>
      </c>
      <c r="W57" s="67">
        <f t="shared" si="24"/>
        <v>0</v>
      </c>
      <c r="X57" s="67">
        <f t="shared" si="24"/>
        <v>0</v>
      </c>
      <c r="Y57" s="67">
        <f t="shared" si="24"/>
        <v>0</v>
      </c>
      <c r="Z57" s="67">
        <f t="shared" si="24"/>
        <v>0</v>
      </c>
      <c r="AA57" s="67">
        <f t="shared" si="24"/>
        <v>0</v>
      </c>
      <c r="AB57" s="67">
        <f t="shared" si="24"/>
        <v>0</v>
      </c>
      <c r="AC57" s="67">
        <f t="shared" si="24"/>
        <v>0</v>
      </c>
      <c r="AD57" s="67">
        <f t="shared" si="24"/>
        <v>0</v>
      </c>
      <c r="AE57" s="67">
        <f t="shared" si="24"/>
        <v>0</v>
      </c>
      <c r="AF57" s="67">
        <f t="shared" si="24"/>
        <v>0</v>
      </c>
      <c r="AG57" s="67">
        <f t="shared" si="24"/>
        <v>0</v>
      </c>
      <c r="AH57" s="67">
        <f t="shared" si="24"/>
        <v>0</v>
      </c>
      <c r="AI57" s="67">
        <f t="shared" ref="AI57:BJ57" si="25">AI19-AI38</f>
        <v>0</v>
      </c>
      <c r="AJ57" s="67">
        <f t="shared" si="25"/>
        <v>0</v>
      </c>
      <c r="AK57" s="67">
        <f t="shared" si="25"/>
        <v>0</v>
      </c>
      <c r="AL57" s="67">
        <f t="shared" si="25"/>
        <v>0</v>
      </c>
      <c r="AM57" s="67">
        <f t="shared" si="25"/>
        <v>0</v>
      </c>
      <c r="AN57" s="67">
        <f t="shared" si="25"/>
        <v>0</v>
      </c>
      <c r="AO57" s="67">
        <f t="shared" si="25"/>
        <v>0</v>
      </c>
      <c r="AP57" s="67">
        <f t="shared" si="25"/>
        <v>0</v>
      </c>
      <c r="AQ57" s="67">
        <f t="shared" si="25"/>
        <v>0</v>
      </c>
      <c r="AR57" s="67">
        <f t="shared" si="25"/>
        <v>0</v>
      </c>
      <c r="AS57" s="67">
        <f t="shared" si="25"/>
        <v>0</v>
      </c>
      <c r="AT57" s="67">
        <f t="shared" si="25"/>
        <v>0</v>
      </c>
      <c r="AU57" s="67">
        <f t="shared" si="25"/>
        <v>0</v>
      </c>
      <c r="AV57" s="67">
        <f t="shared" si="25"/>
        <v>0</v>
      </c>
      <c r="AW57" s="67">
        <f t="shared" si="25"/>
        <v>0</v>
      </c>
      <c r="AX57" s="67">
        <f t="shared" si="25"/>
        <v>0</v>
      </c>
      <c r="AY57" s="67">
        <f t="shared" si="25"/>
        <v>0</v>
      </c>
      <c r="AZ57" s="67">
        <f t="shared" si="25"/>
        <v>0</v>
      </c>
      <c r="BA57" s="67">
        <f t="shared" si="25"/>
        <v>0</v>
      </c>
      <c r="BB57" s="67">
        <f t="shared" si="25"/>
        <v>0</v>
      </c>
      <c r="BC57" s="67">
        <f t="shared" si="25"/>
        <v>0</v>
      </c>
      <c r="BD57" s="67">
        <f t="shared" si="25"/>
        <v>0</v>
      </c>
      <c r="BE57" s="67">
        <f t="shared" si="25"/>
        <v>0</v>
      </c>
      <c r="BF57" s="67">
        <f t="shared" si="25"/>
        <v>0</v>
      </c>
      <c r="BG57" s="67">
        <f t="shared" si="25"/>
        <v>0</v>
      </c>
      <c r="BH57" s="67">
        <f t="shared" si="25"/>
        <v>0</v>
      </c>
      <c r="BI57" s="67">
        <f t="shared" si="25"/>
        <v>0</v>
      </c>
      <c r="BJ57" s="67">
        <f t="shared" si="25"/>
        <v>0</v>
      </c>
      <c r="BK57" s="70"/>
    </row>
    <row r="58" spans="2:63" x14ac:dyDescent="0.2">
      <c r="B58" s="46">
        <f>Config!$B$23</f>
        <v>0</v>
      </c>
      <c r="C58" s="67">
        <f t="shared" ref="C58:AH58" si="26">C20-C39</f>
        <v>0</v>
      </c>
      <c r="D58" s="67">
        <f t="shared" si="26"/>
        <v>0</v>
      </c>
      <c r="E58" s="67">
        <f t="shared" si="26"/>
        <v>0</v>
      </c>
      <c r="F58" s="67">
        <f t="shared" si="26"/>
        <v>0</v>
      </c>
      <c r="G58" s="67">
        <f t="shared" si="26"/>
        <v>0</v>
      </c>
      <c r="H58" s="67">
        <f t="shared" si="26"/>
        <v>0</v>
      </c>
      <c r="I58" s="67">
        <f t="shared" si="26"/>
        <v>0</v>
      </c>
      <c r="J58" s="67">
        <f t="shared" si="26"/>
        <v>0</v>
      </c>
      <c r="K58" s="67">
        <f t="shared" si="26"/>
        <v>0</v>
      </c>
      <c r="L58" s="67">
        <f t="shared" si="26"/>
        <v>0</v>
      </c>
      <c r="M58" s="67">
        <f t="shared" si="26"/>
        <v>0</v>
      </c>
      <c r="N58" s="67">
        <f t="shared" si="26"/>
        <v>0</v>
      </c>
      <c r="O58" s="67">
        <f t="shared" si="26"/>
        <v>0</v>
      </c>
      <c r="P58" s="67">
        <f t="shared" si="26"/>
        <v>0</v>
      </c>
      <c r="Q58" s="67">
        <f t="shared" si="26"/>
        <v>0</v>
      </c>
      <c r="R58" s="67">
        <f t="shared" si="26"/>
        <v>0</v>
      </c>
      <c r="S58" s="67">
        <f t="shared" si="26"/>
        <v>0</v>
      </c>
      <c r="T58" s="67">
        <f t="shared" si="26"/>
        <v>0</v>
      </c>
      <c r="U58" s="67">
        <f t="shared" si="26"/>
        <v>0</v>
      </c>
      <c r="V58" s="67">
        <f t="shared" si="26"/>
        <v>0</v>
      </c>
      <c r="W58" s="67">
        <f t="shared" si="26"/>
        <v>0</v>
      </c>
      <c r="X58" s="67">
        <f t="shared" si="26"/>
        <v>0</v>
      </c>
      <c r="Y58" s="67">
        <f t="shared" si="26"/>
        <v>0</v>
      </c>
      <c r="Z58" s="67">
        <f t="shared" si="26"/>
        <v>0</v>
      </c>
      <c r="AA58" s="67">
        <f t="shared" si="26"/>
        <v>0</v>
      </c>
      <c r="AB58" s="67">
        <f t="shared" si="26"/>
        <v>0</v>
      </c>
      <c r="AC58" s="67">
        <f t="shared" si="26"/>
        <v>0</v>
      </c>
      <c r="AD58" s="67">
        <f t="shared" si="26"/>
        <v>0</v>
      </c>
      <c r="AE58" s="67">
        <f t="shared" si="26"/>
        <v>0</v>
      </c>
      <c r="AF58" s="67">
        <f t="shared" si="26"/>
        <v>0</v>
      </c>
      <c r="AG58" s="67">
        <f t="shared" si="26"/>
        <v>0</v>
      </c>
      <c r="AH58" s="67">
        <f t="shared" si="26"/>
        <v>0</v>
      </c>
      <c r="AI58" s="67">
        <f t="shared" ref="AI58:BJ58" si="27">AI20-AI39</f>
        <v>0</v>
      </c>
      <c r="AJ58" s="67">
        <f t="shared" si="27"/>
        <v>0</v>
      </c>
      <c r="AK58" s="67">
        <f t="shared" si="27"/>
        <v>0</v>
      </c>
      <c r="AL58" s="67">
        <f t="shared" si="27"/>
        <v>0</v>
      </c>
      <c r="AM58" s="67">
        <f t="shared" si="27"/>
        <v>0</v>
      </c>
      <c r="AN58" s="67">
        <f t="shared" si="27"/>
        <v>0</v>
      </c>
      <c r="AO58" s="67">
        <f t="shared" si="27"/>
        <v>0</v>
      </c>
      <c r="AP58" s="67">
        <f t="shared" si="27"/>
        <v>0</v>
      </c>
      <c r="AQ58" s="67">
        <f t="shared" si="27"/>
        <v>0</v>
      </c>
      <c r="AR58" s="67">
        <f t="shared" si="27"/>
        <v>0</v>
      </c>
      <c r="AS58" s="67">
        <f t="shared" si="27"/>
        <v>0</v>
      </c>
      <c r="AT58" s="67">
        <f t="shared" si="27"/>
        <v>0</v>
      </c>
      <c r="AU58" s="67">
        <f t="shared" si="27"/>
        <v>0</v>
      </c>
      <c r="AV58" s="67">
        <f t="shared" si="27"/>
        <v>0</v>
      </c>
      <c r="AW58" s="67">
        <f t="shared" si="27"/>
        <v>0</v>
      </c>
      <c r="AX58" s="67">
        <f t="shared" si="27"/>
        <v>0</v>
      </c>
      <c r="AY58" s="67">
        <f t="shared" si="27"/>
        <v>0</v>
      </c>
      <c r="AZ58" s="67">
        <f t="shared" si="27"/>
        <v>0</v>
      </c>
      <c r="BA58" s="67">
        <f t="shared" si="27"/>
        <v>0</v>
      </c>
      <c r="BB58" s="67">
        <f t="shared" si="27"/>
        <v>0</v>
      </c>
      <c r="BC58" s="67">
        <f t="shared" si="27"/>
        <v>0</v>
      </c>
      <c r="BD58" s="67">
        <f t="shared" si="27"/>
        <v>0</v>
      </c>
      <c r="BE58" s="67">
        <f t="shared" si="27"/>
        <v>0</v>
      </c>
      <c r="BF58" s="67">
        <f t="shared" si="27"/>
        <v>0</v>
      </c>
      <c r="BG58" s="67">
        <f t="shared" si="27"/>
        <v>0</v>
      </c>
      <c r="BH58" s="67">
        <f t="shared" si="27"/>
        <v>0</v>
      </c>
      <c r="BI58" s="67">
        <f t="shared" si="27"/>
        <v>0</v>
      </c>
      <c r="BJ58" s="67">
        <f t="shared" si="27"/>
        <v>0</v>
      </c>
      <c r="BK58" s="70"/>
    </row>
    <row r="59" spans="2:63" x14ac:dyDescent="0.2">
      <c r="B59" s="46">
        <f>Config!$B$24</f>
        <v>0</v>
      </c>
      <c r="C59" s="67">
        <f t="shared" ref="C59:AH59" si="28">C21-C40</f>
        <v>0</v>
      </c>
      <c r="D59" s="67">
        <f t="shared" si="28"/>
        <v>0</v>
      </c>
      <c r="E59" s="67">
        <f t="shared" si="28"/>
        <v>0</v>
      </c>
      <c r="F59" s="67">
        <f t="shared" si="28"/>
        <v>0</v>
      </c>
      <c r="G59" s="67">
        <f t="shared" si="28"/>
        <v>0</v>
      </c>
      <c r="H59" s="67">
        <f t="shared" si="28"/>
        <v>0</v>
      </c>
      <c r="I59" s="67">
        <f t="shared" si="28"/>
        <v>0</v>
      </c>
      <c r="J59" s="67">
        <f t="shared" si="28"/>
        <v>0</v>
      </c>
      <c r="K59" s="67">
        <f t="shared" si="28"/>
        <v>0</v>
      </c>
      <c r="L59" s="67">
        <f t="shared" si="28"/>
        <v>0</v>
      </c>
      <c r="M59" s="67">
        <f t="shared" si="28"/>
        <v>0</v>
      </c>
      <c r="N59" s="67">
        <f t="shared" si="28"/>
        <v>0</v>
      </c>
      <c r="O59" s="67">
        <f t="shared" si="28"/>
        <v>0</v>
      </c>
      <c r="P59" s="67">
        <f t="shared" si="28"/>
        <v>0</v>
      </c>
      <c r="Q59" s="67">
        <f t="shared" si="28"/>
        <v>0</v>
      </c>
      <c r="R59" s="67">
        <f t="shared" si="28"/>
        <v>0</v>
      </c>
      <c r="S59" s="67">
        <f t="shared" si="28"/>
        <v>0</v>
      </c>
      <c r="T59" s="67">
        <f t="shared" si="28"/>
        <v>0</v>
      </c>
      <c r="U59" s="67">
        <f t="shared" si="28"/>
        <v>0</v>
      </c>
      <c r="V59" s="67">
        <f t="shared" si="28"/>
        <v>0</v>
      </c>
      <c r="W59" s="67">
        <f t="shared" si="28"/>
        <v>0</v>
      </c>
      <c r="X59" s="67">
        <f t="shared" si="28"/>
        <v>0</v>
      </c>
      <c r="Y59" s="67">
        <f t="shared" si="28"/>
        <v>0</v>
      </c>
      <c r="Z59" s="67">
        <f t="shared" si="28"/>
        <v>0</v>
      </c>
      <c r="AA59" s="67">
        <f t="shared" si="28"/>
        <v>0</v>
      </c>
      <c r="AB59" s="67">
        <f t="shared" si="28"/>
        <v>0</v>
      </c>
      <c r="AC59" s="67">
        <f t="shared" si="28"/>
        <v>0</v>
      </c>
      <c r="AD59" s="67">
        <f t="shared" si="28"/>
        <v>0</v>
      </c>
      <c r="AE59" s="67">
        <f t="shared" si="28"/>
        <v>0</v>
      </c>
      <c r="AF59" s="67">
        <f t="shared" si="28"/>
        <v>0</v>
      </c>
      <c r="AG59" s="67">
        <f t="shared" si="28"/>
        <v>0</v>
      </c>
      <c r="AH59" s="67">
        <f t="shared" si="28"/>
        <v>0</v>
      </c>
      <c r="AI59" s="67">
        <f t="shared" ref="AI59:BJ59" si="29">AI21-AI40</f>
        <v>0</v>
      </c>
      <c r="AJ59" s="67">
        <f t="shared" si="29"/>
        <v>0</v>
      </c>
      <c r="AK59" s="67">
        <f t="shared" si="29"/>
        <v>0</v>
      </c>
      <c r="AL59" s="67">
        <f t="shared" si="29"/>
        <v>0</v>
      </c>
      <c r="AM59" s="67">
        <f t="shared" si="29"/>
        <v>0</v>
      </c>
      <c r="AN59" s="67">
        <f t="shared" si="29"/>
        <v>0</v>
      </c>
      <c r="AO59" s="67">
        <f t="shared" si="29"/>
        <v>0</v>
      </c>
      <c r="AP59" s="67">
        <f t="shared" si="29"/>
        <v>0</v>
      </c>
      <c r="AQ59" s="67">
        <f t="shared" si="29"/>
        <v>0</v>
      </c>
      <c r="AR59" s="67">
        <f t="shared" si="29"/>
        <v>0</v>
      </c>
      <c r="AS59" s="67">
        <f t="shared" si="29"/>
        <v>0</v>
      </c>
      <c r="AT59" s="67">
        <f t="shared" si="29"/>
        <v>0</v>
      </c>
      <c r="AU59" s="67">
        <f t="shared" si="29"/>
        <v>0</v>
      </c>
      <c r="AV59" s="67">
        <f t="shared" si="29"/>
        <v>0</v>
      </c>
      <c r="AW59" s="67">
        <f t="shared" si="29"/>
        <v>0</v>
      </c>
      <c r="AX59" s="67">
        <f t="shared" si="29"/>
        <v>0</v>
      </c>
      <c r="AY59" s="67">
        <f t="shared" si="29"/>
        <v>0</v>
      </c>
      <c r="AZ59" s="67">
        <f t="shared" si="29"/>
        <v>0</v>
      </c>
      <c r="BA59" s="67">
        <f t="shared" si="29"/>
        <v>0</v>
      </c>
      <c r="BB59" s="67">
        <f t="shared" si="29"/>
        <v>0</v>
      </c>
      <c r="BC59" s="67">
        <f t="shared" si="29"/>
        <v>0</v>
      </c>
      <c r="BD59" s="67">
        <f t="shared" si="29"/>
        <v>0</v>
      </c>
      <c r="BE59" s="67">
        <f t="shared" si="29"/>
        <v>0</v>
      </c>
      <c r="BF59" s="67">
        <f t="shared" si="29"/>
        <v>0</v>
      </c>
      <c r="BG59" s="67">
        <f t="shared" si="29"/>
        <v>0</v>
      </c>
      <c r="BH59" s="67">
        <f t="shared" si="29"/>
        <v>0</v>
      </c>
      <c r="BI59" s="67">
        <f t="shared" si="29"/>
        <v>0</v>
      </c>
      <c r="BJ59" s="67">
        <f t="shared" si="29"/>
        <v>0</v>
      </c>
      <c r="BK59" s="70"/>
    </row>
    <row r="60" spans="2:63" x14ac:dyDescent="0.2">
      <c r="B60" s="46">
        <f>Config!$B$25</f>
        <v>0</v>
      </c>
      <c r="C60" s="67">
        <f t="shared" ref="C60:AH60" si="30">C22-C41</f>
        <v>0</v>
      </c>
      <c r="D60" s="67">
        <f t="shared" si="30"/>
        <v>0</v>
      </c>
      <c r="E60" s="67">
        <f t="shared" si="30"/>
        <v>0</v>
      </c>
      <c r="F60" s="67">
        <f t="shared" si="30"/>
        <v>0</v>
      </c>
      <c r="G60" s="67">
        <f t="shared" si="30"/>
        <v>0</v>
      </c>
      <c r="H60" s="67">
        <f t="shared" si="30"/>
        <v>0</v>
      </c>
      <c r="I60" s="67">
        <f t="shared" si="30"/>
        <v>0</v>
      </c>
      <c r="J60" s="67">
        <f t="shared" si="30"/>
        <v>0</v>
      </c>
      <c r="K60" s="67">
        <f t="shared" si="30"/>
        <v>0</v>
      </c>
      <c r="L60" s="67">
        <f t="shared" si="30"/>
        <v>0</v>
      </c>
      <c r="M60" s="67">
        <f t="shared" si="30"/>
        <v>0</v>
      </c>
      <c r="N60" s="67">
        <f t="shared" si="30"/>
        <v>0</v>
      </c>
      <c r="O60" s="67">
        <f t="shared" si="30"/>
        <v>0</v>
      </c>
      <c r="P60" s="67">
        <f t="shared" si="30"/>
        <v>0</v>
      </c>
      <c r="Q60" s="67">
        <f t="shared" si="30"/>
        <v>0</v>
      </c>
      <c r="R60" s="67">
        <f t="shared" si="30"/>
        <v>0</v>
      </c>
      <c r="S60" s="67">
        <f t="shared" si="30"/>
        <v>0</v>
      </c>
      <c r="T60" s="67">
        <f t="shared" si="30"/>
        <v>0</v>
      </c>
      <c r="U60" s="67">
        <f t="shared" si="30"/>
        <v>0</v>
      </c>
      <c r="V60" s="67">
        <f t="shared" si="30"/>
        <v>0</v>
      </c>
      <c r="W60" s="67">
        <f t="shared" si="30"/>
        <v>0</v>
      </c>
      <c r="X60" s="67">
        <f t="shared" si="30"/>
        <v>0</v>
      </c>
      <c r="Y60" s="67">
        <f t="shared" si="30"/>
        <v>0</v>
      </c>
      <c r="Z60" s="67">
        <f t="shared" si="30"/>
        <v>0</v>
      </c>
      <c r="AA60" s="67">
        <f t="shared" si="30"/>
        <v>0</v>
      </c>
      <c r="AB60" s="67">
        <f t="shared" si="30"/>
        <v>0</v>
      </c>
      <c r="AC60" s="67">
        <f t="shared" si="30"/>
        <v>0</v>
      </c>
      <c r="AD60" s="67">
        <f t="shared" si="30"/>
        <v>0</v>
      </c>
      <c r="AE60" s="67">
        <f t="shared" si="30"/>
        <v>0</v>
      </c>
      <c r="AF60" s="67">
        <f t="shared" si="30"/>
        <v>0</v>
      </c>
      <c r="AG60" s="67">
        <f t="shared" si="30"/>
        <v>0</v>
      </c>
      <c r="AH60" s="67">
        <f t="shared" si="30"/>
        <v>0</v>
      </c>
      <c r="AI60" s="67">
        <f t="shared" ref="AI60:BJ60" si="31">AI22-AI41</f>
        <v>0</v>
      </c>
      <c r="AJ60" s="67">
        <f t="shared" si="31"/>
        <v>0</v>
      </c>
      <c r="AK60" s="67">
        <f t="shared" si="31"/>
        <v>0</v>
      </c>
      <c r="AL60" s="67">
        <f t="shared" si="31"/>
        <v>0</v>
      </c>
      <c r="AM60" s="67">
        <f t="shared" si="31"/>
        <v>0</v>
      </c>
      <c r="AN60" s="67">
        <f t="shared" si="31"/>
        <v>0</v>
      </c>
      <c r="AO60" s="67">
        <f t="shared" si="31"/>
        <v>0</v>
      </c>
      <c r="AP60" s="67">
        <f t="shared" si="31"/>
        <v>0</v>
      </c>
      <c r="AQ60" s="67">
        <f t="shared" si="31"/>
        <v>0</v>
      </c>
      <c r="AR60" s="67">
        <f t="shared" si="31"/>
        <v>0</v>
      </c>
      <c r="AS60" s="67">
        <f t="shared" si="31"/>
        <v>0</v>
      </c>
      <c r="AT60" s="67">
        <f t="shared" si="31"/>
        <v>0</v>
      </c>
      <c r="AU60" s="67">
        <f t="shared" si="31"/>
        <v>0</v>
      </c>
      <c r="AV60" s="67">
        <f t="shared" si="31"/>
        <v>0</v>
      </c>
      <c r="AW60" s="67">
        <f t="shared" si="31"/>
        <v>0</v>
      </c>
      <c r="AX60" s="67">
        <f t="shared" si="31"/>
        <v>0</v>
      </c>
      <c r="AY60" s="67">
        <f t="shared" si="31"/>
        <v>0</v>
      </c>
      <c r="AZ60" s="67">
        <f t="shared" si="31"/>
        <v>0</v>
      </c>
      <c r="BA60" s="67">
        <f t="shared" si="31"/>
        <v>0</v>
      </c>
      <c r="BB60" s="67">
        <f t="shared" si="31"/>
        <v>0</v>
      </c>
      <c r="BC60" s="67">
        <f t="shared" si="31"/>
        <v>0</v>
      </c>
      <c r="BD60" s="67">
        <f t="shared" si="31"/>
        <v>0</v>
      </c>
      <c r="BE60" s="67">
        <f t="shared" si="31"/>
        <v>0</v>
      </c>
      <c r="BF60" s="67">
        <f t="shared" si="31"/>
        <v>0</v>
      </c>
      <c r="BG60" s="67">
        <f t="shared" si="31"/>
        <v>0</v>
      </c>
      <c r="BH60" s="67">
        <f t="shared" si="31"/>
        <v>0</v>
      </c>
      <c r="BI60" s="67">
        <f t="shared" si="31"/>
        <v>0</v>
      </c>
      <c r="BJ60" s="67">
        <f t="shared" si="31"/>
        <v>0</v>
      </c>
      <c r="BK60" s="70"/>
    </row>
    <row r="61" spans="2:63" x14ac:dyDescent="0.2">
      <c r="B61" s="115"/>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row>
    <row r="62" spans="2:63" x14ac:dyDescent="0.2">
      <c r="B62" s="144" t="s">
        <v>97</v>
      </c>
      <c r="C62" s="67">
        <f t="shared" ref="C62:AH62" si="32">C24-C43</f>
        <v>8481.7147000000004</v>
      </c>
      <c r="D62" s="67">
        <f t="shared" si="32"/>
        <v>1845.5862</v>
      </c>
      <c r="E62" s="67">
        <f t="shared" si="32"/>
        <v>1788.0897</v>
      </c>
      <c r="F62" s="67">
        <f t="shared" si="32"/>
        <v>1631.8937000000001</v>
      </c>
      <c r="G62" s="67">
        <f t="shared" si="32"/>
        <v>1581.8381999999997</v>
      </c>
      <c r="H62" s="67">
        <f t="shared" si="32"/>
        <v>1558.6777</v>
      </c>
      <c r="I62" s="67">
        <f t="shared" si="32"/>
        <v>1866.2982</v>
      </c>
      <c r="J62" s="67">
        <f t="shared" si="32"/>
        <v>1969.8387</v>
      </c>
      <c r="K62" s="67">
        <f t="shared" si="32"/>
        <v>1200.5241999999998</v>
      </c>
      <c r="L62" s="67">
        <f t="shared" si="32"/>
        <v>1817.0966999999998</v>
      </c>
      <c r="M62" s="67">
        <f t="shared" si="32"/>
        <v>1695.7526999999995</v>
      </c>
      <c r="N62" s="67">
        <f t="shared" si="32"/>
        <v>1245.2626999999998</v>
      </c>
      <c r="O62" s="67">
        <f t="shared" si="32"/>
        <v>4167.1471333333338</v>
      </c>
      <c r="P62" s="67">
        <f t="shared" si="32"/>
        <v>4066.7476333333334</v>
      </c>
      <c r="Q62" s="67">
        <f t="shared" si="32"/>
        <v>6853.1866333333346</v>
      </c>
      <c r="R62" s="67">
        <f t="shared" si="32"/>
        <v>3648.4596333333338</v>
      </c>
      <c r="S62" s="67">
        <f t="shared" si="32"/>
        <v>3562.0626333333344</v>
      </c>
      <c r="T62" s="67">
        <f t="shared" si="32"/>
        <v>4517.335633333334</v>
      </c>
      <c r="U62" s="67">
        <f t="shared" si="32"/>
        <v>4068.9501333333342</v>
      </c>
      <c r="V62" s="67">
        <f t="shared" si="32"/>
        <v>4102.0131333333338</v>
      </c>
      <c r="W62" s="67">
        <f t="shared" si="32"/>
        <v>2954.0511333333361</v>
      </c>
      <c r="X62" s="67">
        <f t="shared" si="32"/>
        <v>3998.4926333333333</v>
      </c>
      <c r="Y62" s="67">
        <f t="shared" si="32"/>
        <v>3753.2276333333339</v>
      </c>
      <c r="Z62" s="67">
        <f t="shared" si="32"/>
        <v>3135.5256333333346</v>
      </c>
      <c r="AA62" s="67">
        <f t="shared" si="32"/>
        <v>9844.8634333333339</v>
      </c>
      <c r="AB62" s="67">
        <f t="shared" si="32"/>
        <v>6921.6759333333339</v>
      </c>
      <c r="AC62" s="67">
        <f t="shared" si="32"/>
        <v>6539.9404333333332</v>
      </c>
      <c r="AD62" s="67">
        <f t="shared" si="32"/>
        <v>6391.9134333333332</v>
      </c>
      <c r="AE62" s="67">
        <f t="shared" si="32"/>
        <v>6214.5464333333339</v>
      </c>
      <c r="AF62" s="67">
        <f t="shared" si="32"/>
        <v>6242.5994333333329</v>
      </c>
      <c r="AG62" s="67">
        <f t="shared" si="32"/>
        <v>6986.3019333333332</v>
      </c>
      <c r="AH62" s="67">
        <f t="shared" si="32"/>
        <v>6891.0129333333343</v>
      </c>
      <c r="AI62" s="67">
        <f t="shared" ref="AI62:BJ62" si="33">AI24-AI43</f>
        <v>5653.0549333333347</v>
      </c>
      <c r="AJ62" s="67">
        <f t="shared" si="33"/>
        <v>6865.1864333333342</v>
      </c>
      <c r="AK62" s="67">
        <f t="shared" si="33"/>
        <v>6492.421433333333</v>
      </c>
      <c r="AL62" s="67">
        <f t="shared" si="33"/>
        <v>5381.7984333333316</v>
      </c>
      <c r="AM62" s="67">
        <f t="shared" si="33"/>
        <v>10340.308083333333</v>
      </c>
      <c r="AN62" s="67">
        <f t="shared" si="33"/>
        <v>10643.635083333338</v>
      </c>
      <c r="AO62" s="67">
        <f t="shared" si="33"/>
        <v>9940.3315833333345</v>
      </c>
      <c r="AP62" s="67">
        <f t="shared" si="33"/>
        <v>9582.423583333335</v>
      </c>
      <c r="AQ62" s="67">
        <f t="shared" si="33"/>
        <v>9461.3690833333312</v>
      </c>
      <c r="AR62" s="67">
        <f t="shared" si="33"/>
        <v>9436.7325833333343</v>
      </c>
      <c r="AS62" s="67">
        <f t="shared" si="33"/>
        <v>10458.788083333331</v>
      </c>
      <c r="AT62" s="67">
        <f t="shared" si="33"/>
        <v>10426.444583333338</v>
      </c>
      <c r="AU62" s="67">
        <f t="shared" si="33"/>
        <v>8471.9675833333367</v>
      </c>
      <c r="AV62" s="67">
        <f t="shared" si="33"/>
        <v>10277.79858333333</v>
      </c>
      <c r="AW62" s="67">
        <f t="shared" si="33"/>
        <v>9725.0935833333315</v>
      </c>
      <c r="AX62" s="67">
        <f t="shared" si="33"/>
        <v>8164.9090833333339</v>
      </c>
      <c r="AY62" s="67">
        <f t="shared" si="33"/>
        <v>15842.31395</v>
      </c>
      <c r="AZ62" s="67">
        <f t="shared" si="33"/>
        <v>16208.559449999997</v>
      </c>
      <c r="BA62" s="67">
        <f t="shared" si="33"/>
        <v>15327.709949999999</v>
      </c>
      <c r="BB62" s="67">
        <f t="shared" si="33"/>
        <v>16524.996449999999</v>
      </c>
      <c r="BC62" s="67">
        <f t="shared" si="33"/>
        <v>13260.487949999995</v>
      </c>
      <c r="BD62" s="67">
        <f t="shared" si="33"/>
        <v>14377.204450000001</v>
      </c>
      <c r="BE62" s="67">
        <f t="shared" si="33"/>
        <v>15868.226449999995</v>
      </c>
      <c r="BF62" s="67">
        <f t="shared" si="33"/>
        <v>15966.240449999998</v>
      </c>
      <c r="BG62" s="67">
        <f t="shared" si="33"/>
        <v>12844.755450000001</v>
      </c>
      <c r="BH62" s="67">
        <f t="shared" si="33"/>
        <v>15862.717950000002</v>
      </c>
      <c r="BI62" s="67">
        <f t="shared" si="33"/>
        <v>14937.247950000001</v>
      </c>
      <c r="BJ62" s="67">
        <f t="shared" si="33"/>
        <v>12241.690450000002</v>
      </c>
      <c r="BK62" s="70"/>
    </row>
    <row r="63" spans="2:63" x14ac:dyDescent="0.2">
      <c r="B63" s="115"/>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row>
  </sheetData>
  <sheetProtection sheet="1" objects="1" scenarios="1"/>
  <mergeCells count="17">
    <mergeCell ref="B2:B3"/>
    <mergeCell ref="AM28:AX28"/>
    <mergeCell ref="C9:N9"/>
    <mergeCell ref="AY9:BJ9"/>
    <mergeCell ref="AA9:AL9"/>
    <mergeCell ref="AY47:BJ47"/>
    <mergeCell ref="AY28:BJ28"/>
    <mergeCell ref="C47:N47"/>
    <mergeCell ref="B5:J5"/>
    <mergeCell ref="O28:Z28"/>
    <mergeCell ref="AM47:AX47"/>
    <mergeCell ref="AA47:AL47"/>
    <mergeCell ref="AA28:AL28"/>
    <mergeCell ref="O47:Z47"/>
    <mergeCell ref="C28:N28"/>
    <mergeCell ref="AM9:AX9"/>
    <mergeCell ref="O9:Z9"/>
  </mergeCells>
  <pageMargins left="0.7" right="0.7" top="0.75" bottom="0.75" header="0.3" footer="0.3"/>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0">
    <tabColor theme="3" tint="0.39997558519241921"/>
  </sheetPr>
  <dimension ref="B2:BK62"/>
  <sheetViews>
    <sheetView showGridLines="0" showRowColHeaders="0" zoomScale="85" zoomScaleNormal="85" workbookViewId="0">
      <pane xSplit="2" topLeftCell="C1" activePane="topRight" state="frozen"/>
      <selection activeCell="I35" sqref="I35"/>
      <selection pane="topRight" activeCell="E69" sqref="E69"/>
    </sheetView>
  </sheetViews>
  <sheetFormatPr baseColWidth="10" defaultColWidth="11.5" defaultRowHeight="15" x14ac:dyDescent="0.2"/>
  <cols>
    <col min="1" max="1" width="3" customWidth="1"/>
    <col min="2" max="2" width="35.6640625" style="8" customWidth="1"/>
    <col min="63" max="63" width="3.6640625" customWidth="1"/>
  </cols>
  <sheetData>
    <row r="2" spans="2:63" x14ac:dyDescent="0.2">
      <c r="B2" s="172" t="s">
        <v>272</v>
      </c>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row>
    <row r="3" spans="2:63" x14ac:dyDescent="0.2">
      <c r="B3" s="169"/>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row>
    <row r="4" spans="2:63" x14ac:dyDescent="0.2">
      <c r="B4" s="115"/>
      <c r="C4" s="70"/>
      <c r="D4" s="70"/>
      <c r="E4" s="70"/>
      <c r="F4" s="70"/>
      <c r="G4" s="70"/>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row>
    <row r="5" spans="2:63" x14ac:dyDescent="0.2">
      <c r="B5" s="190" t="s">
        <v>273</v>
      </c>
      <c r="C5" s="157"/>
      <c r="D5" s="157"/>
      <c r="E5" s="157"/>
      <c r="F5" s="157"/>
      <c r="G5" s="157"/>
      <c r="H5" s="157"/>
      <c r="I5" s="157"/>
      <c r="J5" s="157"/>
      <c r="K5" s="157"/>
      <c r="L5" s="157"/>
      <c r="M5" s="157"/>
      <c r="N5" s="158"/>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row>
    <row r="6" spans="2:63" x14ac:dyDescent="0.2">
      <c r="B6" s="115"/>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row>
    <row r="7" spans="2:63" x14ac:dyDescent="0.2">
      <c r="B7" s="71"/>
      <c r="C7" s="174" t="s">
        <v>77</v>
      </c>
      <c r="D7" s="157"/>
      <c r="E7" s="157"/>
      <c r="F7" s="157"/>
      <c r="G7" s="157"/>
      <c r="H7" s="157"/>
      <c r="I7" s="157"/>
      <c r="J7" s="157"/>
      <c r="K7" s="157"/>
      <c r="L7" s="157"/>
      <c r="M7" s="157"/>
      <c r="N7" s="158"/>
      <c r="O7" s="174" t="s">
        <v>78</v>
      </c>
      <c r="P7" s="157"/>
      <c r="Q7" s="157"/>
      <c r="R7" s="157"/>
      <c r="S7" s="157"/>
      <c r="T7" s="157"/>
      <c r="U7" s="157"/>
      <c r="V7" s="157"/>
      <c r="W7" s="157"/>
      <c r="X7" s="157"/>
      <c r="Y7" s="157"/>
      <c r="Z7" s="158"/>
      <c r="AA7" s="174" t="s">
        <v>79</v>
      </c>
      <c r="AB7" s="157"/>
      <c r="AC7" s="157"/>
      <c r="AD7" s="157"/>
      <c r="AE7" s="157"/>
      <c r="AF7" s="157"/>
      <c r="AG7" s="157"/>
      <c r="AH7" s="157"/>
      <c r="AI7" s="157"/>
      <c r="AJ7" s="157"/>
      <c r="AK7" s="157"/>
      <c r="AL7" s="158"/>
      <c r="AM7" s="174" t="s">
        <v>80</v>
      </c>
      <c r="AN7" s="157"/>
      <c r="AO7" s="157"/>
      <c r="AP7" s="157"/>
      <c r="AQ7" s="157"/>
      <c r="AR7" s="157"/>
      <c r="AS7" s="157"/>
      <c r="AT7" s="157"/>
      <c r="AU7" s="157"/>
      <c r="AV7" s="157"/>
      <c r="AW7" s="157"/>
      <c r="AX7" s="158"/>
      <c r="AY7" s="174" t="s">
        <v>81</v>
      </c>
      <c r="AZ7" s="157"/>
      <c r="BA7" s="157"/>
      <c r="BB7" s="157"/>
      <c r="BC7" s="157"/>
      <c r="BD7" s="157"/>
      <c r="BE7" s="157"/>
      <c r="BF7" s="157"/>
      <c r="BG7" s="157"/>
      <c r="BH7" s="157"/>
      <c r="BI7" s="157"/>
      <c r="BJ7" s="158"/>
      <c r="BK7" s="70"/>
    </row>
    <row r="8" spans="2:63" x14ac:dyDescent="0.2">
      <c r="B8" s="144" t="s">
        <v>241</v>
      </c>
      <c r="C8" s="55">
        <f>Config!$C$7</f>
        <v>46388</v>
      </c>
      <c r="D8" s="55">
        <f t="shared" ref="D8:AI8" si="0">DATE(YEAR(C8),MONTH(C8)+1,DAY(C8))</f>
        <v>46419</v>
      </c>
      <c r="E8" s="55">
        <f t="shared" si="0"/>
        <v>46447</v>
      </c>
      <c r="F8" s="55">
        <f t="shared" si="0"/>
        <v>46478</v>
      </c>
      <c r="G8" s="55">
        <f t="shared" si="0"/>
        <v>46508</v>
      </c>
      <c r="H8" s="55">
        <f t="shared" si="0"/>
        <v>46539</v>
      </c>
      <c r="I8" s="55">
        <f t="shared" si="0"/>
        <v>46569</v>
      </c>
      <c r="J8" s="55">
        <f t="shared" si="0"/>
        <v>46600</v>
      </c>
      <c r="K8" s="55">
        <f t="shared" si="0"/>
        <v>46631</v>
      </c>
      <c r="L8" s="55">
        <f t="shared" si="0"/>
        <v>46661</v>
      </c>
      <c r="M8" s="55">
        <f t="shared" si="0"/>
        <v>46692</v>
      </c>
      <c r="N8" s="55">
        <f t="shared" si="0"/>
        <v>46722</v>
      </c>
      <c r="O8" s="55">
        <f t="shared" si="0"/>
        <v>46753</v>
      </c>
      <c r="P8" s="55">
        <f t="shared" si="0"/>
        <v>46784</v>
      </c>
      <c r="Q8" s="55">
        <f t="shared" si="0"/>
        <v>46813</v>
      </c>
      <c r="R8" s="55">
        <f t="shared" si="0"/>
        <v>46844</v>
      </c>
      <c r="S8" s="55">
        <f t="shared" si="0"/>
        <v>46874</v>
      </c>
      <c r="T8" s="55">
        <f t="shared" si="0"/>
        <v>46905</v>
      </c>
      <c r="U8" s="55">
        <f t="shared" si="0"/>
        <v>46935</v>
      </c>
      <c r="V8" s="55">
        <f t="shared" si="0"/>
        <v>46966</v>
      </c>
      <c r="W8" s="55">
        <f t="shared" si="0"/>
        <v>46997</v>
      </c>
      <c r="X8" s="55">
        <f t="shared" si="0"/>
        <v>47027</v>
      </c>
      <c r="Y8" s="55">
        <f t="shared" si="0"/>
        <v>47058</v>
      </c>
      <c r="Z8" s="55">
        <f t="shared" si="0"/>
        <v>47088</v>
      </c>
      <c r="AA8" s="55">
        <f t="shared" si="0"/>
        <v>47119</v>
      </c>
      <c r="AB8" s="55">
        <f t="shared" si="0"/>
        <v>47150</v>
      </c>
      <c r="AC8" s="55">
        <f t="shared" si="0"/>
        <v>47178</v>
      </c>
      <c r="AD8" s="55">
        <f t="shared" si="0"/>
        <v>47209</v>
      </c>
      <c r="AE8" s="55">
        <f t="shared" si="0"/>
        <v>47239</v>
      </c>
      <c r="AF8" s="55">
        <f t="shared" si="0"/>
        <v>47270</v>
      </c>
      <c r="AG8" s="55">
        <f t="shared" si="0"/>
        <v>47300</v>
      </c>
      <c r="AH8" s="55">
        <f t="shared" si="0"/>
        <v>47331</v>
      </c>
      <c r="AI8" s="55">
        <f t="shared" si="0"/>
        <v>47362</v>
      </c>
      <c r="AJ8" s="55">
        <f t="shared" ref="AJ8:BJ8" si="1">DATE(YEAR(AI8),MONTH(AI8)+1,DAY(AI8))</f>
        <v>47392</v>
      </c>
      <c r="AK8" s="55">
        <f t="shared" si="1"/>
        <v>47423</v>
      </c>
      <c r="AL8" s="55">
        <f t="shared" si="1"/>
        <v>47453</v>
      </c>
      <c r="AM8" s="55">
        <f t="shared" si="1"/>
        <v>47484</v>
      </c>
      <c r="AN8" s="55">
        <f t="shared" si="1"/>
        <v>47515</v>
      </c>
      <c r="AO8" s="55">
        <f t="shared" si="1"/>
        <v>47543</v>
      </c>
      <c r="AP8" s="55">
        <f t="shared" si="1"/>
        <v>47574</v>
      </c>
      <c r="AQ8" s="55">
        <f t="shared" si="1"/>
        <v>47604</v>
      </c>
      <c r="AR8" s="55">
        <f t="shared" si="1"/>
        <v>47635</v>
      </c>
      <c r="AS8" s="55">
        <f t="shared" si="1"/>
        <v>47665</v>
      </c>
      <c r="AT8" s="55">
        <f t="shared" si="1"/>
        <v>47696</v>
      </c>
      <c r="AU8" s="55">
        <f t="shared" si="1"/>
        <v>47727</v>
      </c>
      <c r="AV8" s="55">
        <f t="shared" si="1"/>
        <v>47757</v>
      </c>
      <c r="AW8" s="55">
        <f t="shared" si="1"/>
        <v>47788</v>
      </c>
      <c r="AX8" s="55">
        <f t="shared" si="1"/>
        <v>47818</v>
      </c>
      <c r="AY8" s="55">
        <f t="shared" si="1"/>
        <v>47849</v>
      </c>
      <c r="AZ8" s="55">
        <f t="shared" si="1"/>
        <v>47880</v>
      </c>
      <c r="BA8" s="55">
        <f t="shared" si="1"/>
        <v>47908</v>
      </c>
      <c r="BB8" s="55">
        <f t="shared" si="1"/>
        <v>47939</v>
      </c>
      <c r="BC8" s="55">
        <f t="shared" si="1"/>
        <v>47969</v>
      </c>
      <c r="BD8" s="55">
        <f t="shared" si="1"/>
        <v>48000</v>
      </c>
      <c r="BE8" s="55">
        <f t="shared" si="1"/>
        <v>48030</v>
      </c>
      <c r="BF8" s="55">
        <f t="shared" si="1"/>
        <v>48061</v>
      </c>
      <c r="BG8" s="55">
        <f t="shared" si="1"/>
        <v>48092</v>
      </c>
      <c r="BH8" s="55">
        <f t="shared" si="1"/>
        <v>48122</v>
      </c>
      <c r="BI8" s="55">
        <f t="shared" si="1"/>
        <v>48153</v>
      </c>
      <c r="BJ8" s="55">
        <f t="shared" si="1"/>
        <v>48183</v>
      </c>
      <c r="BK8" s="70"/>
    </row>
    <row r="9" spans="2:63" x14ac:dyDescent="0.2">
      <c r="B9" s="46" t="str">
        <f>Config!$B$14</f>
        <v>Vente d'abonnement mensuel (30 Shots)</v>
      </c>
      <c r="C9" s="67">
        <f>C29-C48+TVA!C49</f>
        <v>0</v>
      </c>
      <c r="D9" s="67">
        <f>D29-D48+TVA!D49</f>
        <v>-361.39800000000002</v>
      </c>
      <c r="E9" s="67">
        <f>E29-E48+TVA!E49</f>
        <v>-856.245</v>
      </c>
      <c r="F9" s="67">
        <f>F29-F48+TVA!F49</f>
        <v>-1508.1659999999999</v>
      </c>
      <c r="G9" s="67">
        <f>G29-G48+TVA!G49</f>
        <v>-2317.1610000000001</v>
      </c>
      <c r="H9" s="67">
        <f>H29-H48+TVA!H49</f>
        <v>-3283.23</v>
      </c>
      <c r="I9" s="67">
        <f>I29-I48+TVA!I49</f>
        <v>-3864.2759999999998</v>
      </c>
      <c r="J9" s="67">
        <f>J29-J48+TVA!J49</f>
        <v>-4492.5720000000001</v>
      </c>
      <c r="K9" s="67">
        <f>K29-K48+TVA!K49</f>
        <v>-5843.6639999999998</v>
      </c>
      <c r="L9" s="67">
        <f>L29-L48+TVA!L49</f>
        <v>-6738.8580000000002</v>
      </c>
      <c r="M9" s="67">
        <f>M29-M48+TVA!M49</f>
        <v>-7681.3019999999997</v>
      </c>
      <c r="N9" s="67">
        <f>N29-N48+TVA!N49</f>
        <v>-8985.1440000000002</v>
      </c>
      <c r="O9" s="67">
        <f>O29-O48+TVA!O49</f>
        <v>-9518.94</v>
      </c>
      <c r="P9" s="67">
        <f>P29-P48+TVA!P49</f>
        <v>-10508.634</v>
      </c>
      <c r="Q9" s="67">
        <f>Q29-Q48+TVA!Q49</f>
        <v>-11451.078</v>
      </c>
      <c r="R9" s="67">
        <f>R29-R48+TVA!R49</f>
        <v>-12754.92</v>
      </c>
      <c r="S9" s="67">
        <f>S29-S48+TVA!S49</f>
        <v>-14372.91</v>
      </c>
      <c r="T9" s="67">
        <f>T29-T48+TVA!T49</f>
        <v>-15943.65</v>
      </c>
      <c r="U9" s="67">
        <f>U29-U48+TVA!U49</f>
        <v>-17152.991999999998</v>
      </c>
      <c r="V9" s="67">
        <f>V29-V48+TVA!V49</f>
        <v>-18048.186000000002</v>
      </c>
      <c r="W9" s="67">
        <f>W29-W48+TVA!W49</f>
        <v>-20797.62</v>
      </c>
      <c r="X9" s="67">
        <f>X29-X48+TVA!X49</f>
        <v>-22226.61</v>
      </c>
      <c r="Y9" s="67">
        <f>Y29-Y48+TVA!Y49</f>
        <v>-23797.35</v>
      </c>
      <c r="Z9" s="67">
        <f>Z29-Z48+TVA!Z49</f>
        <v>-25368.09</v>
      </c>
      <c r="AA9" s="67">
        <f>AA29-AA48+TVA!AA49</f>
        <v>-26938.83</v>
      </c>
      <c r="AB9" s="67">
        <f>AB29-AB48+TVA!AB49</f>
        <v>-27786.774000000001</v>
      </c>
      <c r="AC9" s="67">
        <f>AC29-AC48+TVA!AC49</f>
        <v>-28729.218000000001</v>
      </c>
      <c r="AD9" s="67">
        <f>AD29-AD48+TVA!AD49</f>
        <v>-30033.06</v>
      </c>
      <c r="AE9" s="67">
        <f>AE29-AE48+TVA!AE49</f>
        <v>-31651.05</v>
      </c>
      <c r="AF9" s="67">
        <f>AF29-AF48+TVA!AF49</f>
        <v>-33221.79</v>
      </c>
      <c r="AG9" s="67">
        <f>AG29-AG48+TVA!AG49</f>
        <v>-34069.733999999997</v>
      </c>
      <c r="AH9" s="67">
        <f>AH29-AH48+TVA!AH49</f>
        <v>-34650.78</v>
      </c>
      <c r="AI9" s="67">
        <f>AI29-AI48+TVA!AI49</f>
        <v>-36363.270000000004</v>
      </c>
      <c r="AJ9" s="67">
        <f>AJ29-AJ48+TVA!AJ49</f>
        <v>-37934.01</v>
      </c>
      <c r="AK9" s="67">
        <f>AK29-AK48+TVA!AK49</f>
        <v>-39504.75</v>
      </c>
      <c r="AL9" s="67">
        <f>AL29-AL48+TVA!AL49</f>
        <v>-41075.49</v>
      </c>
      <c r="AM9" s="67">
        <f>AM29-AM48+TVA!AM49</f>
        <v>-42646.23</v>
      </c>
      <c r="AN9" s="67">
        <f>AN29-AN48+TVA!AN49</f>
        <v>-43494.173999999999</v>
      </c>
      <c r="AO9" s="67">
        <f>AO29-AO48+TVA!AO49</f>
        <v>-44798.016000000003</v>
      </c>
      <c r="AP9" s="67">
        <f>AP29-AP48+TVA!AP49</f>
        <v>-46777.404000000002</v>
      </c>
      <c r="AQ9" s="67">
        <f>AQ29-AQ48+TVA!AQ49</f>
        <v>-49023.69</v>
      </c>
      <c r="AR9" s="67">
        <f>AR29-AR48+TVA!AR49</f>
        <v>-52306.92</v>
      </c>
      <c r="AS9" s="67">
        <f>AS29-AS48+TVA!AS49</f>
        <v>-53641.41</v>
      </c>
      <c r="AT9" s="67">
        <f>AT29-AT48+TVA!AT49</f>
        <v>-55212.15</v>
      </c>
      <c r="AU9" s="67">
        <f>AU29-AU48+TVA!AU49</f>
        <v>-58589.88</v>
      </c>
      <c r="AV9" s="67">
        <f>AV29-AV48+TVA!AV49</f>
        <v>-61731.360000000001</v>
      </c>
      <c r="AW9" s="67">
        <f>AW29-AW48+TVA!AW49</f>
        <v>-64872.84</v>
      </c>
      <c r="AX9" s="67">
        <f>AX29-AX48+TVA!AX49</f>
        <v>-68014.320000000007</v>
      </c>
      <c r="AY9" s="67">
        <f>AY29-AY48+TVA!AY49</f>
        <v>-69348.81</v>
      </c>
      <c r="AZ9" s="67">
        <f>AZ29-AZ48+TVA!AZ49</f>
        <v>-70919.55</v>
      </c>
      <c r="BA9" s="67">
        <f>BA29-BA48+TVA!BA49</f>
        <v>-72490.290000000008</v>
      </c>
      <c r="BB9" s="67">
        <f>BB29-BB48+TVA!BB49</f>
        <v>-75868.02</v>
      </c>
      <c r="BC9" s="67">
        <f>BC29-BC48+TVA!BC49</f>
        <v>-79009.5</v>
      </c>
      <c r="BD9" s="67">
        <f>BD29-BD48+TVA!BD49</f>
        <v>-83957.97</v>
      </c>
      <c r="BE9" s="67">
        <f>BE29-BE48+TVA!BE49</f>
        <v>-86863.2</v>
      </c>
      <c r="BF9" s="67">
        <f>BF29-BF48+TVA!BF49</f>
        <v>-90004.68</v>
      </c>
      <c r="BG9" s="67">
        <f>BG29-BG48+TVA!BG49</f>
        <v>-94953.15</v>
      </c>
      <c r="BH9" s="67">
        <f>BH29-BH48+TVA!BH49</f>
        <v>-99665.37</v>
      </c>
      <c r="BI9" s="67">
        <f>BI29-BI48+TVA!BI49</f>
        <v>-104377.59</v>
      </c>
      <c r="BJ9" s="67">
        <f>BJ29-BJ48+TVA!BJ49</f>
        <v>-110896.8</v>
      </c>
      <c r="BK9" s="70"/>
    </row>
    <row r="10" spans="2:63" x14ac:dyDescent="0.2">
      <c r="B10" s="46" t="str">
        <f>Config!$B$15</f>
        <v>Vente de pack découverte (9 Shots)</v>
      </c>
      <c r="C10" s="67">
        <f>C30-C49+TVA!C50</f>
        <v>-515.97</v>
      </c>
      <c r="D10" s="67">
        <f>D30-D49+TVA!D50</f>
        <v>-761.80200000000002</v>
      </c>
      <c r="E10" s="67">
        <f>E30-E49+TVA!E50</f>
        <v>-1136.328</v>
      </c>
      <c r="F10" s="67">
        <f>F30-F49+TVA!F50</f>
        <v>-1910.88</v>
      </c>
      <c r="G10" s="67">
        <f>G30-G49+TVA!G50</f>
        <v>-2840.82</v>
      </c>
      <c r="H10" s="67">
        <f>H30-H49+TVA!H50</f>
        <v>-3229.29</v>
      </c>
      <c r="I10" s="67">
        <f>I30-I49+TVA!I50</f>
        <v>-2649.57</v>
      </c>
      <c r="J10" s="67">
        <f>J30-J49+TVA!J50</f>
        <v>-1681.38</v>
      </c>
      <c r="K10" s="67">
        <f>K30-K49+TVA!K50</f>
        <v>-3872.76</v>
      </c>
      <c r="L10" s="67">
        <f>L30-L49+TVA!L50</f>
        <v>-3101.79</v>
      </c>
      <c r="M10" s="67">
        <f>M30-M49+TVA!M50</f>
        <v>-3165.54</v>
      </c>
      <c r="N10" s="67">
        <f>N30-N49+TVA!N50</f>
        <v>-4713.45</v>
      </c>
      <c r="O10" s="67">
        <f>O30-O49+TVA!O50</f>
        <v>-4006.23</v>
      </c>
      <c r="P10" s="67">
        <f>P30-P49+TVA!P50</f>
        <v>-3554.01</v>
      </c>
      <c r="Q10" s="67">
        <f>Q30-Q49+TVA!Q50</f>
        <v>-4133.7299999999996</v>
      </c>
      <c r="R10" s="67">
        <f>R30-R49+TVA!R50</f>
        <v>-5101.92</v>
      </c>
      <c r="S10" s="67">
        <f>S30-S49+TVA!S50</f>
        <v>-6006.36</v>
      </c>
      <c r="T10" s="67">
        <f>T30-T49+TVA!T50</f>
        <v>-6394.83</v>
      </c>
      <c r="U10" s="67">
        <f>U30-U49+TVA!U50</f>
        <v>-5299.14</v>
      </c>
      <c r="V10" s="67">
        <f>V30-V49+TVA!V50</f>
        <v>-4394.7</v>
      </c>
      <c r="W10" s="67">
        <f>W30-W49+TVA!W50</f>
        <v>-7618.02</v>
      </c>
      <c r="X10" s="67">
        <f>X30-X49+TVA!X50</f>
        <v>-6203.58</v>
      </c>
      <c r="Y10" s="67">
        <f>Y30-Y49+TVA!Y50</f>
        <v>-6331.08</v>
      </c>
      <c r="Z10" s="67">
        <f>Z30-Z49+TVA!Z50</f>
        <v>-8394.9599999999991</v>
      </c>
      <c r="AA10" s="67">
        <f>AA30-AA49+TVA!AA50</f>
        <v>-8139.96</v>
      </c>
      <c r="AB10" s="67">
        <f>AB30-AB49+TVA!AB50</f>
        <v>-7108.02</v>
      </c>
      <c r="AC10" s="67">
        <f>AC30-AC49+TVA!AC50</f>
        <v>-7751.49</v>
      </c>
      <c r="AD10" s="67">
        <f>AD30-AD49+TVA!AD50</f>
        <v>-8719.68</v>
      </c>
      <c r="AE10" s="67">
        <f>AE30-AE49+TVA!AE50</f>
        <v>-10140.09</v>
      </c>
      <c r="AF10" s="67">
        <f>AF30-AF49+TVA!AF50</f>
        <v>-10980.78</v>
      </c>
      <c r="AG10" s="67">
        <f>AG30-AG49+TVA!AG50</f>
        <v>-8789.4</v>
      </c>
      <c r="AH10" s="67">
        <f>AH30-AH49+TVA!AH50</f>
        <v>-8012.46</v>
      </c>
      <c r="AI10" s="67">
        <f>AI30-AI49+TVA!AI50</f>
        <v>-12267.72</v>
      </c>
      <c r="AJ10" s="67">
        <f>AJ30-AJ49+TVA!AJ50</f>
        <v>-9693.84</v>
      </c>
      <c r="AK10" s="67">
        <f>AK30-AK49+TVA!AK50</f>
        <v>-9948.84</v>
      </c>
      <c r="AL10" s="67">
        <f>AL30-AL49+TVA!AL50</f>
        <v>-14076.6</v>
      </c>
      <c r="AM10" s="67">
        <f>AM30-AM49+TVA!AM50</f>
        <v>-14598.54</v>
      </c>
      <c r="AN10" s="67">
        <f>AN30-AN49+TVA!AN50</f>
        <v>-12407.16</v>
      </c>
      <c r="AO10" s="67">
        <f>AO30-AO49+TVA!AO50</f>
        <v>-13694.1</v>
      </c>
      <c r="AP10" s="67">
        <f>AP30-AP49+TVA!AP50</f>
        <v>-15630.48</v>
      </c>
      <c r="AQ10" s="67">
        <f>AQ30-AQ49+TVA!AQ50</f>
        <v>-17439.36</v>
      </c>
      <c r="AR10" s="67">
        <f>AR30-AR49+TVA!AR50</f>
        <v>-18216.3</v>
      </c>
      <c r="AS10" s="67">
        <f>AS30-AS49+TVA!AS50</f>
        <v>-16024.92</v>
      </c>
      <c r="AT10" s="67">
        <f>AT30-AT49+TVA!AT50</f>
        <v>-14216.04</v>
      </c>
      <c r="AU10" s="67">
        <f>AU30-AU49+TVA!AU50</f>
        <v>-20662.68</v>
      </c>
      <c r="AV10" s="67">
        <f>AV30-AV49+TVA!AV50</f>
        <v>-16801.86</v>
      </c>
      <c r="AW10" s="67">
        <f>AW30-AW49+TVA!AW50</f>
        <v>-17184.36</v>
      </c>
      <c r="AX10" s="67">
        <f>AX30-AX49+TVA!AX50</f>
        <v>-23376</v>
      </c>
      <c r="AY10" s="67">
        <f>AY30-AY49+TVA!AY50</f>
        <v>-23642.94</v>
      </c>
      <c r="AZ10" s="67">
        <f>AZ30-AZ49+TVA!AZ50</f>
        <v>-20419.62</v>
      </c>
      <c r="BA10" s="67">
        <f>BA30-BA49+TVA!BA50</f>
        <v>-21834.06</v>
      </c>
      <c r="BB10" s="67">
        <f>BB30-BB49+TVA!BB50</f>
        <v>-14482.98</v>
      </c>
      <c r="BC10" s="67">
        <f>BC30-BC49+TVA!BC50</f>
        <v>-28790.7</v>
      </c>
      <c r="BD10" s="67">
        <f>BD30-BD49+TVA!BD50</f>
        <v>-29197.08</v>
      </c>
      <c r="BE10" s="67">
        <f>BE30-BE49+TVA!BE50</f>
        <v>-25846.260000000002</v>
      </c>
      <c r="BF10" s="67">
        <f>BF30-BF49+TVA!BF50</f>
        <v>-22101</v>
      </c>
      <c r="BG10" s="67">
        <f>BG30-BG49+TVA!BG50</f>
        <v>-32930.400000000001</v>
      </c>
      <c r="BH10" s="67">
        <f>BH30-BH49+TVA!BH50</f>
        <v>-26495.7</v>
      </c>
      <c r="BI10" s="67">
        <f>BI30-BI49+TVA!BI50</f>
        <v>-27133.200000000001</v>
      </c>
      <c r="BJ10" s="67">
        <f>BJ30-BJ49+TVA!BJ50</f>
        <v>-37452.6</v>
      </c>
      <c r="BK10" s="70"/>
    </row>
    <row r="11" spans="2:63" x14ac:dyDescent="0.2">
      <c r="B11" s="46" t="str">
        <f>Config!$B$16</f>
        <v xml:space="preserve">Vente de shots à l'unité </v>
      </c>
      <c r="C11" s="67">
        <f>C31-C50+TVA!C51</f>
        <v>-27.696999999999999</v>
      </c>
      <c r="D11" s="67">
        <f>D31-D50+TVA!D51</f>
        <v>-38.095500000000001</v>
      </c>
      <c r="E11" s="67">
        <f>E31-E50+TVA!E51</f>
        <v>-50.219000000000001</v>
      </c>
      <c r="F11" s="67">
        <f>F31-F50+TVA!F51</f>
        <v>-62.342500000000001</v>
      </c>
      <c r="G11" s="67">
        <f>G31-G50+TVA!G51</f>
        <v>-102.163</v>
      </c>
      <c r="H11" s="67">
        <f>H31-H50+TVA!H51</f>
        <v>-124.685</v>
      </c>
      <c r="I11" s="67">
        <f>I31-I50+TVA!I51</f>
        <v>-93.538000000000011</v>
      </c>
      <c r="J11" s="67">
        <f>J31-J50+TVA!J51</f>
        <v>-69.290999999999997</v>
      </c>
      <c r="K11" s="67">
        <f>K31-K50+TVA!K51</f>
        <v>-128.13499999999999</v>
      </c>
      <c r="L11" s="67">
        <f>L31-L50+TVA!L51</f>
        <v>-93.538000000000011</v>
      </c>
      <c r="M11" s="67">
        <f>M31-M50+TVA!M51</f>
        <v>-96.988</v>
      </c>
      <c r="N11" s="67">
        <f>N31-N50+TVA!N51</f>
        <v>-193.92750000000001</v>
      </c>
      <c r="O11" s="67">
        <f>O31-O50+TVA!O51</f>
        <v>-112.61</v>
      </c>
      <c r="P11" s="67">
        <f>P31-P50+TVA!P51</f>
        <v>-121.23500000000001</v>
      </c>
      <c r="Q11" s="67">
        <f>Q31-Q50+TVA!Q51</f>
        <v>-148.93200000000002</v>
      </c>
      <c r="R11" s="67">
        <f>R31-R50+TVA!R51</f>
        <v>-187.0275</v>
      </c>
      <c r="S11" s="67">
        <f>S31-S50+TVA!S51</f>
        <v>-251.095</v>
      </c>
      <c r="T11" s="67">
        <f>T31-T50+TVA!T51</f>
        <v>-311.71249999999998</v>
      </c>
      <c r="U11" s="67">
        <f>U31-U50+TVA!U51</f>
        <v>-233.845</v>
      </c>
      <c r="V11" s="67">
        <f>V31-V50+TVA!V51</f>
        <v>-173.22750000000002</v>
      </c>
      <c r="W11" s="67">
        <f>W31-W50+TVA!W51</f>
        <v>-320.33749999999998</v>
      </c>
      <c r="X11" s="67">
        <f>X31-X50+TVA!X51</f>
        <v>-233.845</v>
      </c>
      <c r="Y11" s="67">
        <f>Y31-Y50+TVA!Y51</f>
        <v>-242.47000000000003</v>
      </c>
      <c r="Z11" s="67">
        <f>Z31-Z50+TVA!Z51</f>
        <v>-380.95499999999998</v>
      </c>
      <c r="AA11" s="67">
        <f>AA31-AA50+TVA!AA51</f>
        <v>-294.46249999999998</v>
      </c>
      <c r="AB11" s="67">
        <f>AB31-AB50+TVA!AB51</f>
        <v>-233.845</v>
      </c>
      <c r="AC11" s="67">
        <f>AC31-AC50+TVA!AC51</f>
        <v>-270.16700000000003</v>
      </c>
      <c r="AD11" s="67">
        <f>AD31-AD50+TVA!AD51</f>
        <v>-308.26249999999999</v>
      </c>
      <c r="AE11" s="67">
        <f>AE31-AE50+TVA!AE51</f>
        <v>-372.33</v>
      </c>
      <c r="AF11" s="67">
        <f>AF31-AF50+TVA!AF51</f>
        <v>-432.94749999999999</v>
      </c>
      <c r="AG11" s="67">
        <f>AG31-AG50+TVA!AG51</f>
        <v>-355.08000000000004</v>
      </c>
      <c r="AH11" s="67">
        <f>AH31-AH50+TVA!AH51</f>
        <v>-294.46249999999998</v>
      </c>
      <c r="AI11" s="67">
        <f>AI31-AI50+TVA!AI51</f>
        <v>-441.57249999999999</v>
      </c>
      <c r="AJ11" s="67">
        <f>AJ31-AJ50+TVA!AJ51</f>
        <v>-355.08000000000004</v>
      </c>
      <c r="AK11" s="67">
        <f>AK31-AK50+TVA!AK51</f>
        <v>-363.70499999999998</v>
      </c>
      <c r="AL11" s="67">
        <f>AL31-AL50+TVA!AL51</f>
        <v>-571.4325</v>
      </c>
      <c r="AM11" s="67">
        <f>AM31-AM50+TVA!AM51</f>
        <v>-407.07249999999999</v>
      </c>
      <c r="AN11" s="67">
        <f>AN31-AN50+TVA!AN51</f>
        <v>-355.08000000000004</v>
      </c>
      <c r="AO11" s="67">
        <f>AO31-AO50+TVA!AO51</f>
        <v>-391.40199999999999</v>
      </c>
      <c r="AP11" s="67">
        <f>AP31-AP50+TVA!AP51</f>
        <v>-471.04300000000001</v>
      </c>
      <c r="AQ11" s="67">
        <f>AQ31-AQ50+TVA!AQ51</f>
        <v>-557.63250000000005</v>
      </c>
      <c r="AR11" s="67">
        <f>AR31-AR50+TVA!AR51</f>
        <v>-614.79999999999995</v>
      </c>
      <c r="AS11" s="67">
        <f>AS31-AS50+TVA!AS51</f>
        <v>-536.9325</v>
      </c>
      <c r="AT11" s="67">
        <f>AT31-AT50+TVA!AT51</f>
        <v>-476.315</v>
      </c>
      <c r="AU11" s="67">
        <f>AU31-AU50+TVA!AU51</f>
        <v>-623.42499999999995</v>
      </c>
      <c r="AV11" s="67">
        <f>AV31-AV50+TVA!AV51</f>
        <v>-536.9325</v>
      </c>
      <c r="AW11" s="67">
        <f>AW31-AW50+TVA!AW51</f>
        <v>-545.5575</v>
      </c>
      <c r="AX11" s="67">
        <f>AX31-AX50+TVA!AX51</f>
        <v>-822.52749999999992</v>
      </c>
      <c r="AY11" s="67">
        <f>AY31-AY50+TVA!AY51</f>
        <v>-580.30000000000018</v>
      </c>
      <c r="AZ11" s="67">
        <f>AZ31-AZ50+TVA!AZ51</f>
        <v>-536.9325</v>
      </c>
      <c r="BA11" s="67">
        <f>BA31-BA50+TVA!BA51</f>
        <v>-587.10299999999995</v>
      </c>
      <c r="BB11" s="67">
        <f>BB31-BB50+TVA!BB51</f>
        <v>-678.86749999999995</v>
      </c>
      <c r="BC11" s="67">
        <f>BC31-BC50+TVA!BC51</f>
        <v>-805.27749999999992</v>
      </c>
      <c r="BD11" s="67">
        <f>BD31-BD50+TVA!BD51</f>
        <v>-926.51250000000016</v>
      </c>
      <c r="BE11" s="67">
        <f>BE31-BE50+TVA!BE51</f>
        <v>-770.77750000000015</v>
      </c>
      <c r="BF11" s="67">
        <f>BF31-BF50+TVA!BF51</f>
        <v>-649.54250000000013</v>
      </c>
      <c r="BG11" s="67">
        <f>BG31-BG50+TVA!BG51</f>
        <v>-943.76250000000005</v>
      </c>
      <c r="BH11" s="67">
        <f>BH31-BH50+TVA!BH51</f>
        <v>-770.77750000000015</v>
      </c>
      <c r="BI11" s="67">
        <f>BI31-BI50+TVA!BI51</f>
        <v>-788.02750000000015</v>
      </c>
      <c r="BJ11" s="67">
        <f>BJ31-BJ50+TVA!BJ51</f>
        <v>-1203.4825000000001</v>
      </c>
      <c r="BK11" s="70"/>
    </row>
    <row r="12" spans="2:63" x14ac:dyDescent="0.2">
      <c r="B12" s="46" t="str">
        <f>Config!$B$17</f>
        <v>Vente d'abonnement annuel (360 Shots)</v>
      </c>
      <c r="C12" s="67">
        <f>C32-C51+TVA!C52</f>
        <v>0</v>
      </c>
      <c r="D12" s="67">
        <f>D32-D51+TVA!D52</f>
        <v>0</v>
      </c>
      <c r="E12" s="67">
        <f>E32-E51+TVA!E52</f>
        <v>0</v>
      </c>
      <c r="F12" s="67">
        <f>F32-F51+TVA!F52</f>
        <v>-417.09949999999998</v>
      </c>
      <c r="G12" s="67">
        <f>G32-G51+TVA!G52</f>
        <v>-360.39949999999999</v>
      </c>
      <c r="H12" s="67">
        <f>H32-H51+TVA!H52</f>
        <v>-777.49900000000002</v>
      </c>
      <c r="I12" s="67">
        <f>I32-I51+TVA!I52</f>
        <v>-303.6995</v>
      </c>
      <c r="J12" s="67">
        <f>J32-J51+TVA!J52</f>
        <v>56.699999999999996</v>
      </c>
      <c r="K12" s="67">
        <f>K32-K51+TVA!K52</f>
        <v>-1251.2984999999999</v>
      </c>
      <c r="L12" s="67">
        <f>L32-L51+TVA!L52</f>
        <v>-664.09900000000005</v>
      </c>
      <c r="M12" s="67">
        <f>M32-M51+TVA!M52</f>
        <v>-720.79899999999998</v>
      </c>
      <c r="N12" s="67">
        <f>N32-N51+TVA!N52</f>
        <v>-1972.0975000000001</v>
      </c>
      <c r="O12" s="67">
        <f>O32-O51+TVA!O52</f>
        <v>-967.79849999999999</v>
      </c>
      <c r="P12" s="67">
        <f>P32-P51+TVA!P52</f>
        <v>-664.09900000000005</v>
      </c>
      <c r="Q12" s="67">
        <f>Q32-Q51+TVA!Q52</f>
        <v>-720.79899999999998</v>
      </c>
      <c r="R12" s="67">
        <f>R32-R51+TVA!R52</f>
        <v>-1137.8985</v>
      </c>
      <c r="S12" s="67">
        <f>S32-S51+TVA!S52</f>
        <v>-1498.298</v>
      </c>
      <c r="T12" s="67">
        <f>T32-T51+TVA!T52</f>
        <v>-1858.6975</v>
      </c>
      <c r="U12" s="67">
        <f>U32-U51+TVA!U52</f>
        <v>-967.79849999999999</v>
      </c>
      <c r="V12" s="67">
        <f>V32-V51+TVA!V52</f>
        <v>-664.09900000000005</v>
      </c>
      <c r="W12" s="67">
        <f>W32-W51+TVA!W52</f>
        <v>-2389.1970000000001</v>
      </c>
      <c r="X12" s="67">
        <f>X32-X51+TVA!X52</f>
        <v>-1328.1980000000001</v>
      </c>
      <c r="Y12" s="67">
        <f>Y32-Y51+TVA!Y52</f>
        <v>-1441.598</v>
      </c>
      <c r="Z12" s="67">
        <f>Z32-Z51+TVA!Z52</f>
        <v>-3944.1950000000002</v>
      </c>
      <c r="AA12" s="67">
        <f>AA32-AA51+TVA!AA52</f>
        <v>-1518.4974999999999</v>
      </c>
      <c r="AB12" s="67">
        <f>AB32-AB51+TVA!AB52</f>
        <v>-967.79849999999999</v>
      </c>
      <c r="AC12" s="67">
        <f>AC32-AC51+TVA!AC52</f>
        <v>-1498.298</v>
      </c>
      <c r="AD12" s="67">
        <f>AD32-AD51+TVA!AD52</f>
        <v>-1858.6975</v>
      </c>
      <c r="AE12" s="67">
        <f>AE32-AE51+TVA!AE52</f>
        <v>-2219.0969999999998</v>
      </c>
      <c r="AF12" s="67">
        <f>AF32-AF51+TVA!AF52</f>
        <v>-2579.4965000000002</v>
      </c>
      <c r="AG12" s="67">
        <f>AG32-AG51+TVA!AG52</f>
        <v>-1688.5975000000001</v>
      </c>
      <c r="AH12" s="67">
        <f>AH32-AH51+TVA!AH52</f>
        <v>-1384.8979999999999</v>
      </c>
      <c r="AI12" s="67">
        <f>AI32-AI51+TVA!AI52</f>
        <v>-3109.9960000000001</v>
      </c>
      <c r="AJ12" s="67">
        <f>AJ32-AJ51+TVA!AJ52</f>
        <v>-2048.9969999999998</v>
      </c>
      <c r="AK12" s="67">
        <f>AK32-AK51+TVA!AK52</f>
        <v>-2162.3969999999999</v>
      </c>
      <c r="AL12" s="67">
        <f>AL32-AL51+TVA!AL52</f>
        <v>-5916.2924999999996</v>
      </c>
      <c r="AM12" s="67">
        <f>AM32-AM51+TVA!AM52</f>
        <v>-2486.2960000000003</v>
      </c>
      <c r="AN12" s="67">
        <f>AN32-AN51+TVA!AN52</f>
        <v>-1631.8975</v>
      </c>
      <c r="AO12" s="67">
        <f>AO32-AO51+TVA!AO52</f>
        <v>-2219.0969999999998</v>
      </c>
      <c r="AP12" s="67">
        <f>AP32-AP51+TVA!AP52</f>
        <v>-2996.596</v>
      </c>
      <c r="AQ12" s="67">
        <f>AQ32-AQ51+TVA!AQ52</f>
        <v>-3717.395</v>
      </c>
      <c r="AR12" s="67">
        <f>AR32-AR51+TVA!AR52</f>
        <v>-4438.1939999999995</v>
      </c>
      <c r="AS12" s="67">
        <f>AS32-AS51+TVA!AS52</f>
        <v>-2656.3960000000002</v>
      </c>
      <c r="AT12" s="67">
        <f>AT32-AT51+TVA!AT52</f>
        <v>-2048.9969999999998</v>
      </c>
      <c r="AU12" s="67">
        <f>AU32-AU51+TVA!AU52</f>
        <v>-4664.9939999999997</v>
      </c>
      <c r="AV12" s="67">
        <f>AV32-AV51+TVA!AV52</f>
        <v>-3073.4955</v>
      </c>
      <c r="AW12" s="67">
        <f>AW32-AW51+TVA!AW52</f>
        <v>-3243.5954999999999</v>
      </c>
      <c r="AX12" s="67">
        <f>AX32-AX51+TVA!AX52</f>
        <v>-7831.6900000000005</v>
      </c>
      <c r="AY12" s="67">
        <f>AY32-AY51+TVA!AY52</f>
        <v>-3871.194</v>
      </c>
      <c r="AZ12" s="67">
        <f>AZ32-AZ51+TVA!AZ52</f>
        <v>-2656.3960000000002</v>
      </c>
      <c r="BA12" s="67">
        <f>BA32-BA51+TVA!BA52</f>
        <v>-3717.395</v>
      </c>
      <c r="BB12" s="67">
        <f>BB32-BB51+TVA!BB52</f>
        <v>-4438.1939999999995</v>
      </c>
      <c r="BC12" s="67">
        <f>BC32-BC51+TVA!BC52</f>
        <v>-5576.0924999999997</v>
      </c>
      <c r="BD12" s="67">
        <f>BD32-BD51+TVA!BD52</f>
        <v>-6657.2910000000002</v>
      </c>
      <c r="BE12" s="67">
        <f>BE32-BE51+TVA!BE52</f>
        <v>-3984.5940000000001</v>
      </c>
      <c r="BF12" s="67">
        <f>BF32-BF51+TVA!BF52</f>
        <v>-3490.5950000000003</v>
      </c>
      <c r="BG12" s="67">
        <f>BG32-BG51+TVA!BG52</f>
        <v>-7774.99</v>
      </c>
      <c r="BH12" s="67">
        <f>BH32-BH51+TVA!BH52</f>
        <v>-5122.4925000000003</v>
      </c>
      <c r="BI12" s="67">
        <f>BI32-BI51+TVA!BI52</f>
        <v>-5405.9925000000003</v>
      </c>
      <c r="BJ12" s="67">
        <f>BJ32-BJ51+TVA!BJ52</f>
        <v>-11662.485000000001</v>
      </c>
      <c r="BK12" s="70"/>
    </row>
    <row r="13" spans="2:63" x14ac:dyDescent="0.2">
      <c r="B13" s="46">
        <f>Config!$B$18</f>
        <v>0</v>
      </c>
      <c r="C13" s="67">
        <f>C33-C52+TVA!C53</f>
        <v>0</v>
      </c>
      <c r="D13" s="67">
        <f>D33-D52+TVA!D53</f>
        <v>0</v>
      </c>
      <c r="E13" s="67">
        <f>E33-E52+TVA!E53</f>
        <v>0</v>
      </c>
      <c r="F13" s="67">
        <f>F33-F52+TVA!F53</f>
        <v>0</v>
      </c>
      <c r="G13" s="67">
        <f>G33-G52+TVA!G53</f>
        <v>0</v>
      </c>
      <c r="H13" s="67">
        <f>H33-H52+TVA!H53</f>
        <v>0</v>
      </c>
      <c r="I13" s="67">
        <f>I33-I52+TVA!I53</f>
        <v>0</v>
      </c>
      <c r="J13" s="67">
        <f>J33-J52+TVA!J53</f>
        <v>0</v>
      </c>
      <c r="K13" s="67">
        <f>K33-K52+TVA!K53</f>
        <v>0</v>
      </c>
      <c r="L13" s="67">
        <f>L33-L52+TVA!L53</f>
        <v>0</v>
      </c>
      <c r="M13" s="67">
        <f>M33-M52+TVA!M53</f>
        <v>0</v>
      </c>
      <c r="N13" s="67">
        <f>N33-N52+TVA!N53</f>
        <v>0</v>
      </c>
      <c r="O13" s="67">
        <f>O33-O52+TVA!O53</f>
        <v>0</v>
      </c>
      <c r="P13" s="67">
        <f>P33-P52+TVA!P53</f>
        <v>0</v>
      </c>
      <c r="Q13" s="67">
        <f>Q33-Q52+TVA!Q53</f>
        <v>0</v>
      </c>
      <c r="R13" s="67">
        <f>R33-R52+TVA!R53</f>
        <v>0</v>
      </c>
      <c r="S13" s="67">
        <f>S33-S52+TVA!S53</f>
        <v>0</v>
      </c>
      <c r="T13" s="67">
        <f>T33-T52+TVA!T53</f>
        <v>0</v>
      </c>
      <c r="U13" s="67">
        <f>U33-U52+TVA!U53</f>
        <v>0</v>
      </c>
      <c r="V13" s="67">
        <f>V33-V52+TVA!V53</f>
        <v>0</v>
      </c>
      <c r="W13" s="67">
        <f>W33-W52+TVA!W53</f>
        <v>0</v>
      </c>
      <c r="X13" s="67">
        <f>X33-X52+TVA!X53</f>
        <v>0</v>
      </c>
      <c r="Y13" s="67">
        <f>Y33-Y52+TVA!Y53</f>
        <v>0</v>
      </c>
      <c r="Z13" s="67">
        <f>Z33-Z52+TVA!Z53</f>
        <v>0</v>
      </c>
      <c r="AA13" s="67">
        <f>AA33-AA52+TVA!AA53</f>
        <v>0</v>
      </c>
      <c r="AB13" s="67">
        <f>AB33-AB52+TVA!AB53</f>
        <v>0</v>
      </c>
      <c r="AC13" s="67">
        <f>AC33-AC52+TVA!AC53</f>
        <v>0</v>
      </c>
      <c r="AD13" s="67">
        <f>AD33-AD52+TVA!AD53</f>
        <v>0</v>
      </c>
      <c r="AE13" s="67">
        <f>AE33-AE52+TVA!AE53</f>
        <v>0</v>
      </c>
      <c r="AF13" s="67">
        <f>AF33-AF52+TVA!AF53</f>
        <v>0</v>
      </c>
      <c r="AG13" s="67">
        <f>AG33-AG52+TVA!AG53</f>
        <v>0</v>
      </c>
      <c r="AH13" s="67">
        <f>AH33-AH52+TVA!AH53</f>
        <v>0</v>
      </c>
      <c r="AI13" s="67">
        <f>AI33-AI52+TVA!AI53</f>
        <v>0</v>
      </c>
      <c r="AJ13" s="67">
        <f>AJ33-AJ52+TVA!AJ53</f>
        <v>0</v>
      </c>
      <c r="AK13" s="67">
        <f>AK33-AK52+TVA!AK53</f>
        <v>0</v>
      </c>
      <c r="AL13" s="67">
        <f>AL33-AL52+TVA!AL53</f>
        <v>0</v>
      </c>
      <c r="AM13" s="67">
        <f>AM33-AM52+TVA!AM53</f>
        <v>0</v>
      </c>
      <c r="AN13" s="67">
        <f>AN33-AN52+TVA!AN53</f>
        <v>0</v>
      </c>
      <c r="AO13" s="67">
        <f>AO33-AO52+TVA!AO53</f>
        <v>0</v>
      </c>
      <c r="AP13" s="67">
        <f>AP33-AP52+TVA!AP53</f>
        <v>0</v>
      </c>
      <c r="AQ13" s="67">
        <f>AQ33-AQ52+TVA!AQ53</f>
        <v>0</v>
      </c>
      <c r="AR13" s="67">
        <f>AR33-AR52+TVA!AR53</f>
        <v>0</v>
      </c>
      <c r="AS13" s="67">
        <f>AS33-AS52+TVA!AS53</f>
        <v>0</v>
      </c>
      <c r="AT13" s="67">
        <f>AT33-AT52+TVA!AT53</f>
        <v>0</v>
      </c>
      <c r="AU13" s="67">
        <f>AU33-AU52+TVA!AU53</f>
        <v>0</v>
      </c>
      <c r="AV13" s="67">
        <f>AV33-AV52+TVA!AV53</f>
        <v>0</v>
      </c>
      <c r="AW13" s="67">
        <f>AW33-AW52+TVA!AW53</f>
        <v>0</v>
      </c>
      <c r="AX13" s="67">
        <f>AX33-AX52+TVA!AX53</f>
        <v>0</v>
      </c>
      <c r="AY13" s="67">
        <f>AY33-AY52+TVA!AY53</f>
        <v>0</v>
      </c>
      <c r="AZ13" s="67">
        <f>AZ33-AZ52+TVA!AZ53</f>
        <v>0</v>
      </c>
      <c r="BA13" s="67">
        <f>BA33-BA52+TVA!BA53</f>
        <v>0</v>
      </c>
      <c r="BB13" s="67">
        <f>BB33-BB52+TVA!BB53</f>
        <v>0</v>
      </c>
      <c r="BC13" s="67">
        <f>BC33-BC52+TVA!BC53</f>
        <v>0</v>
      </c>
      <c r="BD13" s="67">
        <f>BD33-BD52+TVA!BD53</f>
        <v>0</v>
      </c>
      <c r="BE13" s="67">
        <f>BE33-BE52+TVA!BE53</f>
        <v>0</v>
      </c>
      <c r="BF13" s="67">
        <f>BF33-BF52+TVA!BF53</f>
        <v>0</v>
      </c>
      <c r="BG13" s="67">
        <f>BG33-BG52+TVA!BG53</f>
        <v>0</v>
      </c>
      <c r="BH13" s="67">
        <f>BH33-BH52+TVA!BH53</f>
        <v>0</v>
      </c>
      <c r="BI13" s="67">
        <f>BI33-BI52+TVA!BI53</f>
        <v>0</v>
      </c>
      <c r="BJ13" s="67">
        <f>BJ33-BJ52+TVA!BJ53</f>
        <v>0</v>
      </c>
      <c r="BK13" s="70"/>
    </row>
    <row r="14" spans="2:63" x14ac:dyDescent="0.2">
      <c r="B14" s="46">
        <f>Config!$B$19</f>
        <v>0</v>
      </c>
      <c r="C14" s="67">
        <f>C34-C53+TVA!C54</f>
        <v>0</v>
      </c>
      <c r="D14" s="67">
        <f>D34-D53+TVA!D54</f>
        <v>0</v>
      </c>
      <c r="E14" s="67">
        <f>E34-E53+TVA!E54</f>
        <v>0</v>
      </c>
      <c r="F14" s="67">
        <f>F34-F53+TVA!F54</f>
        <v>0</v>
      </c>
      <c r="G14" s="67">
        <f>G34-G53+TVA!G54</f>
        <v>0</v>
      </c>
      <c r="H14" s="67">
        <f>H34-H53+TVA!H54</f>
        <v>0</v>
      </c>
      <c r="I14" s="67">
        <f>I34-I53+TVA!I54</f>
        <v>0</v>
      </c>
      <c r="J14" s="67">
        <f>J34-J53+TVA!J54</f>
        <v>0</v>
      </c>
      <c r="K14" s="67">
        <f>K34-K53+TVA!K54</f>
        <v>0</v>
      </c>
      <c r="L14" s="67">
        <f>L34-L53+TVA!L54</f>
        <v>0</v>
      </c>
      <c r="M14" s="67">
        <f>M34-M53+TVA!M54</f>
        <v>0</v>
      </c>
      <c r="N14" s="67">
        <f>N34-N53+TVA!N54</f>
        <v>0</v>
      </c>
      <c r="O14" s="67">
        <f>O34-O53+TVA!O54</f>
        <v>0</v>
      </c>
      <c r="P14" s="67">
        <f>P34-P53+TVA!P54</f>
        <v>0</v>
      </c>
      <c r="Q14" s="67">
        <f>Q34-Q53+TVA!Q54</f>
        <v>0</v>
      </c>
      <c r="R14" s="67">
        <f>R34-R53+TVA!R54</f>
        <v>0</v>
      </c>
      <c r="S14" s="67">
        <f>S34-S53+TVA!S54</f>
        <v>0</v>
      </c>
      <c r="T14" s="67">
        <f>T34-T53+TVA!T54</f>
        <v>0</v>
      </c>
      <c r="U14" s="67">
        <f>U34-U53+TVA!U54</f>
        <v>0</v>
      </c>
      <c r="V14" s="67">
        <f>V34-V53+TVA!V54</f>
        <v>0</v>
      </c>
      <c r="W14" s="67">
        <f>W34-W53+TVA!W54</f>
        <v>0</v>
      </c>
      <c r="X14" s="67">
        <f>X34-X53+TVA!X54</f>
        <v>0</v>
      </c>
      <c r="Y14" s="67">
        <f>Y34-Y53+TVA!Y54</f>
        <v>0</v>
      </c>
      <c r="Z14" s="67">
        <f>Z34-Z53+TVA!Z54</f>
        <v>0</v>
      </c>
      <c r="AA14" s="67">
        <f>AA34-AA53+TVA!AA54</f>
        <v>0</v>
      </c>
      <c r="AB14" s="67">
        <f>AB34-AB53+TVA!AB54</f>
        <v>0</v>
      </c>
      <c r="AC14" s="67">
        <f>AC34-AC53+TVA!AC54</f>
        <v>0</v>
      </c>
      <c r="AD14" s="67">
        <f>AD34-AD53+TVA!AD54</f>
        <v>0</v>
      </c>
      <c r="AE14" s="67">
        <f>AE34-AE53+TVA!AE54</f>
        <v>0</v>
      </c>
      <c r="AF14" s="67">
        <f>AF34-AF53+TVA!AF54</f>
        <v>0</v>
      </c>
      <c r="AG14" s="67">
        <f>AG34-AG53+TVA!AG54</f>
        <v>0</v>
      </c>
      <c r="AH14" s="67">
        <f>AH34-AH53+TVA!AH54</f>
        <v>0</v>
      </c>
      <c r="AI14" s="67">
        <f>AI34-AI53+TVA!AI54</f>
        <v>0</v>
      </c>
      <c r="AJ14" s="67">
        <f>AJ34-AJ53+TVA!AJ54</f>
        <v>0</v>
      </c>
      <c r="AK14" s="67">
        <f>AK34-AK53+TVA!AK54</f>
        <v>0</v>
      </c>
      <c r="AL14" s="67">
        <f>AL34-AL53+TVA!AL54</f>
        <v>0</v>
      </c>
      <c r="AM14" s="67">
        <f>AM34-AM53+TVA!AM54</f>
        <v>0</v>
      </c>
      <c r="AN14" s="67">
        <f>AN34-AN53+TVA!AN54</f>
        <v>0</v>
      </c>
      <c r="AO14" s="67">
        <f>AO34-AO53+TVA!AO54</f>
        <v>0</v>
      </c>
      <c r="AP14" s="67">
        <f>AP34-AP53+TVA!AP54</f>
        <v>0</v>
      </c>
      <c r="AQ14" s="67">
        <f>AQ34-AQ53+TVA!AQ54</f>
        <v>0</v>
      </c>
      <c r="AR14" s="67">
        <f>AR34-AR53+TVA!AR54</f>
        <v>0</v>
      </c>
      <c r="AS14" s="67">
        <f>AS34-AS53+TVA!AS54</f>
        <v>0</v>
      </c>
      <c r="AT14" s="67">
        <f>AT34-AT53+TVA!AT54</f>
        <v>0</v>
      </c>
      <c r="AU14" s="67">
        <f>AU34-AU53+TVA!AU54</f>
        <v>0</v>
      </c>
      <c r="AV14" s="67">
        <f>AV34-AV53+TVA!AV54</f>
        <v>0</v>
      </c>
      <c r="AW14" s="67">
        <f>AW34-AW53+TVA!AW54</f>
        <v>0</v>
      </c>
      <c r="AX14" s="67">
        <f>AX34-AX53+TVA!AX54</f>
        <v>0</v>
      </c>
      <c r="AY14" s="67">
        <f>AY34-AY53+TVA!AY54</f>
        <v>0</v>
      </c>
      <c r="AZ14" s="67">
        <f>AZ34-AZ53+TVA!AZ54</f>
        <v>0</v>
      </c>
      <c r="BA14" s="67">
        <f>BA34-BA53+TVA!BA54</f>
        <v>0</v>
      </c>
      <c r="BB14" s="67">
        <f>BB34-BB53+TVA!BB54</f>
        <v>0</v>
      </c>
      <c r="BC14" s="67">
        <f>BC34-BC53+TVA!BC54</f>
        <v>0</v>
      </c>
      <c r="BD14" s="67">
        <f>BD34-BD53+TVA!BD54</f>
        <v>0</v>
      </c>
      <c r="BE14" s="67">
        <f>BE34-BE53+TVA!BE54</f>
        <v>0</v>
      </c>
      <c r="BF14" s="67">
        <f>BF34-BF53+TVA!BF54</f>
        <v>0</v>
      </c>
      <c r="BG14" s="67">
        <f>BG34-BG53+TVA!BG54</f>
        <v>0</v>
      </c>
      <c r="BH14" s="67">
        <f>BH34-BH53+TVA!BH54</f>
        <v>0</v>
      </c>
      <c r="BI14" s="67">
        <f>BI34-BI53+TVA!BI54</f>
        <v>0</v>
      </c>
      <c r="BJ14" s="67">
        <f>BJ34-BJ53+TVA!BJ54</f>
        <v>0</v>
      </c>
      <c r="BK14" s="70"/>
    </row>
    <row r="15" spans="2:63" x14ac:dyDescent="0.2">
      <c r="B15" s="46">
        <f>Config!$B$20</f>
        <v>0</v>
      </c>
      <c r="C15" s="67">
        <f>C35-C54+TVA!C55</f>
        <v>0</v>
      </c>
      <c r="D15" s="67">
        <f>D35-D54+TVA!D55</f>
        <v>0</v>
      </c>
      <c r="E15" s="67">
        <f>E35-E54+TVA!E55</f>
        <v>0</v>
      </c>
      <c r="F15" s="67">
        <f>F35-F54+TVA!F55</f>
        <v>0</v>
      </c>
      <c r="G15" s="67">
        <f>G35-G54+TVA!G55</f>
        <v>0</v>
      </c>
      <c r="H15" s="67">
        <f>H35-H54+TVA!H55</f>
        <v>0</v>
      </c>
      <c r="I15" s="67">
        <f>I35-I54+TVA!I55</f>
        <v>0</v>
      </c>
      <c r="J15" s="67">
        <f>J35-J54+TVA!J55</f>
        <v>0</v>
      </c>
      <c r="K15" s="67">
        <f>K35-K54+TVA!K55</f>
        <v>0</v>
      </c>
      <c r="L15" s="67">
        <f>L35-L54+TVA!L55</f>
        <v>0</v>
      </c>
      <c r="M15" s="67">
        <f>M35-M54+TVA!M55</f>
        <v>0</v>
      </c>
      <c r="N15" s="67">
        <f>N35-N54+TVA!N55</f>
        <v>0</v>
      </c>
      <c r="O15" s="67">
        <f>O35-O54+TVA!O55</f>
        <v>0</v>
      </c>
      <c r="P15" s="67">
        <f>P35-P54+TVA!P55</f>
        <v>0</v>
      </c>
      <c r="Q15" s="67">
        <f>Q35-Q54+TVA!Q55</f>
        <v>0</v>
      </c>
      <c r="R15" s="67">
        <f>R35-R54+TVA!R55</f>
        <v>0</v>
      </c>
      <c r="S15" s="67">
        <f>S35-S54+TVA!S55</f>
        <v>0</v>
      </c>
      <c r="T15" s="67">
        <f>T35-T54+TVA!T55</f>
        <v>0</v>
      </c>
      <c r="U15" s="67">
        <f>U35-U54+TVA!U55</f>
        <v>0</v>
      </c>
      <c r="V15" s="67">
        <f>V35-V54+TVA!V55</f>
        <v>0</v>
      </c>
      <c r="W15" s="67">
        <f>W35-W54+TVA!W55</f>
        <v>0</v>
      </c>
      <c r="X15" s="67">
        <f>X35-X54+TVA!X55</f>
        <v>0</v>
      </c>
      <c r="Y15" s="67">
        <f>Y35-Y54+TVA!Y55</f>
        <v>0</v>
      </c>
      <c r="Z15" s="67">
        <f>Z35-Z54+TVA!Z55</f>
        <v>0</v>
      </c>
      <c r="AA15" s="67">
        <f>AA35-AA54+TVA!AA55</f>
        <v>0</v>
      </c>
      <c r="AB15" s="67">
        <f>AB35-AB54+TVA!AB55</f>
        <v>0</v>
      </c>
      <c r="AC15" s="67">
        <f>AC35-AC54+TVA!AC55</f>
        <v>0</v>
      </c>
      <c r="AD15" s="67">
        <f>AD35-AD54+TVA!AD55</f>
        <v>0</v>
      </c>
      <c r="AE15" s="67">
        <f>AE35-AE54+TVA!AE55</f>
        <v>0</v>
      </c>
      <c r="AF15" s="67">
        <f>AF35-AF54+TVA!AF55</f>
        <v>0</v>
      </c>
      <c r="AG15" s="67">
        <f>AG35-AG54+TVA!AG55</f>
        <v>0</v>
      </c>
      <c r="AH15" s="67">
        <f>AH35-AH54+TVA!AH55</f>
        <v>0</v>
      </c>
      <c r="AI15" s="67">
        <f>AI35-AI54+TVA!AI55</f>
        <v>0</v>
      </c>
      <c r="AJ15" s="67">
        <f>AJ35-AJ54+TVA!AJ55</f>
        <v>0</v>
      </c>
      <c r="AK15" s="67">
        <f>AK35-AK54+TVA!AK55</f>
        <v>0</v>
      </c>
      <c r="AL15" s="67">
        <f>AL35-AL54+TVA!AL55</f>
        <v>0</v>
      </c>
      <c r="AM15" s="67">
        <f>AM35-AM54+TVA!AM55</f>
        <v>0</v>
      </c>
      <c r="AN15" s="67">
        <f>AN35-AN54+TVA!AN55</f>
        <v>0</v>
      </c>
      <c r="AO15" s="67">
        <f>AO35-AO54+TVA!AO55</f>
        <v>0</v>
      </c>
      <c r="AP15" s="67">
        <f>AP35-AP54+TVA!AP55</f>
        <v>0</v>
      </c>
      <c r="AQ15" s="67">
        <f>AQ35-AQ54+TVA!AQ55</f>
        <v>0</v>
      </c>
      <c r="AR15" s="67">
        <f>AR35-AR54+TVA!AR55</f>
        <v>0</v>
      </c>
      <c r="AS15" s="67">
        <f>AS35-AS54+TVA!AS55</f>
        <v>0</v>
      </c>
      <c r="AT15" s="67">
        <f>AT35-AT54+TVA!AT55</f>
        <v>0</v>
      </c>
      <c r="AU15" s="67">
        <f>AU35-AU54+TVA!AU55</f>
        <v>0</v>
      </c>
      <c r="AV15" s="67">
        <f>AV35-AV54+TVA!AV55</f>
        <v>0</v>
      </c>
      <c r="AW15" s="67">
        <f>AW35-AW54+TVA!AW55</f>
        <v>0</v>
      </c>
      <c r="AX15" s="67">
        <f>AX35-AX54+TVA!AX55</f>
        <v>0</v>
      </c>
      <c r="AY15" s="67">
        <f>AY35-AY54+TVA!AY55</f>
        <v>0</v>
      </c>
      <c r="AZ15" s="67">
        <f>AZ35-AZ54+TVA!AZ55</f>
        <v>0</v>
      </c>
      <c r="BA15" s="67">
        <f>BA35-BA54+TVA!BA55</f>
        <v>0</v>
      </c>
      <c r="BB15" s="67">
        <f>BB35-BB54+TVA!BB55</f>
        <v>0</v>
      </c>
      <c r="BC15" s="67">
        <f>BC35-BC54+TVA!BC55</f>
        <v>0</v>
      </c>
      <c r="BD15" s="67">
        <f>BD35-BD54+TVA!BD55</f>
        <v>0</v>
      </c>
      <c r="BE15" s="67">
        <f>BE35-BE54+TVA!BE55</f>
        <v>0</v>
      </c>
      <c r="BF15" s="67">
        <f>BF35-BF54+TVA!BF55</f>
        <v>0</v>
      </c>
      <c r="BG15" s="67">
        <f>BG35-BG54+TVA!BG55</f>
        <v>0</v>
      </c>
      <c r="BH15" s="67">
        <f>BH35-BH54+TVA!BH55</f>
        <v>0</v>
      </c>
      <c r="BI15" s="67">
        <f>BI35-BI54+TVA!BI55</f>
        <v>0</v>
      </c>
      <c r="BJ15" s="67">
        <f>BJ35-BJ54+TVA!BJ55</f>
        <v>0</v>
      </c>
      <c r="BK15" s="70"/>
    </row>
    <row r="16" spans="2:63" x14ac:dyDescent="0.2">
      <c r="B16" s="46">
        <f>Config!$B$21</f>
        <v>0</v>
      </c>
      <c r="C16" s="67">
        <f>C36-C55+TVA!C56</f>
        <v>0</v>
      </c>
      <c r="D16" s="67">
        <f>D36-D55+TVA!D56</f>
        <v>0</v>
      </c>
      <c r="E16" s="67">
        <f>E36-E55+TVA!E56</f>
        <v>0</v>
      </c>
      <c r="F16" s="67">
        <f>F36-F55+TVA!F56</f>
        <v>0</v>
      </c>
      <c r="G16" s="67">
        <f>G36-G55+TVA!G56</f>
        <v>0</v>
      </c>
      <c r="H16" s="67">
        <f>H36-H55+TVA!H56</f>
        <v>0</v>
      </c>
      <c r="I16" s="67">
        <f>I36-I55+TVA!I56</f>
        <v>0</v>
      </c>
      <c r="J16" s="67">
        <f>J36-J55+TVA!J56</f>
        <v>0</v>
      </c>
      <c r="K16" s="67">
        <f>K36-K55+TVA!K56</f>
        <v>0</v>
      </c>
      <c r="L16" s="67">
        <f>L36-L55+TVA!L56</f>
        <v>0</v>
      </c>
      <c r="M16" s="67">
        <f>M36-M55+TVA!M56</f>
        <v>0</v>
      </c>
      <c r="N16" s="67">
        <f>N36-N55+TVA!N56</f>
        <v>0</v>
      </c>
      <c r="O16" s="67">
        <f>O36-O55+TVA!O56</f>
        <v>0</v>
      </c>
      <c r="P16" s="67">
        <f>P36-P55+TVA!P56</f>
        <v>0</v>
      </c>
      <c r="Q16" s="67">
        <f>Q36-Q55+TVA!Q56</f>
        <v>0</v>
      </c>
      <c r="R16" s="67">
        <f>R36-R55+TVA!R56</f>
        <v>0</v>
      </c>
      <c r="S16" s="67">
        <f>S36-S55+TVA!S56</f>
        <v>0</v>
      </c>
      <c r="T16" s="67">
        <f>T36-T55+TVA!T56</f>
        <v>0</v>
      </c>
      <c r="U16" s="67">
        <f>U36-U55+TVA!U56</f>
        <v>0</v>
      </c>
      <c r="V16" s="67">
        <f>V36-V55+TVA!V56</f>
        <v>0</v>
      </c>
      <c r="W16" s="67">
        <f>W36-W55+TVA!W56</f>
        <v>0</v>
      </c>
      <c r="X16" s="67">
        <f>X36-X55+TVA!X56</f>
        <v>0</v>
      </c>
      <c r="Y16" s="67">
        <f>Y36-Y55+TVA!Y56</f>
        <v>0</v>
      </c>
      <c r="Z16" s="67">
        <f>Z36-Z55+TVA!Z56</f>
        <v>0</v>
      </c>
      <c r="AA16" s="67">
        <f>AA36-AA55+TVA!AA56</f>
        <v>0</v>
      </c>
      <c r="AB16" s="67">
        <f>AB36-AB55+TVA!AB56</f>
        <v>0</v>
      </c>
      <c r="AC16" s="67">
        <f>AC36-AC55+TVA!AC56</f>
        <v>0</v>
      </c>
      <c r="AD16" s="67">
        <f>AD36-AD55+TVA!AD56</f>
        <v>0</v>
      </c>
      <c r="AE16" s="67">
        <f>AE36-AE55+TVA!AE56</f>
        <v>0</v>
      </c>
      <c r="AF16" s="67">
        <f>AF36-AF55+TVA!AF56</f>
        <v>0</v>
      </c>
      <c r="AG16" s="67">
        <f>AG36-AG55+TVA!AG56</f>
        <v>0</v>
      </c>
      <c r="AH16" s="67">
        <f>AH36-AH55+TVA!AH56</f>
        <v>0</v>
      </c>
      <c r="AI16" s="67">
        <f>AI36-AI55+TVA!AI56</f>
        <v>0</v>
      </c>
      <c r="AJ16" s="67">
        <f>AJ36-AJ55+TVA!AJ56</f>
        <v>0</v>
      </c>
      <c r="AK16" s="67">
        <f>AK36-AK55+TVA!AK56</f>
        <v>0</v>
      </c>
      <c r="AL16" s="67">
        <f>AL36-AL55+TVA!AL56</f>
        <v>0</v>
      </c>
      <c r="AM16" s="67">
        <f>AM36-AM55+TVA!AM56</f>
        <v>0</v>
      </c>
      <c r="AN16" s="67">
        <f>AN36-AN55+TVA!AN56</f>
        <v>0</v>
      </c>
      <c r="AO16" s="67">
        <f>AO36-AO55+TVA!AO56</f>
        <v>0</v>
      </c>
      <c r="AP16" s="67">
        <f>AP36-AP55+TVA!AP56</f>
        <v>0</v>
      </c>
      <c r="AQ16" s="67">
        <f>AQ36-AQ55+TVA!AQ56</f>
        <v>0</v>
      </c>
      <c r="AR16" s="67">
        <f>AR36-AR55+TVA!AR56</f>
        <v>0</v>
      </c>
      <c r="AS16" s="67">
        <f>AS36-AS55+TVA!AS56</f>
        <v>0</v>
      </c>
      <c r="AT16" s="67">
        <f>AT36-AT55+TVA!AT56</f>
        <v>0</v>
      </c>
      <c r="AU16" s="67">
        <f>AU36-AU55+TVA!AU56</f>
        <v>0</v>
      </c>
      <c r="AV16" s="67">
        <f>AV36-AV55+TVA!AV56</f>
        <v>0</v>
      </c>
      <c r="AW16" s="67">
        <f>AW36-AW55+TVA!AW56</f>
        <v>0</v>
      </c>
      <c r="AX16" s="67">
        <f>AX36-AX55+TVA!AX56</f>
        <v>0</v>
      </c>
      <c r="AY16" s="67">
        <f>AY36-AY55+TVA!AY56</f>
        <v>0</v>
      </c>
      <c r="AZ16" s="67">
        <f>AZ36-AZ55+TVA!AZ56</f>
        <v>0</v>
      </c>
      <c r="BA16" s="67">
        <f>BA36-BA55+TVA!BA56</f>
        <v>0</v>
      </c>
      <c r="BB16" s="67">
        <f>BB36-BB55+TVA!BB56</f>
        <v>0</v>
      </c>
      <c r="BC16" s="67">
        <f>BC36-BC55+TVA!BC56</f>
        <v>0</v>
      </c>
      <c r="BD16" s="67">
        <f>BD36-BD55+TVA!BD56</f>
        <v>0</v>
      </c>
      <c r="BE16" s="67">
        <f>BE36-BE55+TVA!BE56</f>
        <v>0</v>
      </c>
      <c r="BF16" s="67">
        <f>BF36-BF55+TVA!BF56</f>
        <v>0</v>
      </c>
      <c r="BG16" s="67">
        <f>BG36-BG55+TVA!BG56</f>
        <v>0</v>
      </c>
      <c r="BH16" s="67">
        <f>BH36-BH55+TVA!BH56</f>
        <v>0</v>
      </c>
      <c r="BI16" s="67">
        <f>BI36-BI55+TVA!BI56</f>
        <v>0</v>
      </c>
      <c r="BJ16" s="67">
        <f>BJ36-BJ55+TVA!BJ56</f>
        <v>0</v>
      </c>
      <c r="BK16" s="70"/>
    </row>
    <row r="17" spans="2:63" x14ac:dyDescent="0.2">
      <c r="B17" s="46">
        <f>Config!$B$22</f>
        <v>0</v>
      </c>
      <c r="C17" s="67">
        <f>C41-C60+TVA!C57</f>
        <v>0</v>
      </c>
      <c r="D17" s="67">
        <f>D41-D60+TVA!D57</f>
        <v>0</v>
      </c>
      <c r="E17" s="67">
        <f>E41-E60+TVA!E57</f>
        <v>0</v>
      </c>
      <c r="F17" s="67">
        <f>F41-F60+TVA!F57</f>
        <v>0</v>
      </c>
      <c r="G17" s="67">
        <f>G41-G60+TVA!G57</f>
        <v>0</v>
      </c>
      <c r="H17" s="67">
        <f>H41-H60+TVA!H57</f>
        <v>0</v>
      </c>
      <c r="I17" s="67">
        <f>I41-I60+TVA!I57</f>
        <v>0</v>
      </c>
      <c r="J17" s="67">
        <f>J41-J60+TVA!J57</f>
        <v>0</v>
      </c>
      <c r="K17" s="67">
        <f>K41-K60+TVA!K57</f>
        <v>0</v>
      </c>
      <c r="L17" s="67">
        <f>L41-L60+TVA!L57</f>
        <v>0</v>
      </c>
      <c r="M17" s="67">
        <f>M41-M60+TVA!M57</f>
        <v>0</v>
      </c>
      <c r="N17" s="67">
        <f>N41-N60+TVA!N57</f>
        <v>0</v>
      </c>
      <c r="O17" s="67">
        <f>O41-O60+TVA!O57</f>
        <v>0</v>
      </c>
      <c r="P17" s="67">
        <f>P41-P60+TVA!P57</f>
        <v>0</v>
      </c>
      <c r="Q17" s="67">
        <f>Q41-Q60+TVA!Q57</f>
        <v>0</v>
      </c>
      <c r="R17" s="67">
        <f>R41-R60+TVA!R57</f>
        <v>0</v>
      </c>
      <c r="S17" s="67">
        <f>S41-S60+TVA!S57</f>
        <v>0</v>
      </c>
      <c r="T17" s="67">
        <f>T41-T60+TVA!T57</f>
        <v>0</v>
      </c>
      <c r="U17" s="67">
        <f>U41-U60+TVA!U57</f>
        <v>0</v>
      </c>
      <c r="V17" s="67">
        <f>V41-V60+TVA!V57</f>
        <v>0</v>
      </c>
      <c r="W17" s="67">
        <f>W41-W60+TVA!W57</f>
        <v>0</v>
      </c>
      <c r="X17" s="67">
        <f>X41-X60+TVA!X57</f>
        <v>0</v>
      </c>
      <c r="Y17" s="67">
        <f>Y41-Y60+TVA!Y57</f>
        <v>0</v>
      </c>
      <c r="Z17" s="67">
        <f>Z41-Z60+TVA!Z57</f>
        <v>0</v>
      </c>
      <c r="AA17" s="67">
        <f>AA41-AA60+TVA!AA57</f>
        <v>0</v>
      </c>
      <c r="AB17" s="67">
        <f>AB41-AB60+TVA!AB57</f>
        <v>0</v>
      </c>
      <c r="AC17" s="67">
        <f>AC41-AC60+TVA!AC57</f>
        <v>0</v>
      </c>
      <c r="AD17" s="67">
        <f>AD41-AD60+TVA!AD57</f>
        <v>0</v>
      </c>
      <c r="AE17" s="67">
        <f>AE41-AE60+TVA!AE57</f>
        <v>0</v>
      </c>
      <c r="AF17" s="67">
        <f>AF41-AF60+TVA!AF57</f>
        <v>0</v>
      </c>
      <c r="AG17" s="67">
        <f>AG41-AG60+TVA!AG57</f>
        <v>0</v>
      </c>
      <c r="AH17" s="67">
        <f>AH41-AH60+TVA!AH57</f>
        <v>0</v>
      </c>
      <c r="AI17" s="67">
        <f>AI41-AI60+TVA!AI57</f>
        <v>0</v>
      </c>
      <c r="AJ17" s="67">
        <f>AJ41-AJ60+TVA!AJ57</f>
        <v>0</v>
      </c>
      <c r="AK17" s="67">
        <f>AK41-AK60+TVA!AK57</f>
        <v>0</v>
      </c>
      <c r="AL17" s="67">
        <f>AL41-AL60+TVA!AL57</f>
        <v>0</v>
      </c>
      <c r="AM17" s="67">
        <f>AM41-AM60+TVA!AM57</f>
        <v>0</v>
      </c>
      <c r="AN17" s="67">
        <f>AN41-AN60+TVA!AN57</f>
        <v>0</v>
      </c>
      <c r="AO17" s="67">
        <f>AO41-AO60+TVA!AO57</f>
        <v>0</v>
      </c>
      <c r="AP17" s="67">
        <f>AP41-AP60+TVA!AP57</f>
        <v>0</v>
      </c>
      <c r="AQ17" s="67">
        <f>AQ41-AQ60+TVA!AQ57</f>
        <v>0</v>
      </c>
      <c r="AR17" s="67">
        <f>AR41-AR60+TVA!AR57</f>
        <v>0</v>
      </c>
      <c r="AS17" s="67">
        <f>AS41-AS60+TVA!AS57</f>
        <v>0</v>
      </c>
      <c r="AT17" s="67">
        <f>AT41-AT60+TVA!AT57</f>
        <v>0</v>
      </c>
      <c r="AU17" s="67">
        <f>AU41-AU60+TVA!AU57</f>
        <v>0</v>
      </c>
      <c r="AV17" s="67">
        <f>AV41-AV60+TVA!AV57</f>
        <v>0</v>
      </c>
      <c r="AW17" s="67">
        <f>AW41-AW60+TVA!AW57</f>
        <v>0</v>
      </c>
      <c r="AX17" s="67">
        <f>AX41-AX60+TVA!AX57</f>
        <v>0</v>
      </c>
      <c r="AY17" s="67">
        <f>AY41-AY60+TVA!AY57</f>
        <v>0</v>
      </c>
      <c r="AZ17" s="67">
        <f>AZ41-AZ60+TVA!AZ57</f>
        <v>0</v>
      </c>
      <c r="BA17" s="67">
        <f>BA41-BA60+TVA!BA57</f>
        <v>0</v>
      </c>
      <c r="BB17" s="67">
        <f>BB41-BB60+TVA!BB57</f>
        <v>0</v>
      </c>
      <c r="BC17" s="67">
        <f>BC41-BC60+TVA!BC57</f>
        <v>0</v>
      </c>
      <c r="BD17" s="67">
        <f>BD41-BD60+TVA!BD57</f>
        <v>0</v>
      </c>
      <c r="BE17" s="67">
        <f>BE41-BE60+TVA!BE57</f>
        <v>0</v>
      </c>
      <c r="BF17" s="67">
        <f>BF41-BF60+TVA!BF57</f>
        <v>0</v>
      </c>
      <c r="BG17" s="67">
        <f>BG41-BG60+TVA!BG57</f>
        <v>0</v>
      </c>
      <c r="BH17" s="67">
        <f>BH41-BH60+TVA!BH57</f>
        <v>0</v>
      </c>
      <c r="BI17" s="67">
        <f>BI41-BI60+TVA!BI57</f>
        <v>0</v>
      </c>
      <c r="BJ17" s="67">
        <f>BJ41-BJ60+TVA!BJ57</f>
        <v>0</v>
      </c>
      <c r="BK17" s="70"/>
    </row>
    <row r="18" spans="2:63" x14ac:dyDescent="0.2">
      <c r="B18" s="46">
        <f>Config!$B$23</f>
        <v>0</v>
      </c>
      <c r="C18" s="67">
        <f>C42-C61+TVA!C58</f>
        <v>-448</v>
      </c>
      <c r="D18" s="67">
        <f>D42-D61+TVA!D58</f>
        <v>-1029.5</v>
      </c>
      <c r="E18" s="67">
        <f>E42-E61+TVA!E58</f>
        <v>-1853.5</v>
      </c>
      <c r="F18" s="67">
        <f>F42-F61+TVA!F58</f>
        <v>-3553</v>
      </c>
      <c r="G18" s="67">
        <f>G42-G61+TVA!G58</f>
        <v>-5225</v>
      </c>
      <c r="H18" s="67">
        <f>H42-H61+TVA!H58</f>
        <v>-6996</v>
      </c>
      <c r="I18" s="67">
        <f>I42-I61+TVA!I58</f>
        <v>-6800</v>
      </c>
      <c r="J18" s="67">
        <f>J42-J61+TVA!J58</f>
        <v>-6179</v>
      </c>
      <c r="K18" s="67">
        <f>K42-K61+TVA!K58</f>
        <v>-10319</v>
      </c>
      <c r="L18" s="67">
        <f>L42-L61+TVA!L58</f>
        <v>-10438</v>
      </c>
      <c r="M18" s="67">
        <f>M42-M61+TVA!M58</f>
        <v>-11383</v>
      </c>
      <c r="N18" s="67">
        <f>N42-N61+TVA!N58</f>
        <v>-15132.5</v>
      </c>
      <c r="O18" s="67">
        <f>O42-O61+TVA!O58</f>
        <v>-14524</v>
      </c>
      <c r="P18" s="67">
        <f>P42-P61+TVA!P58</f>
        <v>-14666</v>
      </c>
      <c r="Q18" s="67">
        <f>Q42-Q61+TVA!Q58</f>
        <v>-16059</v>
      </c>
      <c r="R18" s="67">
        <f>R42-R61+TVA!R58</f>
        <v>-18581.5</v>
      </c>
      <c r="S18" s="67">
        <f>S42-S61+TVA!S58</f>
        <v>-21442</v>
      </c>
      <c r="T18" s="67">
        <f>T42-T61+TVA!T58</f>
        <v>-23877.5</v>
      </c>
      <c r="U18" s="67">
        <f>U42-U61+TVA!U58</f>
        <v>-23474</v>
      </c>
      <c r="V18" s="67">
        <f>V42-V61+TVA!V58</f>
        <v>-23133.5</v>
      </c>
      <c r="W18" s="67">
        <f>W42-W61+TVA!W58</f>
        <v>-29830.5</v>
      </c>
      <c r="X18" s="67">
        <f>X42-X61+TVA!X58</f>
        <v>-29742</v>
      </c>
      <c r="Y18" s="67">
        <f>Y42-Y61+TVA!Y58</f>
        <v>-31317</v>
      </c>
      <c r="Z18" s="67">
        <f>Z42-Z61+TVA!Z58</f>
        <v>-36975</v>
      </c>
      <c r="AA18" s="67">
        <f>AA42-AA61+TVA!AA58</f>
        <v>-36602.5</v>
      </c>
      <c r="AB18" s="67">
        <f>AB42-AB61+TVA!AB58</f>
        <v>-35884</v>
      </c>
      <c r="AC18" s="67">
        <f>AC42-AC61+TVA!AC58</f>
        <v>-37655</v>
      </c>
      <c r="AD18" s="67">
        <f>AD42-AD61+TVA!AD58</f>
        <v>-40177.5</v>
      </c>
      <c r="AE18" s="67">
        <f>AE42-AE61+TVA!AE58</f>
        <v>-43463</v>
      </c>
      <c r="AF18" s="67">
        <f>AF42-AF61+TVA!AF58</f>
        <v>-46323.5</v>
      </c>
      <c r="AG18" s="67">
        <f>AG42-AG61+TVA!AG58</f>
        <v>-44755</v>
      </c>
      <c r="AH18" s="67">
        <f>AH42-AH61+TVA!AH58</f>
        <v>-44099.5</v>
      </c>
      <c r="AI18" s="67">
        <f>AI42-AI61+TVA!AI58</f>
        <v>-50701.5</v>
      </c>
      <c r="AJ18" s="67">
        <f>AJ42-AJ61+TVA!AJ58</f>
        <v>-49763</v>
      </c>
      <c r="AK18" s="67">
        <f>AK42-AK61+TVA!AK58</f>
        <v>-51338</v>
      </c>
      <c r="AL18" s="67">
        <f>AL42-AL61+TVA!AL58</f>
        <v>-59887.5</v>
      </c>
      <c r="AM18" s="67">
        <f>AM42-AM61+TVA!AM58</f>
        <v>-59551.5</v>
      </c>
      <c r="AN18" s="67">
        <f>AN42-AN61+TVA!AN58</f>
        <v>-57605</v>
      </c>
      <c r="AO18" s="67">
        <f>AO42-AO61+TVA!AO58</f>
        <v>-60116</v>
      </c>
      <c r="AP18" s="67">
        <f>AP42-AP61+TVA!AP58</f>
        <v>-64531</v>
      </c>
      <c r="AQ18" s="67">
        <f>AQ42-AQ61+TVA!AQ58</f>
        <v>-69272.5</v>
      </c>
      <c r="AR18" s="67">
        <f>AR42-AR61+TVA!AR58</f>
        <v>-74086</v>
      </c>
      <c r="AS18" s="67">
        <f>AS42-AS61+TVA!AS58</f>
        <v>-72391.5</v>
      </c>
      <c r="AT18" s="67">
        <f>AT42-AT61+TVA!AT58</f>
        <v>-71453</v>
      </c>
      <c r="AU18" s="67">
        <f>AU42-AU61+TVA!AU58</f>
        <v>-82086</v>
      </c>
      <c r="AV18" s="67">
        <f>AV42-AV61+TVA!AV58</f>
        <v>-81494.5</v>
      </c>
      <c r="AW18" s="67">
        <f>AW42-AW61+TVA!AW58</f>
        <v>-84644.5</v>
      </c>
      <c r="AX18" s="67">
        <f>AX42-AX61+TVA!AX58</f>
        <v>-97282.5</v>
      </c>
      <c r="AY18" s="67">
        <f>AY42-AY61+TVA!AY58</f>
        <v>-96511</v>
      </c>
      <c r="AZ18" s="67">
        <f>AZ42-AZ61+TVA!AZ58</f>
        <v>-93966.5</v>
      </c>
      <c r="BA18" s="67">
        <f>BA42-BA61+TVA!BA58</f>
        <v>-97182</v>
      </c>
      <c r="BB18" s="67">
        <f>BB42-BB61+TVA!BB58</f>
        <v>-95218.5</v>
      </c>
      <c r="BC18" s="67">
        <f>BC42-BC61+TVA!BC58</f>
        <v>-110667.5</v>
      </c>
      <c r="BD18" s="67">
        <f>BD42-BD61+TVA!BD58</f>
        <v>-118341.5</v>
      </c>
      <c r="BE18" s="67">
        <f>BE42-BE61+TVA!BE58</f>
        <v>-116558.5</v>
      </c>
      <c r="BF18" s="67">
        <f>BF42-BF61+TVA!BF58</f>
        <v>-115437.5</v>
      </c>
      <c r="BG18" s="67">
        <f>BG42-BG61+TVA!BG58</f>
        <v>-132672.5</v>
      </c>
      <c r="BH18" s="67">
        <f>BH42-BH61+TVA!BH58</f>
        <v>-131142.5</v>
      </c>
      <c r="BI18" s="67">
        <f>BI42-BI61+TVA!BI58</f>
        <v>-135867.5</v>
      </c>
      <c r="BJ18" s="67">
        <f>BJ42-BJ61+TVA!BJ58</f>
        <v>-156682.5</v>
      </c>
      <c r="BK18" s="70"/>
    </row>
    <row r="19" spans="2:63" x14ac:dyDescent="0.2">
      <c r="B19" s="46">
        <f>Config!$B$24</f>
        <v>0</v>
      </c>
      <c r="C19" s="67">
        <f>C43-C62+TVA!C59</f>
        <v>0</v>
      </c>
      <c r="D19" s="67">
        <f>D43-D62+TVA!D59</f>
        <v>0</v>
      </c>
      <c r="E19" s="67">
        <f>E43-E62+TVA!E59</f>
        <v>0</v>
      </c>
      <c r="F19" s="67">
        <f>F43-F62+TVA!F59</f>
        <v>0</v>
      </c>
      <c r="G19" s="67">
        <f>G43-G62+TVA!G59</f>
        <v>0</v>
      </c>
      <c r="H19" s="67">
        <f>H43-H62+TVA!H59</f>
        <v>0</v>
      </c>
      <c r="I19" s="67">
        <f>I43-I62+TVA!I59</f>
        <v>0</v>
      </c>
      <c r="J19" s="67">
        <f>J43-J62+TVA!J59</f>
        <v>0</v>
      </c>
      <c r="K19" s="67">
        <f>K43-K62+TVA!K59</f>
        <v>0</v>
      </c>
      <c r="L19" s="67">
        <f>L43-L62+TVA!L59</f>
        <v>0</v>
      </c>
      <c r="M19" s="67">
        <f>M43-M62+TVA!M59</f>
        <v>0</v>
      </c>
      <c r="N19" s="67">
        <f>N43-N62+TVA!N59</f>
        <v>0</v>
      </c>
      <c r="O19" s="67">
        <f>O43-O62+TVA!O59</f>
        <v>0</v>
      </c>
      <c r="P19" s="67">
        <f>P43-P62+TVA!P59</f>
        <v>0</v>
      </c>
      <c r="Q19" s="67">
        <f>Q43-Q62+TVA!Q59</f>
        <v>0</v>
      </c>
      <c r="R19" s="67">
        <f>R43-R62+TVA!R59</f>
        <v>0</v>
      </c>
      <c r="S19" s="67">
        <f>S43-S62+TVA!S59</f>
        <v>0</v>
      </c>
      <c r="T19" s="67">
        <f>T43-T62+TVA!T59</f>
        <v>0</v>
      </c>
      <c r="U19" s="67">
        <f>U43-U62+TVA!U59</f>
        <v>0</v>
      </c>
      <c r="V19" s="67">
        <f>V43-V62+TVA!V59</f>
        <v>0</v>
      </c>
      <c r="W19" s="67">
        <f>W43-W62+TVA!W59</f>
        <v>0</v>
      </c>
      <c r="X19" s="67">
        <f>X43-X62+TVA!X59</f>
        <v>0</v>
      </c>
      <c r="Y19" s="67">
        <f>Y43-Y62+TVA!Y59</f>
        <v>0</v>
      </c>
      <c r="Z19" s="67">
        <f>Z43-Z62+TVA!Z59</f>
        <v>0</v>
      </c>
      <c r="AA19" s="67">
        <f>AA43-AA62+TVA!AA59</f>
        <v>0</v>
      </c>
      <c r="AB19" s="67">
        <f>AB43-AB62+TVA!AB59</f>
        <v>0</v>
      </c>
      <c r="AC19" s="67">
        <f>AC43-AC62+TVA!AC59</f>
        <v>0</v>
      </c>
      <c r="AD19" s="67">
        <f>AD43-AD62+TVA!AD59</f>
        <v>0</v>
      </c>
      <c r="AE19" s="67">
        <f>AE43-AE62+TVA!AE59</f>
        <v>0</v>
      </c>
      <c r="AF19" s="67">
        <f>AF43-AF62+TVA!AF59</f>
        <v>0</v>
      </c>
      <c r="AG19" s="67">
        <f>AG43-AG62+TVA!AG59</f>
        <v>0</v>
      </c>
      <c r="AH19" s="67">
        <f>AH43-AH62+TVA!AH59</f>
        <v>0</v>
      </c>
      <c r="AI19" s="67">
        <f>AI43-AI62+TVA!AI59</f>
        <v>0</v>
      </c>
      <c r="AJ19" s="67">
        <f>AJ43-AJ62+TVA!AJ59</f>
        <v>0</v>
      </c>
      <c r="AK19" s="67">
        <f>AK43-AK62+TVA!AK59</f>
        <v>0</v>
      </c>
      <c r="AL19" s="67">
        <f>AL43-AL62+TVA!AL59</f>
        <v>0</v>
      </c>
      <c r="AM19" s="67">
        <f>AM43-AM62+TVA!AM59</f>
        <v>0</v>
      </c>
      <c r="AN19" s="67">
        <f>AN43-AN62+TVA!AN59</f>
        <v>0</v>
      </c>
      <c r="AO19" s="67">
        <f>AO43-AO62+TVA!AO59</f>
        <v>0</v>
      </c>
      <c r="AP19" s="67">
        <f>AP43-AP62+TVA!AP59</f>
        <v>0</v>
      </c>
      <c r="AQ19" s="67">
        <f>AQ43-AQ62+TVA!AQ59</f>
        <v>0</v>
      </c>
      <c r="AR19" s="67">
        <f>AR43-AR62+TVA!AR59</f>
        <v>0</v>
      </c>
      <c r="AS19" s="67">
        <f>AS43-AS62+TVA!AS59</f>
        <v>0</v>
      </c>
      <c r="AT19" s="67">
        <f>AT43-AT62+TVA!AT59</f>
        <v>0</v>
      </c>
      <c r="AU19" s="67">
        <f>AU43-AU62+TVA!AU59</f>
        <v>0</v>
      </c>
      <c r="AV19" s="67">
        <f>AV43-AV62+TVA!AV59</f>
        <v>0</v>
      </c>
      <c r="AW19" s="67">
        <f>AW43-AW62+TVA!AW59</f>
        <v>0</v>
      </c>
      <c r="AX19" s="67">
        <f>AX43-AX62+TVA!AX59</f>
        <v>0</v>
      </c>
      <c r="AY19" s="67">
        <f>AY43-AY62+TVA!AY59</f>
        <v>0</v>
      </c>
      <c r="AZ19" s="67">
        <f>AZ43-AZ62+TVA!AZ59</f>
        <v>0</v>
      </c>
      <c r="BA19" s="67">
        <f>BA43-BA62+TVA!BA59</f>
        <v>0</v>
      </c>
      <c r="BB19" s="67">
        <f>BB43-BB62+TVA!BB59</f>
        <v>0</v>
      </c>
      <c r="BC19" s="67">
        <f>BC43-BC62+TVA!BC59</f>
        <v>0</v>
      </c>
      <c r="BD19" s="67">
        <f>BD43-BD62+TVA!BD59</f>
        <v>0</v>
      </c>
      <c r="BE19" s="67">
        <f>BE43-BE62+TVA!BE59</f>
        <v>0</v>
      </c>
      <c r="BF19" s="67">
        <f>BF43-BF62+TVA!BF59</f>
        <v>0</v>
      </c>
      <c r="BG19" s="67">
        <f>BG43-BG62+TVA!BG59</f>
        <v>0</v>
      </c>
      <c r="BH19" s="67">
        <f>BH43-BH62+TVA!BH59</f>
        <v>0</v>
      </c>
      <c r="BI19" s="67">
        <f>BI43-BI62+TVA!BI59</f>
        <v>0</v>
      </c>
      <c r="BJ19" s="67">
        <f>BJ43-BJ62+TVA!BJ59</f>
        <v>0</v>
      </c>
      <c r="BK19" s="70"/>
    </row>
    <row r="20" spans="2:63" x14ac:dyDescent="0.2">
      <c r="B20" s="46">
        <f>Config!$B$25</f>
        <v>0</v>
      </c>
      <c r="C20" s="67">
        <f>C44-C63+TVA!C60</f>
        <v>0</v>
      </c>
      <c r="D20" s="67">
        <f>D44-D63+TVA!D60</f>
        <v>0</v>
      </c>
      <c r="E20" s="67">
        <f>E44-E63+TVA!E60</f>
        <v>0</v>
      </c>
      <c r="F20" s="67">
        <f>F44-F63+TVA!F60</f>
        <v>0</v>
      </c>
      <c r="G20" s="67">
        <f>G44-G63+TVA!G60</f>
        <v>0</v>
      </c>
      <c r="H20" s="67">
        <f>H44-H63+TVA!H60</f>
        <v>0</v>
      </c>
      <c r="I20" s="67">
        <f>I44-I63+TVA!I60</f>
        <v>0</v>
      </c>
      <c r="J20" s="67">
        <f>J44-J63+TVA!J60</f>
        <v>0</v>
      </c>
      <c r="K20" s="67">
        <f>K44-K63+TVA!K60</f>
        <v>0</v>
      </c>
      <c r="L20" s="67">
        <f>L44-L63+TVA!L60</f>
        <v>0</v>
      </c>
      <c r="M20" s="67">
        <f>M44-M63+TVA!M60</f>
        <v>0</v>
      </c>
      <c r="N20" s="67">
        <f>N44-N63+TVA!N60</f>
        <v>0</v>
      </c>
      <c r="O20" s="67">
        <f>O44-O63+TVA!O60</f>
        <v>0</v>
      </c>
      <c r="P20" s="67">
        <f>P44-P63+TVA!P60</f>
        <v>0</v>
      </c>
      <c r="Q20" s="67">
        <f>Q44-Q63+TVA!Q60</f>
        <v>0</v>
      </c>
      <c r="R20" s="67">
        <f>R44-R63+TVA!R60</f>
        <v>0</v>
      </c>
      <c r="S20" s="67">
        <f>S44-S63+TVA!S60</f>
        <v>0</v>
      </c>
      <c r="T20" s="67">
        <f>T44-T63+TVA!T60</f>
        <v>0</v>
      </c>
      <c r="U20" s="67">
        <f>U44-U63+TVA!U60</f>
        <v>0</v>
      </c>
      <c r="V20" s="67">
        <f>V44-V63+TVA!V60</f>
        <v>0</v>
      </c>
      <c r="W20" s="67">
        <f>W44-W63+TVA!W60</f>
        <v>0</v>
      </c>
      <c r="X20" s="67">
        <f>X44-X63+TVA!X60</f>
        <v>0</v>
      </c>
      <c r="Y20" s="67">
        <f>Y44-Y63+TVA!Y60</f>
        <v>0</v>
      </c>
      <c r="Z20" s="67">
        <f>Z44-Z63+TVA!Z60</f>
        <v>0</v>
      </c>
      <c r="AA20" s="67">
        <f>AA44-AA63+TVA!AA60</f>
        <v>0</v>
      </c>
      <c r="AB20" s="67">
        <f>AB44-AB63+TVA!AB60</f>
        <v>0</v>
      </c>
      <c r="AC20" s="67">
        <f>AC44-AC63+TVA!AC60</f>
        <v>0</v>
      </c>
      <c r="AD20" s="67">
        <f>AD44-AD63+TVA!AD60</f>
        <v>0</v>
      </c>
      <c r="AE20" s="67">
        <f>AE44-AE63+TVA!AE60</f>
        <v>0</v>
      </c>
      <c r="AF20" s="67">
        <f>AF44-AF63+TVA!AF60</f>
        <v>0</v>
      </c>
      <c r="AG20" s="67">
        <f>AG44-AG63+TVA!AG60</f>
        <v>0</v>
      </c>
      <c r="AH20" s="67">
        <f>AH44-AH63+TVA!AH60</f>
        <v>0</v>
      </c>
      <c r="AI20" s="67">
        <f>AI44-AI63+TVA!AI60</f>
        <v>0</v>
      </c>
      <c r="AJ20" s="67">
        <f>AJ44-AJ63+TVA!AJ60</f>
        <v>0</v>
      </c>
      <c r="AK20" s="67">
        <f>AK44-AK63+TVA!AK60</f>
        <v>0</v>
      </c>
      <c r="AL20" s="67">
        <f>AL44-AL63+TVA!AL60</f>
        <v>0</v>
      </c>
      <c r="AM20" s="67">
        <f>AM44-AM63+TVA!AM60</f>
        <v>0</v>
      </c>
      <c r="AN20" s="67">
        <f>AN44-AN63+TVA!AN60</f>
        <v>0</v>
      </c>
      <c r="AO20" s="67">
        <f>AO44-AO63+TVA!AO60</f>
        <v>0</v>
      </c>
      <c r="AP20" s="67">
        <f>AP44-AP63+TVA!AP60</f>
        <v>0</v>
      </c>
      <c r="AQ20" s="67">
        <f>AQ44-AQ63+TVA!AQ60</f>
        <v>0</v>
      </c>
      <c r="AR20" s="67">
        <f>AR44-AR63+TVA!AR60</f>
        <v>0</v>
      </c>
      <c r="AS20" s="67">
        <f>AS44-AS63+TVA!AS60</f>
        <v>0</v>
      </c>
      <c r="AT20" s="67">
        <f>AT44-AT63+TVA!AT60</f>
        <v>0</v>
      </c>
      <c r="AU20" s="67">
        <f>AU44-AU63+TVA!AU60</f>
        <v>0</v>
      </c>
      <c r="AV20" s="67">
        <f>AV44-AV63+TVA!AV60</f>
        <v>0</v>
      </c>
      <c r="AW20" s="67">
        <f>AW44-AW63+TVA!AW60</f>
        <v>0</v>
      </c>
      <c r="AX20" s="67">
        <f>AX44-AX63+TVA!AX60</f>
        <v>0</v>
      </c>
      <c r="AY20" s="67">
        <f>AY44-AY63+TVA!AY60</f>
        <v>0</v>
      </c>
      <c r="AZ20" s="67">
        <f>AZ44-AZ63+TVA!AZ60</f>
        <v>0</v>
      </c>
      <c r="BA20" s="67">
        <f>BA44-BA63+TVA!BA60</f>
        <v>0</v>
      </c>
      <c r="BB20" s="67">
        <f>BB44-BB63+TVA!BB60</f>
        <v>0</v>
      </c>
      <c r="BC20" s="67">
        <f>BC44-BC63+TVA!BC60</f>
        <v>0</v>
      </c>
      <c r="BD20" s="67">
        <f>BD44-BD63+TVA!BD60</f>
        <v>0</v>
      </c>
      <c r="BE20" s="67">
        <f>BE44-BE63+TVA!BE60</f>
        <v>0</v>
      </c>
      <c r="BF20" s="67">
        <f>BF44-BF63+TVA!BF60</f>
        <v>0</v>
      </c>
      <c r="BG20" s="67">
        <f>BG44-BG63+TVA!BG60</f>
        <v>0</v>
      </c>
      <c r="BH20" s="67">
        <f>BH44-BH63+TVA!BH60</f>
        <v>0</v>
      </c>
      <c r="BI20" s="67">
        <f>BI44-BI63+TVA!BI60</f>
        <v>0</v>
      </c>
      <c r="BJ20" s="67">
        <f>BJ44-BJ63+TVA!BJ60</f>
        <v>0</v>
      </c>
      <c r="BK20" s="70"/>
    </row>
    <row r="21" spans="2:63" x14ac:dyDescent="0.2">
      <c r="B21" s="115"/>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row>
    <row r="22" spans="2:63" x14ac:dyDescent="0.2">
      <c r="B22" s="144" t="s">
        <v>97</v>
      </c>
      <c r="C22" s="67">
        <f>C42-C61+TVA!C62+SUM(Trésorerie!$C45:C45)</f>
        <v>8033.7147000000004</v>
      </c>
      <c r="D22" s="67">
        <f>D42-D61+TVA!D62+SUM(Trésorerie!$C45:D45)</f>
        <v>816.08619999999996</v>
      </c>
      <c r="E22" s="67">
        <f>E42-E61+TVA!E62+SUM(Trésorerie!$C45:E45)</f>
        <v>-65.410300000000007</v>
      </c>
      <c r="F22" s="67">
        <f>F42-F61+TVA!F62+SUM(Trésorerie!$C45:F45)</f>
        <v>-1921.1062999999999</v>
      </c>
      <c r="G22" s="67">
        <f>G42-G61+TVA!G62+SUM(Trésorerie!$C45:G45)</f>
        <v>-3643.1618000000003</v>
      </c>
      <c r="H22" s="67">
        <f>H42-H61+TVA!H62+SUM(Trésorerie!$C45:H45)</f>
        <v>-5437.3222999999998</v>
      </c>
      <c r="I22" s="67">
        <f>I42-I61+TVA!I62+SUM(Trésorerie!$C45:I45)</f>
        <v>-4933.7017999999998</v>
      </c>
      <c r="J22" s="67">
        <f>J42-J61+TVA!J62+SUM(Trésorerie!$C45:J45)</f>
        <v>-4209.1612999999998</v>
      </c>
      <c r="K22" s="67">
        <f>K42-K61+TVA!K62+SUM(Trésorerie!$C45:K45)</f>
        <v>-9118.4758000000002</v>
      </c>
      <c r="L22" s="67">
        <f>L42-L61+TVA!L62+SUM(Trésorerie!$C45:L45)</f>
        <v>-8620.9032999999999</v>
      </c>
      <c r="M22" s="67">
        <f>M42-M61+TVA!M62+SUM(Trésorerie!$C45:M45)</f>
        <v>-9687.2473000000009</v>
      </c>
      <c r="N22" s="67">
        <f>N42-N61+TVA!N62+SUM(Trésorerie!$C45:N45)</f>
        <v>-13887.237300000001</v>
      </c>
      <c r="O22" s="67">
        <f>O42-O61+TVA!O62+SUM(Trésorerie!$C45:O45)</f>
        <v>-10356.852866666666</v>
      </c>
      <c r="P22" s="67">
        <f>P42-P61+TVA!P62+SUM(Trésorerie!$C45:P45)</f>
        <v>-10599.252366666668</v>
      </c>
      <c r="Q22" s="67">
        <f>Q42-Q61+TVA!Q62+SUM(Trésorerie!$C45:Q45)</f>
        <v>-9205.8133666666654</v>
      </c>
      <c r="R22" s="67">
        <f>R42-R61+TVA!R62+SUM(Trésorerie!$C45:R45)</f>
        <v>-14933.040366666666</v>
      </c>
      <c r="S22" s="67">
        <f>S42-S61+TVA!S62+SUM(Trésorerie!$C45:S45)</f>
        <v>-17879.937366666665</v>
      </c>
      <c r="T22" s="67">
        <f>T42-T61+TVA!T62+SUM(Trésorerie!$C45:T45)</f>
        <v>-19360.164366666664</v>
      </c>
      <c r="U22" s="67">
        <f>U42-U61+TVA!U62+SUM(Trésorerie!$C45:U45)</f>
        <v>-19405.049866666664</v>
      </c>
      <c r="V22" s="67">
        <f>V42-V61+TVA!V62+SUM(Trésorerie!$C45:V45)</f>
        <v>-19031.486866666666</v>
      </c>
      <c r="W22" s="67">
        <f>W42-W61+TVA!W62+SUM(Trésorerie!$C45:W45)</f>
        <v>-26876.448866666666</v>
      </c>
      <c r="X22" s="67">
        <f>X42-X61+TVA!X62+SUM(Trésorerie!$C45:X45)</f>
        <v>-25743.507366666665</v>
      </c>
      <c r="Y22" s="67">
        <f>Y42-Y61+TVA!Y62+SUM(Trésorerie!$C45:Y45)</f>
        <v>-27563.772366666664</v>
      </c>
      <c r="Z22" s="67">
        <f>Z42-Z61+TVA!Z62+SUM(Trésorerie!$C45:Z45)</f>
        <v>-33839.474366666662</v>
      </c>
      <c r="AA22" s="67">
        <f>AA42-AA61+TVA!AA62+SUM(Trésorerie!$C45:AA45)</f>
        <v>-26757.636566666668</v>
      </c>
      <c r="AB22" s="67">
        <f>AB42-AB61+TVA!AB62+SUM(Trésorerie!$C45:AB45)</f>
        <v>-28962.324066666668</v>
      </c>
      <c r="AC22" s="67">
        <f>AC42-AC61+TVA!AC62+SUM(Trésorerie!$C45:AC45)</f>
        <v>-31115.059566666667</v>
      </c>
      <c r="AD22" s="67">
        <f>AD42-AD61+TVA!AD62+SUM(Trésorerie!$C45:AD45)</f>
        <v>-33785.586566666665</v>
      </c>
      <c r="AE22" s="67">
        <f>AE42-AE61+TVA!AE62+SUM(Trésorerie!$C45:AE45)</f>
        <v>-37248.453566666663</v>
      </c>
      <c r="AF22" s="67">
        <f>AF42-AF61+TVA!AF62+SUM(Trésorerie!$C45:AF45)</f>
        <v>-40080.900566666664</v>
      </c>
      <c r="AG22" s="67">
        <f>AG42-AG61+TVA!AG62+SUM(Trésorerie!$C45:AG45)</f>
        <v>-37768.698066666664</v>
      </c>
      <c r="AH22" s="67">
        <f>AH42-AH61+TVA!AH62+SUM(Trésorerie!$C45:AH45)</f>
        <v>-37208.487066666668</v>
      </c>
      <c r="AI22" s="67">
        <f>AI42-AI61+TVA!AI62+SUM(Trésorerie!$C45:AI45)</f>
        <v>-45048.445066666667</v>
      </c>
      <c r="AJ22" s="67">
        <f>AJ42-AJ61+TVA!AJ62+SUM(Trésorerie!$C45:AJ45)</f>
        <v>-42897.813566666664</v>
      </c>
      <c r="AK22" s="67">
        <f>AK42-AK61+TVA!AK62+SUM(Trésorerie!$C45:AK45)</f>
        <v>-44845.578566666663</v>
      </c>
      <c r="AL22" s="67">
        <f>AL42-AL61+TVA!AL62+SUM(Trésorerie!$C45:AL45)</f>
        <v>-54505.70156666667</v>
      </c>
      <c r="AM22" s="67">
        <f>AM42-AM61+TVA!AM62+SUM(Trésorerie!$C45:AM45)</f>
        <v>-49211.191916666663</v>
      </c>
      <c r="AN22" s="67">
        <f>AN42-AN61+TVA!AN62+SUM(Trésorerie!$C45:AN45)</f>
        <v>-46961.364916666658</v>
      </c>
      <c r="AO22" s="67">
        <f>AO42-AO61+TVA!AO62+SUM(Trésorerie!$C45:AO45)</f>
        <v>-50175.668416666667</v>
      </c>
      <c r="AP22" s="67">
        <f>AP42-AP61+TVA!AP62+SUM(Trésorerie!$C45:AP45)</f>
        <v>-54948.576416666663</v>
      </c>
      <c r="AQ22" s="67">
        <f>AQ42-AQ61+TVA!AQ62+SUM(Trésorerie!$C45:AQ45)</f>
        <v>-59811.130916666669</v>
      </c>
      <c r="AR22" s="67">
        <f>AR42-AR61+TVA!AR62+SUM(Trésorerie!$C45:AR45)</f>
        <v>-64649.267416666669</v>
      </c>
      <c r="AS22" s="67">
        <f>AS42-AS61+TVA!AS62+SUM(Trésorerie!$C45:AS45)</f>
        <v>-61932.711916666667</v>
      </c>
      <c r="AT22" s="67">
        <f>AT42-AT61+TVA!AT62+SUM(Trésorerie!$C45:AT45)</f>
        <v>-61026.555416666662</v>
      </c>
      <c r="AU22" s="67">
        <f>AU42-AU61+TVA!AU62+SUM(Trésorerie!$C45:AU45)</f>
        <v>-73614.032416666669</v>
      </c>
      <c r="AV22" s="67">
        <f>AV42-AV61+TVA!AV62+SUM(Trésorerie!$C45:AV45)</f>
        <v>-71216.701416666678</v>
      </c>
      <c r="AW22" s="67">
        <f>AW42-AW61+TVA!AW62+SUM(Trésorerie!$C45:AW45)</f>
        <v>-74919.406416666665</v>
      </c>
      <c r="AX22" s="67">
        <f>AX42-AX61+TVA!AX62+SUM(Trésorerie!$C45:AX45)</f>
        <v>-89117.590916666668</v>
      </c>
      <c r="AY22" s="67">
        <f>AY42-AY61+TVA!AY62+SUM(Trésorerie!$C45:AY45)</f>
        <v>-80668.686050000004</v>
      </c>
      <c r="AZ22" s="67">
        <f>AZ42-AZ61+TVA!AZ62+SUM(Trésorerie!$C45:AZ45)</f>
        <v>-77757.940549999999</v>
      </c>
      <c r="BA22" s="67">
        <f>BA42-BA61+TVA!BA62+SUM(Trésorerie!$C45:BA45)</f>
        <v>-81854.290049999996</v>
      </c>
      <c r="BB22" s="67">
        <f>BB42-BB61+TVA!BB62+SUM(Trésorerie!$C45:BB45)</f>
        <v>-78693.503549999994</v>
      </c>
      <c r="BC22" s="67">
        <f>BC42-BC61+TVA!BC62+SUM(Trésorerie!$C45:BC45)</f>
        <v>-97407.012050000005</v>
      </c>
      <c r="BD22" s="67">
        <f>BD42-BD61+TVA!BD62+SUM(Trésorerie!$C45:BD45)</f>
        <v>-103964.29555</v>
      </c>
      <c r="BE22" s="67">
        <f>BE42-BE61+TVA!BE62+SUM(Trésorerie!$C45:BE45)</f>
        <v>-100690.27355000001</v>
      </c>
      <c r="BF22" s="67">
        <f>BF42-BF61+TVA!BF62+SUM(Trésorerie!$C45:BF45)</f>
        <v>-99471.259550000002</v>
      </c>
      <c r="BG22" s="67">
        <f>BG42-BG61+TVA!BG62+SUM(Trésorerie!$C45:BG45)</f>
        <v>-119827.74455</v>
      </c>
      <c r="BH22" s="67">
        <f>BH42-BH61+TVA!BH62+SUM(Trésorerie!$C45:BH45)</f>
        <v>-115279.78204999999</v>
      </c>
      <c r="BI22" s="67">
        <f>BI42-BI61+TVA!BI62+SUM(Trésorerie!$C45:BI45)</f>
        <v>-120930.25205</v>
      </c>
      <c r="BJ22" s="67">
        <f>BJ42-BJ61+TVA!BJ62+SUM(Trésorerie!$C45:BJ45)</f>
        <v>-144440.80955000001</v>
      </c>
      <c r="BK22" s="70"/>
    </row>
    <row r="23" spans="2:63" x14ac:dyDescent="0.2">
      <c r="B23" s="144" t="s">
        <v>274</v>
      </c>
      <c r="C23" s="191">
        <f>MAX(C22:N22)</f>
        <v>8033.7147000000004</v>
      </c>
      <c r="D23" s="157"/>
      <c r="E23" s="157"/>
      <c r="F23" s="157"/>
      <c r="G23" s="157"/>
      <c r="H23" s="157"/>
      <c r="I23" s="157"/>
      <c r="J23" s="157"/>
      <c r="K23" s="157"/>
      <c r="L23" s="157"/>
      <c r="M23" s="157"/>
      <c r="N23" s="158"/>
      <c r="O23" s="191">
        <f>MAX(O22:Z22)</f>
        <v>-9205.8133666666654</v>
      </c>
      <c r="P23" s="157"/>
      <c r="Q23" s="157"/>
      <c r="R23" s="157"/>
      <c r="S23" s="157"/>
      <c r="T23" s="157"/>
      <c r="U23" s="157"/>
      <c r="V23" s="157"/>
      <c r="W23" s="157"/>
      <c r="X23" s="157"/>
      <c r="Y23" s="157"/>
      <c r="Z23" s="158"/>
      <c r="AA23" s="191">
        <f>MAX(AA22:AL22)</f>
        <v>-26757.636566666668</v>
      </c>
      <c r="AB23" s="157"/>
      <c r="AC23" s="157"/>
      <c r="AD23" s="157"/>
      <c r="AE23" s="157"/>
      <c r="AF23" s="157"/>
      <c r="AG23" s="157"/>
      <c r="AH23" s="157"/>
      <c r="AI23" s="157"/>
      <c r="AJ23" s="157"/>
      <c r="AK23" s="157"/>
      <c r="AL23" s="158"/>
      <c r="AM23" s="191">
        <f>MAX(AM22:AX22)</f>
        <v>-46961.364916666658</v>
      </c>
      <c r="AN23" s="157"/>
      <c r="AO23" s="157"/>
      <c r="AP23" s="157"/>
      <c r="AQ23" s="157"/>
      <c r="AR23" s="157"/>
      <c r="AS23" s="157"/>
      <c r="AT23" s="157"/>
      <c r="AU23" s="157"/>
      <c r="AV23" s="157"/>
      <c r="AW23" s="157"/>
      <c r="AX23" s="158"/>
      <c r="AY23" s="191">
        <f>MAX(AY22:BJ22)</f>
        <v>-77757.940549999999</v>
      </c>
      <c r="AZ23" s="157"/>
      <c r="BA23" s="157"/>
      <c r="BB23" s="157"/>
      <c r="BC23" s="157"/>
      <c r="BD23" s="157"/>
      <c r="BE23" s="157"/>
      <c r="BF23" s="157"/>
      <c r="BG23" s="157"/>
      <c r="BH23" s="157"/>
      <c r="BI23" s="157"/>
      <c r="BJ23" s="158"/>
      <c r="BK23" s="70"/>
    </row>
    <row r="24" spans="2:63" x14ac:dyDescent="0.2">
      <c r="B24" s="115"/>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row>
    <row r="25" spans="2:63" ht="15" customHeight="1" x14ac:dyDescent="0.2">
      <c r="B25" s="139" t="s">
        <v>253</v>
      </c>
      <c r="C25" s="116"/>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row>
    <row r="26" spans="2:63" ht="15" customHeight="1" x14ac:dyDescent="0.2">
      <c r="B26" s="115"/>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row>
    <row r="27" spans="2:63" ht="15" customHeight="1" x14ac:dyDescent="0.2">
      <c r="B27" s="71"/>
      <c r="C27" s="174" t="s">
        <v>77</v>
      </c>
      <c r="D27" s="157"/>
      <c r="E27" s="157"/>
      <c r="F27" s="157"/>
      <c r="G27" s="157"/>
      <c r="H27" s="157"/>
      <c r="I27" s="157"/>
      <c r="J27" s="157"/>
      <c r="K27" s="157"/>
      <c r="L27" s="157"/>
      <c r="M27" s="157"/>
      <c r="N27" s="158"/>
      <c r="O27" s="174" t="s">
        <v>78</v>
      </c>
      <c r="P27" s="157"/>
      <c r="Q27" s="157"/>
      <c r="R27" s="157"/>
      <c r="S27" s="157"/>
      <c r="T27" s="157"/>
      <c r="U27" s="157"/>
      <c r="V27" s="157"/>
      <c r="W27" s="157"/>
      <c r="X27" s="157"/>
      <c r="Y27" s="157"/>
      <c r="Z27" s="158"/>
      <c r="AA27" s="174" t="s">
        <v>79</v>
      </c>
      <c r="AB27" s="157"/>
      <c r="AC27" s="157"/>
      <c r="AD27" s="157"/>
      <c r="AE27" s="157"/>
      <c r="AF27" s="157"/>
      <c r="AG27" s="157"/>
      <c r="AH27" s="157"/>
      <c r="AI27" s="157"/>
      <c r="AJ27" s="157"/>
      <c r="AK27" s="157"/>
      <c r="AL27" s="158"/>
      <c r="AM27" s="174" t="s">
        <v>80</v>
      </c>
      <c r="AN27" s="157"/>
      <c r="AO27" s="157"/>
      <c r="AP27" s="157"/>
      <c r="AQ27" s="157"/>
      <c r="AR27" s="157"/>
      <c r="AS27" s="157"/>
      <c r="AT27" s="157"/>
      <c r="AU27" s="157"/>
      <c r="AV27" s="157"/>
      <c r="AW27" s="157"/>
      <c r="AX27" s="158"/>
      <c r="AY27" s="174" t="s">
        <v>81</v>
      </c>
      <c r="AZ27" s="157"/>
      <c r="BA27" s="157"/>
      <c r="BB27" s="157"/>
      <c r="BC27" s="157"/>
      <c r="BD27" s="157"/>
      <c r="BE27" s="157"/>
      <c r="BF27" s="157"/>
      <c r="BG27" s="157"/>
      <c r="BH27" s="157"/>
      <c r="BI27" s="157"/>
      <c r="BJ27" s="158"/>
      <c r="BK27" s="70"/>
    </row>
    <row r="28" spans="2:63" ht="15" customHeight="1" x14ac:dyDescent="0.2">
      <c r="B28" s="144" t="s">
        <v>241</v>
      </c>
      <c r="C28" s="55">
        <f>Config!$C$7</f>
        <v>46388</v>
      </c>
      <c r="D28" s="55">
        <f t="shared" ref="D28:AI28" si="2">DATE(YEAR(C28),MONTH(C28)+1,DAY(C28))</f>
        <v>46419</v>
      </c>
      <c r="E28" s="55">
        <f t="shared" si="2"/>
        <v>46447</v>
      </c>
      <c r="F28" s="55">
        <f t="shared" si="2"/>
        <v>46478</v>
      </c>
      <c r="G28" s="55">
        <f t="shared" si="2"/>
        <v>46508</v>
      </c>
      <c r="H28" s="55">
        <f t="shared" si="2"/>
        <v>46539</v>
      </c>
      <c r="I28" s="55">
        <f t="shared" si="2"/>
        <v>46569</v>
      </c>
      <c r="J28" s="55">
        <f t="shared" si="2"/>
        <v>46600</v>
      </c>
      <c r="K28" s="55">
        <f t="shared" si="2"/>
        <v>46631</v>
      </c>
      <c r="L28" s="55">
        <f t="shared" si="2"/>
        <v>46661</v>
      </c>
      <c r="M28" s="55">
        <f t="shared" si="2"/>
        <v>46692</v>
      </c>
      <c r="N28" s="55">
        <f t="shared" si="2"/>
        <v>46722</v>
      </c>
      <c r="O28" s="55">
        <f t="shared" si="2"/>
        <v>46753</v>
      </c>
      <c r="P28" s="55">
        <f t="shared" si="2"/>
        <v>46784</v>
      </c>
      <c r="Q28" s="55">
        <f t="shared" si="2"/>
        <v>46813</v>
      </c>
      <c r="R28" s="55">
        <f t="shared" si="2"/>
        <v>46844</v>
      </c>
      <c r="S28" s="55">
        <f t="shared" si="2"/>
        <v>46874</v>
      </c>
      <c r="T28" s="55">
        <f t="shared" si="2"/>
        <v>46905</v>
      </c>
      <c r="U28" s="55">
        <f t="shared" si="2"/>
        <v>46935</v>
      </c>
      <c r="V28" s="55">
        <f t="shared" si="2"/>
        <v>46966</v>
      </c>
      <c r="W28" s="55">
        <f t="shared" si="2"/>
        <v>46997</v>
      </c>
      <c r="X28" s="55">
        <f t="shared" si="2"/>
        <v>47027</v>
      </c>
      <c r="Y28" s="55">
        <f t="shared" si="2"/>
        <v>47058</v>
      </c>
      <c r="Z28" s="55">
        <f t="shared" si="2"/>
        <v>47088</v>
      </c>
      <c r="AA28" s="55">
        <f t="shared" si="2"/>
        <v>47119</v>
      </c>
      <c r="AB28" s="55">
        <f t="shared" si="2"/>
        <v>47150</v>
      </c>
      <c r="AC28" s="55">
        <f t="shared" si="2"/>
        <v>47178</v>
      </c>
      <c r="AD28" s="55">
        <f t="shared" si="2"/>
        <v>47209</v>
      </c>
      <c r="AE28" s="55">
        <f t="shared" si="2"/>
        <v>47239</v>
      </c>
      <c r="AF28" s="55">
        <f t="shared" si="2"/>
        <v>47270</v>
      </c>
      <c r="AG28" s="55">
        <f t="shared" si="2"/>
        <v>47300</v>
      </c>
      <c r="AH28" s="55">
        <f t="shared" si="2"/>
        <v>47331</v>
      </c>
      <c r="AI28" s="55">
        <f t="shared" si="2"/>
        <v>47362</v>
      </c>
      <c r="AJ28" s="55">
        <f t="shared" ref="AJ28:BJ28" si="3">DATE(YEAR(AI28),MONTH(AI28)+1,DAY(AI28))</f>
        <v>47392</v>
      </c>
      <c r="AK28" s="55">
        <f t="shared" si="3"/>
        <v>47423</v>
      </c>
      <c r="AL28" s="55">
        <f t="shared" si="3"/>
        <v>47453</v>
      </c>
      <c r="AM28" s="55">
        <f t="shared" si="3"/>
        <v>47484</v>
      </c>
      <c r="AN28" s="55">
        <f t="shared" si="3"/>
        <v>47515</v>
      </c>
      <c r="AO28" s="55">
        <f t="shared" si="3"/>
        <v>47543</v>
      </c>
      <c r="AP28" s="55">
        <f t="shared" si="3"/>
        <v>47574</v>
      </c>
      <c r="AQ28" s="55">
        <f t="shared" si="3"/>
        <v>47604</v>
      </c>
      <c r="AR28" s="55">
        <f t="shared" si="3"/>
        <v>47635</v>
      </c>
      <c r="AS28" s="55">
        <f t="shared" si="3"/>
        <v>47665</v>
      </c>
      <c r="AT28" s="55">
        <f t="shared" si="3"/>
        <v>47696</v>
      </c>
      <c r="AU28" s="55">
        <f t="shared" si="3"/>
        <v>47727</v>
      </c>
      <c r="AV28" s="55">
        <f t="shared" si="3"/>
        <v>47757</v>
      </c>
      <c r="AW28" s="55">
        <f t="shared" si="3"/>
        <v>47788</v>
      </c>
      <c r="AX28" s="55">
        <f t="shared" si="3"/>
        <v>47818</v>
      </c>
      <c r="AY28" s="55">
        <f t="shared" si="3"/>
        <v>47849</v>
      </c>
      <c r="AZ28" s="55">
        <f t="shared" si="3"/>
        <v>47880</v>
      </c>
      <c r="BA28" s="55">
        <f t="shared" si="3"/>
        <v>47908</v>
      </c>
      <c r="BB28" s="55">
        <f t="shared" si="3"/>
        <v>47939</v>
      </c>
      <c r="BC28" s="55">
        <f t="shared" si="3"/>
        <v>47969</v>
      </c>
      <c r="BD28" s="55">
        <f t="shared" si="3"/>
        <v>48000</v>
      </c>
      <c r="BE28" s="55">
        <f t="shared" si="3"/>
        <v>48030</v>
      </c>
      <c r="BF28" s="55">
        <f t="shared" si="3"/>
        <v>48061</v>
      </c>
      <c r="BG28" s="55">
        <f t="shared" si="3"/>
        <v>48092</v>
      </c>
      <c r="BH28" s="55">
        <f t="shared" si="3"/>
        <v>48122</v>
      </c>
      <c r="BI28" s="55">
        <f t="shared" si="3"/>
        <v>48153</v>
      </c>
      <c r="BJ28" s="55">
        <f t="shared" si="3"/>
        <v>48183</v>
      </c>
      <c r="BK28" s="70"/>
    </row>
    <row r="29" spans="2:63" ht="15" customHeight="1" x14ac:dyDescent="0.2">
      <c r="B29" s="46" t="str">
        <f>Config!$B$14</f>
        <v>Vente d'abonnement mensuel (30 Shots)</v>
      </c>
      <c r="C29" s="67">
        <f>'Commandes - Calculs auto'!C29-'Commandes - Calculs auto'!C9</f>
        <v>0</v>
      </c>
      <c r="D29" s="67">
        <f>C29+'Commandes - Calculs auto'!D29-'Commandes - Calculs auto'!D9</f>
        <v>0</v>
      </c>
      <c r="E29" s="67">
        <f>D29+'Commandes - Calculs auto'!E29-'Commandes - Calculs auto'!E9</f>
        <v>0</v>
      </c>
      <c r="F29" s="67">
        <f>E29+'Commandes - Calculs auto'!F29-'Commandes - Calculs auto'!F9</f>
        <v>0</v>
      </c>
      <c r="G29" s="67">
        <f>F29+'Commandes - Calculs auto'!G29-'Commandes - Calculs auto'!G9</f>
        <v>0</v>
      </c>
      <c r="H29" s="67">
        <f>G29+'Commandes - Calculs auto'!H29-'Commandes - Calculs auto'!H9</f>
        <v>0</v>
      </c>
      <c r="I29" s="67">
        <f>H29+'Commandes - Calculs auto'!I29-'Commandes - Calculs auto'!I9</f>
        <v>0</v>
      </c>
      <c r="J29" s="67">
        <f>I29+'Commandes - Calculs auto'!J29-'Commandes - Calculs auto'!J9</f>
        <v>0</v>
      </c>
      <c r="K29" s="67">
        <f>J29+'Commandes - Calculs auto'!K29-'Commandes - Calculs auto'!K9</f>
        <v>0</v>
      </c>
      <c r="L29" s="67">
        <f>K29+'Commandes - Calculs auto'!L29-'Commandes - Calculs auto'!L9</f>
        <v>0</v>
      </c>
      <c r="M29" s="67">
        <f>L29+'Commandes - Calculs auto'!M29-'Commandes - Calculs auto'!M9</f>
        <v>0</v>
      </c>
      <c r="N29" s="67">
        <f>M29+'Commandes - Calculs auto'!N29-'Commandes - Calculs auto'!N9</f>
        <v>0</v>
      </c>
      <c r="O29" s="67">
        <f>N29+'Commandes - Calculs auto'!O29-'Commandes - Calculs auto'!O9</f>
        <v>0</v>
      </c>
      <c r="P29" s="67">
        <f>O29+'Commandes - Calculs auto'!P29-'Commandes - Calculs auto'!P9</f>
        <v>0</v>
      </c>
      <c r="Q29" s="67">
        <f>P29+'Commandes - Calculs auto'!Q29-'Commandes - Calculs auto'!Q9</f>
        <v>0</v>
      </c>
      <c r="R29" s="67">
        <f>Q29+'Commandes - Calculs auto'!R29-'Commandes - Calculs auto'!R9</f>
        <v>0</v>
      </c>
      <c r="S29" s="67">
        <f>R29+'Commandes - Calculs auto'!S29-'Commandes - Calculs auto'!S9</f>
        <v>0</v>
      </c>
      <c r="T29" s="67">
        <f>S29+'Commandes - Calculs auto'!T29-'Commandes - Calculs auto'!T9</f>
        <v>0</v>
      </c>
      <c r="U29" s="67">
        <f>T29+'Commandes - Calculs auto'!U29-'Commandes - Calculs auto'!U9</f>
        <v>0</v>
      </c>
      <c r="V29" s="67">
        <f>U29+'Commandes - Calculs auto'!V29-'Commandes - Calculs auto'!V9</f>
        <v>0</v>
      </c>
      <c r="W29" s="67">
        <f>V29+'Commandes - Calculs auto'!W29-'Commandes - Calculs auto'!W9</f>
        <v>0</v>
      </c>
      <c r="X29" s="67">
        <f>W29+'Commandes - Calculs auto'!X29-'Commandes - Calculs auto'!X9</f>
        <v>0</v>
      </c>
      <c r="Y29" s="67">
        <f>X29+'Commandes - Calculs auto'!Y29-'Commandes - Calculs auto'!Y9</f>
        <v>0</v>
      </c>
      <c r="Z29" s="67">
        <f>Y29+'Commandes - Calculs auto'!Z29-'Commandes - Calculs auto'!Z9</f>
        <v>0</v>
      </c>
      <c r="AA29" s="67">
        <f>Z29+'Commandes - Calculs auto'!AA29-'Commandes - Calculs auto'!AA9</f>
        <v>0</v>
      </c>
      <c r="AB29" s="67">
        <f>AA29+'Commandes - Calculs auto'!AB29-'Commandes - Calculs auto'!AB9</f>
        <v>0</v>
      </c>
      <c r="AC29" s="67">
        <f>AB29+'Commandes - Calculs auto'!AC29-'Commandes - Calculs auto'!AC9</f>
        <v>0</v>
      </c>
      <c r="AD29" s="67">
        <f>AC29+'Commandes - Calculs auto'!AD29-'Commandes - Calculs auto'!AD9</f>
        <v>0</v>
      </c>
      <c r="AE29" s="67">
        <f>AD29+'Commandes - Calculs auto'!AE29-'Commandes - Calculs auto'!AE9</f>
        <v>0</v>
      </c>
      <c r="AF29" s="67">
        <f>AE29+'Commandes - Calculs auto'!AF29-'Commandes - Calculs auto'!AF9</f>
        <v>0</v>
      </c>
      <c r="AG29" s="67">
        <f>AF29+'Commandes - Calculs auto'!AG29-'Commandes - Calculs auto'!AG9</f>
        <v>0</v>
      </c>
      <c r="AH29" s="67">
        <f>AG29+'Commandes - Calculs auto'!AH29-'Commandes - Calculs auto'!AH9</f>
        <v>0</v>
      </c>
      <c r="AI29" s="67">
        <f>AH29+'Commandes - Calculs auto'!AI29-'Commandes - Calculs auto'!AI9</f>
        <v>0</v>
      </c>
      <c r="AJ29" s="67">
        <f>AI29+'Commandes - Calculs auto'!AJ29-'Commandes - Calculs auto'!AJ9</f>
        <v>0</v>
      </c>
      <c r="AK29" s="67">
        <f>AJ29+'Commandes - Calculs auto'!AK29-'Commandes - Calculs auto'!AK9</f>
        <v>0</v>
      </c>
      <c r="AL29" s="67">
        <f>AK29+'Commandes - Calculs auto'!AL29-'Commandes - Calculs auto'!AL9</f>
        <v>0</v>
      </c>
      <c r="AM29" s="67">
        <f>AL29+'Commandes - Calculs auto'!AM29-'Commandes - Calculs auto'!AM9</f>
        <v>0</v>
      </c>
      <c r="AN29" s="67">
        <f>AM29+'Commandes - Calculs auto'!AN29-'Commandes - Calculs auto'!AN9</f>
        <v>0</v>
      </c>
      <c r="AO29" s="67">
        <f>AN29+'Commandes - Calculs auto'!AO29-'Commandes - Calculs auto'!AO9</f>
        <v>0</v>
      </c>
      <c r="AP29" s="67">
        <f>AO29+'Commandes - Calculs auto'!AP29-'Commandes - Calculs auto'!AP9</f>
        <v>0</v>
      </c>
      <c r="AQ29" s="67">
        <f>AP29+'Commandes - Calculs auto'!AQ29-'Commandes - Calculs auto'!AQ9</f>
        <v>0</v>
      </c>
      <c r="AR29" s="67">
        <f>AQ29+'Commandes - Calculs auto'!AR29-'Commandes - Calculs auto'!AR9</f>
        <v>0</v>
      </c>
      <c r="AS29" s="67">
        <f>AR29+'Commandes - Calculs auto'!AS29-'Commandes - Calculs auto'!AS9</f>
        <v>0</v>
      </c>
      <c r="AT29" s="67">
        <f>AS29+'Commandes - Calculs auto'!AT29-'Commandes - Calculs auto'!AT9</f>
        <v>0</v>
      </c>
      <c r="AU29" s="67">
        <f>AT29+'Commandes - Calculs auto'!AU29-'Commandes - Calculs auto'!AU9</f>
        <v>0</v>
      </c>
      <c r="AV29" s="67">
        <f>AU29+'Commandes - Calculs auto'!AV29-'Commandes - Calculs auto'!AV9</f>
        <v>0</v>
      </c>
      <c r="AW29" s="67">
        <f>AV29+'Commandes - Calculs auto'!AW29-'Commandes - Calculs auto'!AW9</f>
        <v>0</v>
      </c>
      <c r="AX29" s="67">
        <f>AW29+'Commandes - Calculs auto'!AX29-'Commandes - Calculs auto'!AX9</f>
        <v>0</v>
      </c>
      <c r="AY29" s="67">
        <f>AX29+'Commandes - Calculs auto'!AY29-'Commandes - Calculs auto'!AY9</f>
        <v>0</v>
      </c>
      <c r="AZ29" s="67">
        <f>AY29+'Commandes - Calculs auto'!AZ29-'Commandes - Calculs auto'!AZ9</f>
        <v>0</v>
      </c>
      <c r="BA29" s="67">
        <f>AZ29+'Commandes - Calculs auto'!BA29-'Commandes - Calculs auto'!BA9</f>
        <v>0</v>
      </c>
      <c r="BB29" s="67">
        <f>BA29+'Commandes - Calculs auto'!BB29-'Commandes - Calculs auto'!BB9</f>
        <v>0</v>
      </c>
      <c r="BC29" s="67">
        <f>BB29+'Commandes - Calculs auto'!BC29-'Commandes - Calculs auto'!BC9</f>
        <v>0</v>
      </c>
      <c r="BD29" s="67">
        <f>BC29+'Commandes - Calculs auto'!BD29-'Commandes - Calculs auto'!BD9</f>
        <v>0</v>
      </c>
      <c r="BE29" s="67">
        <f>BD29+'Commandes - Calculs auto'!BE29-'Commandes - Calculs auto'!BE9</f>
        <v>0</v>
      </c>
      <c r="BF29" s="67">
        <f>BE29+'Commandes - Calculs auto'!BF29-'Commandes - Calculs auto'!BF9</f>
        <v>0</v>
      </c>
      <c r="BG29" s="67">
        <f>BF29+'Commandes - Calculs auto'!BG29-'Commandes - Calculs auto'!BG9</f>
        <v>0</v>
      </c>
      <c r="BH29" s="67">
        <f>BG29+'Commandes - Calculs auto'!BH29-'Commandes - Calculs auto'!BH9</f>
        <v>0</v>
      </c>
      <c r="BI29" s="67">
        <f>BH29+'Commandes - Calculs auto'!BI29-'Commandes - Calculs auto'!BI9</f>
        <v>0</v>
      </c>
      <c r="BJ29" s="67">
        <f>BI29+'Commandes - Calculs auto'!BJ29-'Commandes - Calculs auto'!BJ9</f>
        <v>0</v>
      </c>
      <c r="BK29" s="70"/>
    </row>
    <row r="30" spans="2:63" ht="15" customHeight="1" x14ac:dyDescent="0.2">
      <c r="B30" s="46" t="str">
        <f>Config!$B$15</f>
        <v>Vente de pack découverte (9 Shots)</v>
      </c>
      <c r="C30" s="67">
        <f>'Commandes - Calculs auto'!C30-'Commandes - Calculs auto'!C10</f>
        <v>0</v>
      </c>
      <c r="D30" s="67">
        <f>C30+'Commandes - Calculs auto'!D30-'Commandes - Calculs auto'!D10</f>
        <v>0</v>
      </c>
      <c r="E30" s="67">
        <f>D30+'Commandes - Calculs auto'!E30-'Commandes - Calculs auto'!E10</f>
        <v>0</v>
      </c>
      <c r="F30" s="67">
        <f>E30+'Commandes - Calculs auto'!F30-'Commandes - Calculs auto'!F10</f>
        <v>0</v>
      </c>
      <c r="G30" s="67">
        <f>F30+'Commandes - Calculs auto'!G30-'Commandes - Calculs auto'!G10</f>
        <v>0</v>
      </c>
      <c r="H30" s="67">
        <f>G30+'Commandes - Calculs auto'!H30-'Commandes - Calculs auto'!H10</f>
        <v>0</v>
      </c>
      <c r="I30" s="67">
        <f>H30+'Commandes - Calculs auto'!I30-'Commandes - Calculs auto'!I10</f>
        <v>0</v>
      </c>
      <c r="J30" s="67">
        <f>I30+'Commandes - Calculs auto'!J30-'Commandes - Calculs auto'!J10</f>
        <v>0</v>
      </c>
      <c r="K30" s="67">
        <f>J30+'Commandes - Calculs auto'!K30-'Commandes - Calculs auto'!K10</f>
        <v>0</v>
      </c>
      <c r="L30" s="67">
        <f>K30+'Commandes - Calculs auto'!L30-'Commandes - Calculs auto'!L10</f>
        <v>0</v>
      </c>
      <c r="M30" s="67">
        <f>L30+'Commandes - Calculs auto'!M30-'Commandes - Calculs auto'!M10</f>
        <v>0</v>
      </c>
      <c r="N30" s="67">
        <f>M30+'Commandes - Calculs auto'!N30-'Commandes - Calculs auto'!N10</f>
        <v>0</v>
      </c>
      <c r="O30" s="67">
        <f>N30+'Commandes - Calculs auto'!O30-'Commandes - Calculs auto'!O10</f>
        <v>0</v>
      </c>
      <c r="P30" s="67">
        <f>O30+'Commandes - Calculs auto'!P30-'Commandes - Calculs auto'!P10</f>
        <v>0</v>
      </c>
      <c r="Q30" s="67">
        <f>P30+'Commandes - Calculs auto'!Q30-'Commandes - Calculs auto'!Q10</f>
        <v>0</v>
      </c>
      <c r="R30" s="67">
        <f>Q30+'Commandes - Calculs auto'!R30-'Commandes - Calculs auto'!R10</f>
        <v>0</v>
      </c>
      <c r="S30" s="67">
        <f>R30+'Commandes - Calculs auto'!S30-'Commandes - Calculs auto'!S10</f>
        <v>0</v>
      </c>
      <c r="T30" s="67">
        <f>S30+'Commandes - Calculs auto'!T30-'Commandes - Calculs auto'!T10</f>
        <v>0</v>
      </c>
      <c r="U30" s="67">
        <f>T30+'Commandes - Calculs auto'!U30-'Commandes - Calculs auto'!U10</f>
        <v>0</v>
      </c>
      <c r="V30" s="67">
        <f>U30+'Commandes - Calculs auto'!V30-'Commandes - Calculs auto'!V10</f>
        <v>0</v>
      </c>
      <c r="W30" s="67">
        <f>V30+'Commandes - Calculs auto'!W30-'Commandes - Calculs auto'!W10</f>
        <v>0</v>
      </c>
      <c r="X30" s="67">
        <f>W30+'Commandes - Calculs auto'!X30-'Commandes - Calculs auto'!X10</f>
        <v>0</v>
      </c>
      <c r="Y30" s="67">
        <f>X30+'Commandes - Calculs auto'!Y30-'Commandes - Calculs auto'!Y10</f>
        <v>0</v>
      </c>
      <c r="Z30" s="67">
        <f>Y30+'Commandes - Calculs auto'!Z30-'Commandes - Calculs auto'!Z10</f>
        <v>0</v>
      </c>
      <c r="AA30" s="67">
        <f>Z30+'Commandes - Calculs auto'!AA30-'Commandes - Calculs auto'!AA10</f>
        <v>0</v>
      </c>
      <c r="AB30" s="67">
        <f>AA30+'Commandes - Calculs auto'!AB30-'Commandes - Calculs auto'!AB10</f>
        <v>0</v>
      </c>
      <c r="AC30" s="67">
        <f>AB30+'Commandes - Calculs auto'!AC30-'Commandes - Calculs auto'!AC10</f>
        <v>0</v>
      </c>
      <c r="AD30" s="67">
        <f>AC30+'Commandes - Calculs auto'!AD30-'Commandes - Calculs auto'!AD10</f>
        <v>0</v>
      </c>
      <c r="AE30" s="67">
        <f>AD30+'Commandes - Calculs auto'!AE30-'Commandes - Calculs auto'!AE10</f>
        <v>0</v>
      </c>
      <c r="AF30" s="67">
        <f>AE30+'Commandes - Calculs auto'!AF30-'Commandes - Calculs auto'!AF10</f>
        <v>0</v>
      </c>
      <c r="AG30" s="67">
        <f>AF30+'Commandes - Calculs auto'!AG30-'Commandes - Calculs auto'!AG10</f>
        <v>0</v>
      </c>
      <c r="AH30" s="67">
        <f>AG30+'Commandes - Calculs auto'!AH30-'Commandes - Calculs auto'!AH10</f>
        <v>0</v>
      </c>
      <c r="AI30" s="67">
        <f>AH30+'Commandes - Calculs auto'!AI30-'Commandes - Calculs auto'!AI10</f>
        <v>0</v>
      </c>
      <c r="AJ30" s="67">
        <f>AI30+'Commandes - Calculs auto'!AJ30-'Commandes - Calculs auto'!AJ10</f>
        <v>0</v>
      </c>
      <c r="AK30" s="67">
        <f>AJ30+'Commandes - Calculs auto'!AK30-'Commandes - Calculs auto'!AK10</f>
        <v>0</v>
      </c>
      <c r="AL30" s="67">
        <f>AK30+'Commandes - Calculs auto'!AL30-'Commandes - Calculs auto'!AL10</f>
        <v>0</v>
      </c>
      <c r="AM30" s="67">
        <f>AL30+'Commandes - Calculs auto'!AM30-'Commandes - Calculs auto'!AM10</f>
        <v>0</v>
      </c>
      <c r="AN30" s="67">
        <f>AM30+'Commandes - Calculs auto'!AN30-'Commandes - Calculs auto'!AN10</f>
        <v>0</v>
      </c>
      <c r="AO30" s="67">
        <f>AN30+'Commandes - Calculs auto'!AO30-'Commandes - Calculs auto'!AO10</f>
        <v>0</v>
      </c>
      <c r="AP30" s="67">
        <f>AO30+'Commandes - Calculs auto'!AP30-'Commandes - Calculs auto'!AP10</f>
        <v>0</v>
      </c>
      <c r="AQ30" s="67">
        <f>AP30+'Commandes - Calculs auto'!AQ30-'Commandes - Calculs auto'!AQ10</f>
        <v>0</v>
      </c>
      <c r="AR30" s="67">
        <f>AQ30+'Commandes - Calculs auto'!AR30-'Commandes - Calculs auto'!AR10</f>
        <v>0</v>
      </c>
      <c r="AS30" s="67">
        <f>AR30+'Commandes - Calculs auto'!AS30-'Commandes - Calculs auto'!AS10</f>
        <v>0</v>
      </c>
      <c r="AT30" s="67">
        <f>AS30+'Commandes - Calculs auto'!AT30-'Commandes - Calculs auto'!AT10</f>
        <v>0</v>
      </c>
      <c r="AU30" s="67">
        <f>AT30+'Commandes - Calculs auto'!AU30-'Commandes - Calculs auto'!AU10</f>
        <v>0</v>
      </c>
      <c r="AV30" s="67">
        <f>AU30+'Commandes - Calculs auto'!AV30-'Commandes - Calculs auto'!AV10</f>
        <v>0</v>
      </c>
      <c r="AW30" s="67">
        <f>AV30+'Commandes - Calculs auto'!AW30-'Commandes - Calculs auto'!AW10</f>
        <v>0</v>
      </c>
      <c r="AX30" s="67">
        <f>AW30+'Commandes - Calculs auto'!AX30-'Commandes - Calculs auto'!AX10</f>
        <v>0</v>
      </c>
      <c r="AY30" s="67">
        <f>AX30+'Commandes - Calculs auto'!AY30-'Commandes - Calculs auto'!AY10</f>
        <v>0</v>
      </c>
      <c r="AZ30" s="67">
        <f>AY30+'Commandes - Calculs auto'!AZ30-'Commandes - Calculs auto'!AZ10</f>
        <v>0</v>
      </c>
      <c r="BA30" s="67">
        <f>AZ30+'Commandes - Calculs auto'!BA30-'Commandes - Calculs auto'!BA10</f>
        <v>0</v>
      </c>
      <c r="BB30" s="67">
        <f>BA30+'Commandes - Calculs auto'!BB30-'Commandes - Calculs auto'!BB10</f>
        <v>0</v>
      </c>
      <c r="BC30" s="67">
        <f>BB30+'Commandes - Calculs auto'!BC30-'Commandes - Calculs auto'!BC10</f>
        <v>0</v>
      </c>
      <c r="BD30" s="67">
        <f>BC30+'Commandes - Calculs auto'!BD30-'Commandes - Calculs auto'!BD10</f>
        <v>0</v>
      </c>
      <c r="BE30" s="67">
        <f>BD30+'Commandes - Calculs auto'!BE30-'Commandes - Calculs auto'!BE10</f>
        <v>0</v>
      </c>
      <c r="BF30" s="67">
        <f>BE30+'Commandes - Calculs auto'!BF30-'Commandes - Calculs auto'!BF10</f>
        <v>0</v>
      </c>
      <c r="BG30" s="67">
        <f>BF30+'Commandes - Calculs auto'!BG30-'Commandes - Calculs auto'!BG10</f>
        <v>0</v>
      </c>
      <c r="BH30" s="67">
        <f>BG30+'Commandes - Calculs auto'!BH30-'Commandes - Calculs auto'!BH10</f>
        <v>0</v>
      </c>
      <c r="BI30" s="67">
        <f>BH30+'Commandes - Calculs auto'!BI30-'Commandes - Calculs auto'!BI10</f>
        <v>0</v>
      </c>
      <c r="BJ30" s="67">
        <f>BI30+'Commandes - Calculs auto'!BJ30-'Commandes - Calculs auto'!BJ10</f>
        <v>0</v>
      </c>
      <c r="BK30" s="70"/>
    </row>
    <row r="31" spans="2:63" ht="15" customHeight="1" x14ac:dyDescent="0.2">
      <c r="B31" s="46" t="str">
        <f>Config!$B$16</f>
        <v xml:space="preserve">Vente de shots à l'unité </v>
      </c>
      <c r="C31" s="67">
        <f>'Commandes - Calculs auto'!C31-'Commandes - Calculs auto'!C11</f>
        <v>0</v>
      </c>
      <c r="D31" s="67">
        <f>C31+'Commandes - Calculs auto'!D31-'Commandes - Calculs auto'!D11</f>
        <v>0</v>
      </c>
      <c r="E31" s="67">
        <f>D31+'Commandes - Calculs auto'!E31-'Commandes - Calculs auto'!E11</f>
        <v>0</v>
      </c>
      <c r="F31" s="67">
        <f>E31+'Commandes - Calculs auto'!F31-'Commandes - Calculs auto'!F11</f>
        <v>0</v>
      </c>
      <c r="G31" s="67">
        <f>F31+'Commandes - Calculs auto'!G31-'Commandes - Calculs auto'!G11</f>
        <v>0</v>
      </c>
      <c r="H31" s="67">
        <f>G31+'Commandes - Calculs auto'!H31-'Commandes - Calculs auto'!H11</f>
        <v>0</v>
      </c>
      <c r="I31" s="67">
        <f>H31+'Commandes - Calculs auto'!I31-'Commandes - Calculs auto'!I11</f>
        <v>0</v>
      </c>
      <c r="J31" s="67">
        <f>I31+'Commandes - Calculs auto'!J31-'Commandes - Calculs auto'!J11</f>
        <v>0</v>
      </c>
      <c r="K31" s="67">
        <f>J31+'Commandes - Calculs auto'!K31-'Commandes - Calculs auto'!K11</f>
        <v>0</v>
      </c>
      <c r="L31" s="67">
        <f>K31+'Commandes - Calculs auto'!L31-'Commandes - Calculs auto'!L11</f>
        <v>0</v>
      </c>
      <c r="M31" s="67">
        <f>L31+'Commandes - Calculs auto'!M31-'Commandes - Calculs auto'!M11</f>
        <v>0</v>
      </c>
      <c r="N31" s="67">
        <f>M31+'Commandes - Calculs auto'!N31-'Commandes - Calculs auto'!N11</f>
        <v>0</v>
      </c>
      <c r="O31" s="67">
        <f>N31+'Commandes - Calculs auto'!O31-'Commandes - Calculs auto'!O11</f>
        <v>0</v>
      </c>
      <c r="P31" s="67">
        <f>O31+'Commandes - Calculs auto'!P31-'Commandes - Calculs auto'!P11</f>
        <v>0</v>
      </c>
      <c r="Q31" s="67">
        <f>P31+'Commandes - Calculs auto'!Q31-'Commandes - Calculs auto'!Q11</f>
        <v>0</v>
      </c>
      <c r="R31" s="67">
        <f>Q31+'Commandes - Calculs auto'!R31-'Commandes - Calculs auto'!R11</f>
        <v>0</v>
      </c>
      <c r="S31" s="67">
        <f>R31+'Commandes - Calculs auto'!S31-'Commandes - Calculs auto'!S11</f>
        <v>0</v>
      </c>
      <c r="T31" s="67">
        <f>S31+'Commandes - Calculs auto'!T31-'Commandes - Calculs auto'!T11</f>
        <v>0</v>
      </c>
      <c r="U31" s="67">
        <f>T31+'Commandes - Calculs auto'!U31-'Commandes - Calculs auto'!U11</f>
        <v>0</v>
      </c>
      <c r="V31" s="67">
        <f>U31+'Commandes - Calculs auto'!V31-'Commandes - Calculs auto'!V11</f>
        <v>0</v>
      </c>
      <c r="W31" s="67">
        <f>V31+'Commandes - Calculs auto'!W31-'Commandes - Calculs auto'!W11</f>
        <v>0</v>
      </c>
      <c r="X31" s="67">
        <f>W31+'Commandes - Calculs auto'!X31-'Commandes - Calculs auto'!X11</f>
        <v>0</v>
      </c>
      <c r="Y31" s="67">
        <f>X31+'Commandes - Calculs auto'!Y31-'Commandes - Calculs auto'!Y11</f>
        <v>0</v>
      </c>
      <c r="Z31" s="67">
        <f>Y31+'Commandes - Calculs auto'!Z31-'Commandes - Calculs auto'!Z11</f>
        <v>0</v>
      </c>
      <c r="AA31" s="67">
        <f>Z31+'Commandes - Calculs auto'!AA31-'Commandes - Calculs auto'!AA11</f>
        <v>0</v>
      </c>
      <c r="AB31" s="67">
        <f>AA31+'Commandes - Calculs auto'!AB31-'Commandes - Calculs auto'!AB11</f>
        <v>0</v>
      </c>
      <c r="AC31" s="67">
        <f>AB31+'Commandes - Calculs auto'!AC31-'Commandes - Calculs auto'!AC11</f>
        <v>0</v>
      </c>
      <c r="AD31" s="67">
        <f>AC31+'Commandes - Calculs auto'!AD31-'Commandes - Calculs auto'!AD11</f>
        <v>0</v>
      </c>
      <c r="AE31" s="67">
        <f>AD31+'Commandes - Calculs auto'!AE31-'Commandes - Calculs auto'!AE11</f>
        <v>0</v>
      </c>
      <c r="AF31" s="67">
        <f>AE31+'Commandes - Calculs auto'!AF31-'Commandes - Calculs auto'!AF11</f>
        <v>0</v>
      </c>
      <c r="AG31" s="67">
        <f>AF31+'Commandes - Calculs auto'!AG31-'Commandes - Calculs auto'!AG11</f>
        <v>0</v>
      </c>
      <c r="AH31" s="67">
        <f>AG31+'Commandes - Calculs auto'!AH31-'Commandes - Calculs auto'!AH11</f>
        <v>0</v>
      </c>
      <c r="AI31" s="67">
        <f>AH31+'Commandes - Calculs auto'!AI31-'Commandes - Calculs auto'!AI11</f>
        <v>0</v>
      </c>
      <c r="AJ31" s="67">
        <f>AI31+'Commandes - Calculs auto'!AJ31-'Commandes - Calculs auto'!AJ11</f>
        <v>0</v>
      </c>
      <c r="AK31" s="67">
        <f>AJ31+'Commandes - Calculs auto'!AK31-'Commandes - Calculs auto'!AK11</f>
        <v>0</v>
      </c>
      <c r="AL31" s="67">
        <f>AK31+'Commandes - Calculs auto'!AL31-'Commandes - Calculs auto'!AL11</f>
        <v>0</v>
      </c>
      <c r="AM31" s="67">
        <f>AL31+'Commandes - Calculs auto'!AM31-'Commandes - Calculs auto'!AM11</f>
        <v>0</v>
      </c>
      <c r="AN31" s="67">
        <f>AM31+'Commandes - Calculs auto'!AN31-'Commandes - Calculs auto'!AN11</f>
        <v>0</v>
      </c>
      <c r="AO31" s="67">
        <f>AN31+'Commandes - Calculs auto'!AO31-'Commandes - Calculs auto'!AO11</f>
        <v>0</v>
      </c>
      <c r="AP31" s="67">
        <f>AO31+'Commandes - Calculs auto'!AP31-'Commandes - Calculs auto'!AP11</f>
        <v>0</v>
      </c>
      <c r="AQ31" s="67">
        <f>AP31+'Commandes - Calculs auto'!AQ31-'Commandes - Calculs auto'!AQ11</f>
        <v>0</v>
      </c>
      <c r="AR31" s="67">
        <f>AQ31+'Commandes - Calculs auto'!AR31-'Commandes - Calculs auto'!AR11</f>
        <v>0</v>
      </c>
      <c r="AS31" s="67">
        <f>AR31+'Commandes - Calculs auto'!AS31-'Commandes - Calculs auto'!AS11</f>
        <v>0</v>
      </c>
      <c r="AT31" s="67">
        <f>AS31+'Commandes - Calculs auto'!AT31-'Commandes - Calculs auto'!AT11</f>
        <v>0</v>
      </c>
      <c r="AU31" s="67">
        <f>AT31+'Commandes - Calculs auto'!AU31-'Commandes - Calculs auto'!AU11</f>
        <v>0</v>
      </c>
      <c r="AV31" s="67">
        <f>AU31+'Commandes - Calculs auto'!AV31-'Commandes - Calculs auto'!AV11</f>
        <v>0</v>
      </c>
      <c r="AW31" s="67">
        <f>AV31+'Commandes - Calculs auto'!AW31-'Commandes - Calculs auto'!AW11</f>
        <v>0</v>
      </c>
      <c r="AX31" s="67">
        <f>AW31+'Commandes - Calculs auto'!AX31-'Commandes - Calculs auto'!AX11</f>
        <v>0</v>
      </c>
      <c r="AY31" s="67">
        <f>AX31+'Commandes - Calculs auto'!AY31-'Commandes - Calculs auto'!AY11</f>
        <v>0</v>
      </c>
      <c r="AZ31" s="67">
        <f>AY31+'Commandes - Calculs auto'!AZ31-'Commandes - Calculs auto'!AZ11</f>
        <v>0</v>
      </c>
      <c r="BA31" s="67">
        <f>AZ31+'Commandes - Calculs auto'!BA31-'Commandes - Calculs auto'!BA11</f>
        <v>0</v>
      </c>
      <c r="BB31" s="67">
        <f>BA31+'Commandes - Calculs auto'!BB31-'Commandes - Calculs auto'!BB11</f>
        <v>0</v>
      </c>
      <c r="BC31" s="67">
        <f>BB31+'Commandes - Calculs auto'!BC31-'Commandes - Calculs auto'!BC11</f>
        <v>0</v>
      </c>
      <c r="BD31" s="67">
        <f>BC31+'Commandes - Calculs auto'!BD31-'Commandes - Calculs auto'!BD11</f>
        <v>0</v>
      </c>
      <c r="BE31" s="67">
        <f>BD31+'Commandes - Calculs auto'!BE31-'Commandes - Calculs auto'!BE11</f>
        <v>0</v>
      </c>
      <c r="BF31" s="67">
        <f>BE31+'Commandes - Calculs auto'!BF31-'Commandes - Calculs auto'!BF11</f>
        <v>0</v>
      </c>
      <c r="BG31" s="67">
        <f>BF31+'Commandes - Calculs auto'!BG31-'Commandes - Calculs auto'!BG11</f>
        <v>0</v>
      </c>
      <c r="BH31" s="67">
        <f>BG31+'Commandes - Calculs auto'!BH31-'Commandes - Calculs auto'!BH11</f>
        <v>0</v>
      </c>
      <c r="BI31" s="67">
        <f>BH31+'Commandes - Calculs auto'!BI31-'Commandes - Calculs auto'!BI11</f>
        <v>0</v>
      </c>
      <c r="BJ31" s="67">
        <f>BI31+'Commandes - Calculs auto'!BJ31-'Commandes - Calculs auto'!BJ11</f>
        <v>0</v>
      </c>
      <c r="BK31" s="70"/>
    </row>
    <row r="32" spans="2:63" ht="15" customHeight="1" x14ac:dyDescent="0.2">
      <c r="B32" s="46" t="str">
        <f>Config!$B$17</f>
        <v>Vente d'abonnement annuel (360 Shots)</v>
      </c>
      <c r="C32" s="67">
        <f>'Commandes - Calculs auto'!C32-'Commandes - Calculs auto'!C12</f>
        <v>0</v>
      </c>
      <c r="D32" s="67">
        <f>C32+'Commandes - Calculs auto'!D32-'Commandes - Calculs auto'!D12</f>
        <v>0</v>
      </c>
      <c r="E32" s="67">
        <f>D32+'Commandes - Calculs auto'!E32-'Commandes - Calculs auto'!E12</f>
        <v>0</v>
      </c>
      <c r="F32" s="67">
        <f>E32+'Commandes - Calculs auto'!F32-'Commandes - Calculs auto'!F12</f>
        <v>0</v>
      </c>
      <c r="G32" s="67">
        <f>F32+'Commandes - Calculs auto'!G32-'Commandes - Calculs auto'!G12</f>
        <v>0</v>
      </c>
      <c r="H32" s="67">
        <f>G32+'Commandes - Calculs auto'!H32-'Commandes - Calculs auto'!H12</f>
        <v>0</v>
      </c>
      <c r="I32" s="67">
        <f>H32+'Commandes - Calculs auto'!I32-'Commandes - Calculs auto'!I12</f>
        <v>0</v>
      </c>
      <c r="J32" s="67">
        <f>I32+'Commandes - Calculs auto'!J32-'Commandes - Calculs auto'!J12</f>
        <v>0</v>
      </c>
      <c r="K32" s="67">
        <f>J32+'Commandes - Calculs auto'!K32-'Commandes - Calculs auto'!K12</f>
        <v>0</v>
      </c>
      <c r="L32" s="67">
        <f>K32+'Commandes - Calculs auto'!L32-'Commandes - Calculs auto'!L12</f>
        <v>0</v>
      </c>
      <c r="M32" s="67">
        <f>L32+'Commandes - Calculs auto'!M32-'Commandes - Calculs auto'!M12</f>
        <v>0</v>
      </c>
      <c r="N32" s="67">
        <f>M32+'Commandes - Calculs auto'!N32-'Commandes - Calculs auto'!N12</f>
        <v>0</v>
      </c>
      <c r="O32" s="67">
        <f>N32+'Commandes - Calculs auto'!O32-'Commandes - Calculs auto'!O12</f>
        <v>0</v>
      </c>
      <c r="P32" s="67">
        <f>O32+'Commandes - Calculs auto'!P32-'Commandes - Calculs auto'!P12</f>
        <v>0</v>
      </c>
      <c r="Q32" s="67">
        <f>P32+'Commandes - Calculs auto'!Q32-'Commandes - Calculs auto'!Q12</f>
        <v>0</v>
      </c>
      <c r="R32" s="67">
        <f>Q32+'Commandes - Calculs auto'!R32-'Commandes - Calculs auto'!R12</f>
        <v>0</v>
      </c>
      <c r="S32" s="67">
        <f>R32+'Commandes - Calculs auto'!S32-'Commandes - Calculs auto'!S12</f>
        <v>0</v>
      </c>
      <c r="T32" s="67">
        <f>S32+'Commandes - Calculs auto'!T32-'Commandes - Calculs auto'!T12</f>
        <v>0</v>
      </c>
      <c r="U32" s="67">
        <f>T32+'Commandes - Calculs auto'!U32-'Commandes - Calculs auto'!U12</f>
        <v>0</v>
      </c>
      <c r="V32" s="67">
        <f>U32+'Commandes - Calculs auto'!V32-'Commandes - Calculs auto'!V12</f>
        <v>0</v>
      </c>
      <c r="W32" s="67">
        <f>V32+'Commandes - Calculs auto'!W32-'Commandes - Calculs auto'!W12</f>
        <v>0</v>
      </c>
      <c r="X32" s="67">
        <f>W32+'Commandes - Calculs auto'!X32-'Commandes - Calculs auto'!X12</f>
        <v>0</v>
      </c>
      <c r="Y32" s="67">
        <f>X32+'Commandes - Calculs auto'!Y32-'Commandes - Calculs auto'!Y12</f>
        <v>0</v>
      </c>
      <c r="Z32" s="67">
        <f>Y32+'Commandes - Calculs auto'!Z32-'Commandes - Calculs auto'!Z12</f>
        <v>0</v>
      </c>
      <c r="AA32" s="67">
        <f>Z32+'Commandes - Calculs auto'!AA32-'Commandes - Calculs auto'!AA12</f>
        <v>0</v>
      </c>
      <c r="AB32" s="67">
        <f>AA32+'Commandes - Calculs auto'!AB32-'Commandes - Calculs auto'!AB12</f>
        <v>0</v>
      </c>
      <c r="AC32" s="67">
        <f>AB32+'Commandes - Calculs auto'!AC32-'Commandes - Calculs auto'!AC12</f>
        <v>0</v>
      </c>
      <c r="AD32" s="67">
        <f>AC32+'Commandes - Calculs auto'!AD32-'Commandes - Calculs auto'!AD12</f>
        <v>0</v>
      </c>
      <c r="AE32" s="67">
        <f>AD32+'Commandes - Calculs auto'!AE32-'Commandes - Calculs auto'!AE12</f>
        <v>0</v>
      </c>
      <c r="AF32" s="67">
        <f>AE32+'Commandes - Calculs auto'!AF32-'Commandes - Calculs auto'!AF12</f>
        <v>0</v>
      </c>
      <c r="AG32" s="67">
        <f>AF32+'Commandes - Calculs auto'!AG32-'Commandes - Calculs auto'!AG12</f>
        <v>0</v>
      </c>
      <c r="AH32" s="67">
        <f>AG32+'Commandes - Calculs auto'!AH32-'Commandes - Calculs auto'!AH12</f>
        <v>0</v>
      </c>
      <c r="AI32" s="67">
        <f>AH32+'Commandes - Calculs auto'!AI32-'Commandes - Calculs auto'!AI12</f>
        <v>0</v>
      </c>
      <c r="AJ32" s="67">
        <f>AI32+'Commandes - Calculs auto'!AJ32-'Commandes - Calculs auto'!AJ12</f>
        <v>0</v>
      </c>
      <c r="AK32" s="67">
        <f>AJ32+'Commandes - Calculs auto'!AK32-'Commandes - Calculs auto'!AK12</f>
        <v>0</v>
      </c>
      <c r="AL32" s="67">
        <f>AK32+'Commandes - Calculs auto'!AL32-'Commandes - Calculs auto'!AL12</f>
        <v>0</v>
      </c>
      <c r="AM32" s="67">
        <f>AL32+'Commandes - Calculs auto'!AM32-'Commandes - Calculs auto'!AM12</f>
        <v>0</v>
      </c>
      <c r="AN32" s="67">
        <f>AM32+'Commandes - Calculs auto'!AN32-'Commandes - Calculs auto'!AN12</f>
        <v>0</v>
      </c>
      <c r="AO32" s="67">
        <f>AN32+'Commandes - Calculs auto'!AO32-'Commandes - Calculs auto'!AO12</f>
        <v>0</v>
      </c>
      <c r="AP32" s="67">
        <f>AO32+'Commandes - Calculs auto'!AP32-'Commandes - Calculs auto'!AP12</f>
        <v>0</v>
      </c>
      <c r="AQ32" s="67">
        <f>AP32+'Commandes - Calculs auto'!AQ32-'Commandes - Calculs auto'!AQ12</f>
        <v>0</v>
      </c>
      <c r="AR32" s="67">
        <f>AQ32+'Commandes - Calculs auto'!AR32-'Commandes - Calculs auto'!AR12</f>
        <v>0</v>
      </c>
      <c r="AS32" s="67">
        <f>AR32+'Commandes - Calculs auto'!AS32-'Commandes - Calculs auto'!AS12</f>
        <v>0</v>
      </c>
      <c r="AT32" s="67">
        <f>AS32+'Commandes - Calculs auto'!AT32-'Commandes - Calculs auto'!AT12</f>
        <v>0</v>
      </c>
      <c r="AU32" s="67">
        <f>AT32+'Commandes - Calculs auto'!AU32-'Commandes - Calculs auto'!AU12</f>
        <v>0</v>
      </c>
      <c r="AV32" s="67">
        <f>AU32+'Commandes - Calculs auto'!AV32-'Commandes - Calculs auto'!AV12</f>
        <v>0</v>
      </c>
      <c r="AW32" s="67">
        <f>AV32+'Commandes - Calculs auto'!AW32-'Commandes - Calculs auto'!AW12</f>
        <v>0</v>
      </c>
      <c r="AX32" s="67">
        <f>AW32+'Commandes - Calculs auto'!AX32-'Commandes - Calculs auto'!AX12</f>
        <v>0</v>
      </c>
      <c r="AY32" s="67">
        <f>AX32+'Commandes - Calculs auto'!AY32-'Commandes - Calculs auto'!AY12</f>
        <v>0</v>
      </c>
      <c r="AZ32" s="67">
        <f>AY32+'Commandes - Calculs auto'!AZ32-'Commandes - Calculs auto'!AZ12</f>
        <v>0</v>
      </c>
      <c r="BA32" s="67">
        <f>AZ32+'Commandes - Calculs auto'!BA32-'Commandes - Calculs auto'!BA12</f>
        <v>0</v>
      </c>
      <c r="BB32" s="67">
        <f>BA32+'Commandes - Calculs auto'!BB32-'Commandes - Calculs auto'!BB12</f>
        <v>0</v>
      </c>
      <c r="BC32" s="67">
        <f>BB32+'Commandes - Calculs auto'!BC32-'Commandes - Calculs auto'!BC12</f>
        <v>0</v>
      </c>
      <c r="BD32" s="67">
        <f>BC32+'Commandes - Calculs auto'!BD32-'Commandes - Calculs auto'!BD12</f>
        <v>0</v>
      </c>
      <c r="BE32" s="67">
        <f>BD32+'Commandes - Calculs auto'!BE32-'Commandes - Calculs auto'!BE12</f>
        <v>0</v>
      </c>
      <c r="BF32" s="67">
        <f>BE32+'Commandes - Calculs auto'!BF32-'Commandes - Calculs auto'!BF12</f>
        <v>0</v>
      </c>
      <c r="BG32" s="67">
        <f>BF32+'Commandes - Calculs auto'!BG32-'Commandes - Calculs auto'!BG12</f>
        <v>0</v>
      </c>
      <c r="BH32" s="67">
        <f>BG32+'Commandes - Calculs auto'!BH32-'Commandes - Calculs auto'!BH12</f>
        <v>0</v>
      </c>
      <c r="BI32" s="67">
        <f>BH32+'Commandes - Calculs auto'!BI32-'Commandes - Calculs auto'!BI12</f>
        <v>0</v>
      </c>
      <c r="BJ32" s="67">
        <f>BI32+'Commandes - Calculs auto'!BJ32-'Commandes - Calculs auto'!BJ12</f>
        <v>0</v>
      </c>
      <c r="BK32" s="70"/>
    </row>
    <row r="33" spans="2:63" ht="15" customHeight="1" x14ac:dyDescent="0.2">
      <c r="B33" s="46">
        <f>Config!$B$18</f>
        <v>0</v>
      </c>
      <c r="C33" s="67">
        <f>'Commandes - Calculs auto'!C33-'Commandes - Calculs auto'!C13</f>
        <v>0</v>
      </c>
      <c r="D33" s="67">
        <f>C33+'Commandes - Calculs auto'!D33-'Commandes - Calculs auto'!D13</f>
        <v>0</v>
      </c>
      <c r="E33" s="67">
        <f>D33+'Commandes - Calculs auto'!E33-'Commandes - Calculs auto'!E13</f>
        <v>0</v>
      </c>
      <c r="F33" s="67">
        <f>E33+'Commandes - Calculs auto'!F33-'Commandes - Calculs auto'!F13</f>
        <v>0</v>
      </c>
      <c r="G33" s="67">
        <f>F33+'Commandes - Calculs auto'!G33-'Commandes - Calculs auto'!G13</f>
        <v>0</v>
      </c>
      <c r="H33" s="67">
        <f>G33+'Commandes - Calculs auto'!H33-'Commandes - Calculs auto'!H13</f>
        <v>0</v>
      </c>
      <c r="I33" s="67">
        <f>H33+'Commandes - Calculs auto'!I33-'Commandes - Calculs auto'!I13</f>
        <v>0</v>
      </c>
      <c r="J33" s="67">
        <f>I33+'Commandes - Calculs auto'!J33-'Commandes - Calculs auto'!J13</f>
        <v>0</v>
      </c>
      <c r="K33" s="67">
        <f>J33+'Commandes - Calculs auto'!K33-'Commandes - Calculs auto'!K13</f>
        <v>0</v>
      </c>
      <c r="L33" s="67">
        <f>K33+'Commandes - Calculs auto'!L33-'Commandes - Calculs auto'!L13</f>
        <v>0</v>
      </c>
      <c r="M33" s="67">
        <f>L33+'Commandes - Calculs auto'!M33-'Commandes - Calculs auto'!M13</f>
        <v>0</v>
      </c>
      <c r="N33" s="67">
        <f>M33+'Commandes - Calculs auto'!N33-'Commandes - Calculs auto'!N13</f>
        <v>0</v>
      </c>
      <c r="O33" s="67">
        <f>N33+'Commandes - Calculs auto'!O33-'Commandes - Calculs auto'!O13</f>
        <v>0</v>
      </c>
      <c r="P33" s="67">
        <f>O33+'Commandes - Calculs auto'!P33-'Commandes - Calculs auto'!P13</f>
        <v>0</v>
      </c>
      <c r="Q33" s="67">
        <f>P33+'Commandes - Calculs auto'!Q33-'Commandes - Calculs auto'!Q13</f>
        <v>0</v>
      </c>
      <c r="R33" s="67">
        <f>Q33+'Commandes - Calculs auto'!R33-'Commandes - Calculs auto'!R13</f>
        <v>0</v>
      </c>
      <c r="S33" s="67">
        <f>R33+'Commandes - Calculs auto'!S33-'Commandes - Calculs auto'!S13</f>
        <v>0</v>
      </c>
      <c r="T33" s="67">
        <f>S33+'Commandes - Calculs auto'!T33-'Commandes - Calculs auto'!T13</f>
        <v>0</v>
      </c>
      <c r="U33" s="67">
        <f>T33+'Commandes - Calculs auto'!U33-'Commandes - Calculs auto'!U13</f>
        <v>0</v>
      </c>
      <c r="V33" s="67">
        <f>U33+'Commandes - Calculs auto'!V33-'Commandes - Calculs auto'!V13</f>
        <v>0</v>
      </c>
      <c r="W33" s="67">
        <f>V33+'Commandes - Calculs auto'!W33-'Commandes - Calculs auto'!W13</f>
        <v>0</v>
      </c>
      <c r="X33" s="67">
        <f>W33+'Commandes - Calculs auto'!X33-'Commandes - Calculs auto'!X13</f>
        <v>0</v>
      </c>
      <c r="Y33" s="67">
        <f>X33+'Commandes - Calculs auto'!Y33-'Commandes - Calculs auto'!Y13</f>
        <v>0</v>
      </c>
      <c r="Z33" s="67">
        <f>Y33+'Commandes - Calculs auto'!Z33-'Commandes - Calculs auto'!Z13</f>
        <v>0</v>
      </c>
      <c r="AA33" s="67">
        <f>Z33+'Commandes - Calculs auto'!AA33-'Commandes - Calculs auto'!AA13</f>
        <v>0</v>
      </c>
      <c r="AB33" s="67">
        <f>AA33+'Commandes - Calculs auto'!AB33-'Commandes - Calculs auto'!AB13</f>
        <v>0</v>
      </c>
      <c r="AC33" s="67">
        <f>AB33+'Commandes - Calculs auto'!AC33-'Commandes - Calculs auto'!AC13</f>
        <v>0</v>
      </c>
      <c r="AD33" s="67">
        <f>AC33+'Commandes - Calculs auto'!AD33-'Commandes - Calculs auto'!AD13</f>
        <v>0</v>
      </c>
      <c r="AE33" s="67">
        <f>AD33+'Commandes - Calculs auto'!AE33-'Commandes - Calculs auto'!AE13</f>
        <v>0</v>
      </c>
      <c r="AF33" s="67">
        <f>AE33+'Commandes - Calculs auto'!AF33-'Commandes - Calculs auto'!AF13</f>
        <v>0</v>
      </c>
      <c r="AG33" s="67">
        <f>AF33+'Commandes - Calculs auto'!AG33-'Commandes - Calculs auto'!AG13</f>
        <v>0</v>
      </c>
      <c r="AH33" s="67">
        <f>AG33+'Commandes - Calculs auto'!AH33-'Commandes - Calculs auto'!AH13</f>
        <v>0</v>
      </c>
      <c r="AI33" s="67">
        <f>AH33+'Commandes - Calculs auto'!AI33-'Commandes - Calculs auto'!AI13</f>
        <v>0</v>
      </c>
      <c r="AJ33" s="67">
        <f>AI33+'Commandes - Calculs auto'!AJ33-'Commandes - Calculs auto'!AJ13</f>
        <v>0</v>
      </c>
      <c r="AK33" s="67">
        <f>AJ33+'Commandes - Calculs auto'!AK33-'Commandes - Calculs auto'!AK13</f>
        <v>0</v>
      </c>
      <c r="AL33" s="67">
        <f>AK33+'Commandes - Calculs auto'!AL33-'Commandes - Calculs auto'!AL13</f>
        <v>0</v>
      </c>
      <c r="AM33" s="67">
        <f>AL33+'Commandes - Calculs auto'!AM33-'Commandes - Calculs auto'!AM13</f>
        <v>0</v>
      </c>
      <c r="AN33" s="67">
        <f>AM33+'Commandes - Calculs auto'!AN33-'Commandes - Calculs auto'!AN13</f>
        <v>0</v>
      </c>
      <c r="AO33" s="67">
        <f>AN33+'Commandes - Calculs auto'!AO33-'Commandes - Calculs auto'!AO13</f>
        <v>0</v>
      </c>
      <c r="AP33" s="67">
        <f>AO33+'Commandes - Calculs auto'!AP33-'Commandes - Calculs auto'!AP13</f>
        <v>0</v>
      </c>
      <c r="AQ33" s="67">
        <f>AP33+'Commandes - Calculs auto'!AQ33-'Commandes - Calculs auto'!AQ13</f>
        <v>0</v>
      </c>
      <c r="AR33" s="67">
        <f>AQ33+'Commandes - Calculs auto'!AR33-'Commandes - Calculs auto'!AR13</f>
        <v>0</v>
      </c>
      <c r="AS33" s="67">
        <f>AR33+'Commandes - Calculs auto'!AS33-'Commandes - Calculs auto'!AS13</f>
        <v>0</v>
      </c>
      <c r="AT33" s="67">
        <f>AS33+'Commandes - Calculs auto'!AT33-'Commandes - Calculs auto'!AT13</f>
        <v>0</v>
      </c>
      <c r="AU33" s="67">
        <f>AT33+'Commandes - Calculs auto'!AU33-'Commandes - Calculs auto'!AU13</f>
        <v>0</v>
      </c>
      <c r="AV33" s="67">
        <f>AU33+'Commandes - Calculs auto'!AV33-'Commandes - Calculs auto'!AV13</f>
        <v>0</v>
      </c>
      <c r="AW33" s="67">
        <f>AV33+'Commandes - Calculs auto'!AW33-'Commandes - Calculs auto'!AW13</f>
        <v>0</v>
      </c>
      <c r="AX33" s="67">
        <f>AW33+'Commandes - Calculs auto'!AX33-'Commandes - Calculs auto'!AX13</f>
        <v>0</v>
      </c>
      <c r="AY33" s="67">
        <f>AX33+'Commandes - Calculs auto'!AY33-'Commandes - Calculs auto'!AY13</f>
        <v>0</v>
      </c>
      <c r="AZ33" s="67">
        <f>AY33+'Commandes - Calculs auto'!AZ33-'Commandes - Calculs auto'!AZ13</f>
        <v>0</v>
      </c>
      <c r="BA33" s="67">
        <f>AZ33+'Commandes - Calculs auto'!BA33-'Commandes - Calculs auto'!BA13</f>
        <v>0</v>
      </c>
      <c r="BB33" s="67">
        <f>BA33+'Commandes - Calculs auto'!BB33-'Commandes - Calculs auto'!BB13</f>
        <v>0</v>
      </c>
      <c r="BC33" s="67">
        <f>BB33+'Commandes - Calculs auto'!BC33-'Commandes - Calculs auto'!BC13</f>
        <v>0</v>
      </c>
      <c r="BD33" s="67">
        <f>BC33+'Commandes - Calculs auto'!BD33-'Commandes - Calculs auto'!BD13</f>
        <v>0</v>
      </c>
      <c r="BE33" s="67">
        <f>BD33+'Commandes - Calculs auto'!BE33-'Commandes - Calculs auto'!BE13</f>
        <v>0</v>
      </c>
      <c r="BF33" s="67">
        <f>BE33+'Commandes - Calculs auto'!BF33-'Commandes - Calculs auto'!BF13</f>
        <v>0</v>
      </c>
      <c r="BG33" s="67">
        <f>BF33+'Commandes - Calculs auto'!BG33-'Commandes - Calculs auto'!BG13</f>
        <v>0</v>
      </c>
      <c r="BH33" s="67">
        <f>BG33+'Commandes - Calculs auto'!BH33-'Commandes - Calculs auto'!BH13</f>
        <v>0</v>
      </c>
      <c r="BI33" s="67">
        <f>BH33+'Commandes - Calculs auto'!BI33-'Commandes - Calculs auto'!BI13</f>
        <v>0</v>
      </c>
      <c r="BJ33" s="67">
        <f>BI33+'Commandes - Calculs auto'!BJ33-'Commandes - Calculs auto'!BJ13</f>
        <v>0</v>
      </c>
      <c r="BK33" s="70"/>
    </row>
    <row r="34" spans="2:63" ht="15" customHeight="1" x14ac:dyDescent="0.2">
      <c r="B34" s="46">
        <f>Config!$B$19</f>
        <v>0</v>
      </c>
      <c r="C34" s="67">
        <f>'Commandes - Calculs auto'!C34-'Commandes - Calculs auto'!C14</f>
        <v>0</v>
      </c>
      <c r="D34" s="67">
        <f>C34+'Commandes - Calculs auto'!D34-'Commandes - Calculs auto'!D14</f>
        <v>0</v>
      </c>
      <c r="E34" s="67">
        <f>D34+'Commandes - Calculs auto'!E34-'Commandes - Calculs auto'!E14</f>
        <v>0</v>
      </c>
      <c r="F34" s="67">
        <f>E34+'Commandes - Calculs auto'!F34-'Commandes - Calculs auto'!F14</f>
        <v>0</v>
      </c>
      <c r="G34" s="67">
        <f>F34+'Commandes - Calculs auto'!G34-'Commandes - Calculs auto'!G14</f>
        <v>0</v>
      </c>
      <c r="H34" s="67">
        <f>G34+'Commandes - Calculs auto'!H34-'Commandes - Calculs auto'!H14</f>
        <v>0</v>
      </c>
      <c r="I34" s="67">
        <f>H34+'Commandes - Calculs auto'!I34-'Commandes - Calculs auto'!I14</f>
        <v>0</v>
      </c>
      <c r="J34" s="67">
        <f>I34+'Commandes - Calculs auto'!J34-'Commandes - Calculs auto'!J14</f>
        <v>0</v>
      </c>
      <c r="K34" s="67">
        <f>J34+'Commandes - Calculs auto'!K34-'Commandes - Calculs auto'!K14</f>
        <v>0</v>
      </c>
      <c r="L34" s="67">
        <f>K34+'Commandes - Calculs auto'!L34-'Commandes - Calculs auto'!L14</f>
        <v>0</v>
      </c>
      <c r="M34" s="67">
        <f>L34+'Commandes - Calculs auto'!M34-'Commandes - Calculs auto'!M14</f>
        <v>0</v>
      </c>
      <c r="N34" s="67">
        <f>M34+'Commandes - Calculs auto'!N34-'Commandes - Calculs auto'!N14</f>
        <v>0</v>
      </c>
      <c r="O34" s="67">
        <f>N34+'Commandes - Calculs auto'!O34-'Commandes - Calculs auto'!O14</f>
        <v>0</v>
      </c>
      <c r="P34" s="67">
        <f>O34+'Commandes - Calculs auto'!P34-'Commandes - Calculs auto'!P14</f>
        <v>0</v>
      </c>
      <c r="Q34" s="67">
        <f>P34+'Commandes - Calculs auto'!Q34-'Commandes - Calculs auto'!Q14</f>
        <v>0</v>
      </c>
      <c r="R34" s="67">
        <f>Q34+'Commandes - Calculs auto'!R34-'Commandes - Calculs auto'!R14</f>
        <v>0</v>
      </c>
      <c r="S34" s="67">
        <f>R34+'Commandes - Calculs auto'!S34-'Commandes - Calculs auto'!S14</f>
        <v>0</v>
      </c>
      <c r="T34" s="67">
        <f>S34+'Commandes - Calculs auto'!T34-'Commandes - Calculs auto'!T14</f>
        <v>0</v>
      </c>
      <c r="U34" s="67">
        <f>T34+'Commandes - Calculs auto'!U34-'Commandes - Calculs auto'!U14</f>
        <v>0</v>
      </c>
      <c r="V34" s="67">
        <f>U34+'Commandes - Calculs auto'!V34-'Commandes - Calculs auto'!V14</f>
        <v>0</v>
      </c>
      <c r="W34" s="67">
        <f>V34+'Commandes - Calculs auto'!W34-'Commandes - Calculs auto'!W14</f>
        <v>0</v>
      </c>
      <c r="X34" s="67">
        <f>W34+'Commandes - Calculs auto'!X34-'Commandes - Calculs auto'!X14</f>
        <v>0</v>
      </c>
      <c r="Y34" s="67">
        <f>X34+'Commandes - Calculs auto'!Y34-'Commandes - Calculs auto'!Y14</f>
        <v>0</v>
      </c>
      <c r="Z34" s="67">
        <f>Y34+'Commandes - Calculs auto'!Z34-'Commandes - Calculs auto'!Z14</f>
        <v>0</v>
      </c>
      <c r="AA34" s="67">
        <f>Z34+'Commandes - Calculs auto'!AA34-'Commandes - Calculs auto'!AA14</f>
        <v>0</v>
      </c>
      <c r="AB34" s="67">
        <f>AA34+'Commandes - Calculs auto'!AB34-'Commandes - Calculs auto'!AB14</f>
        <v>0</v>
      </c>
      <c r="AC34" s="67">
        <f>AB34+'Commandes - Calculs auto'!AC34-'Commandes - Calculs auto'!AC14</f>
        <v>0</v>
      </c>
      <c r="AD34" s="67">
        <f>AC34+'Commandes - Calculs auto'!AD34-'Commandes - Calculs auto'!AD14</f>
        <v>0</v>
      </c>
      <c r="AE34" s="67">
        <f>AD34+'Commandes - Calculs auto'!AE34-'Commandes - Calculs auto'!AE14</f>
        <v>0</v>
      </c>
      <c r="AF34" s="67">
        <f>AE34+'Commandes - Calculs auto'!AF34-'Commandes - Calculs auto'!AF14</f>
        <v>0</v>
      </c>
      <c r="AG34" s="67">
        <f>AF34+'Commandes - Calculs auto'!AG34-'Commandes - Calculs auto'!AG14</f>
        <v>0</v>
      </c>
      <c r="AH34" s="67">
        <f>AG34+'Commandes - Calculs auto'!AH34-'Commandes - Calculs auto'!AH14</f>
        <v>0</v>
      </c>
      <c r="AI34" s="67">
        <f>AH34+'Commandes - Calculs auto'!AI34-'Commandes - Calculs auto'!AI14</f>
        <v>0</v>
      </c>
      <c r="AJ34" s="67">
        <f>AI34+'Commandes - Calculs auto'!AJ34-'Commandes - Calculs auto'!AJ14</f>
        <v>0</v>
      </c>
      <c r="AK34" s="67">
        <f>AJ34+'Commandes - Calculs auto'!AK34-'Commandes - Calculs auto'!AK14</f>
        <v>0</v>
      </c>
      <c r="AL34" s="67">
        <f>AK34+'Commandes - Calculs auto'!AL34-'Commandes - Calculs auto'!AL14</f>
        <v>0</v>
      </c>
      <c r="AM34" s="67">
        <f>AL34+'Commandes - Calculs auto'!AM34-'Commandes - Calculs auto'!AM14</f>
        <v>0</v>
      </c>
      <c r="AN34" s="67">
        <f>AM34+'Commandes - Calculs auto'!AN34-'Commandes - Calculs auto'!AN14</f>
        <v>0</v>
      </c>
      <c r="AO34" s="67">
        <f>AN34+'Commandes - Calculs auto'!AO34-'Commandes - Calculs auto'!AO14</f>
        <v>0</v>
      </c>
      <c r="AP34" s="67">
        <f>AO34+'Commandes - Calculs auto'!AP34-'Commandes - Calculs auto'!AP14</f>
        <v>0</v>
      </c>
      <c r="AQ34" s="67">
        <f>AP34+'Commandes - Calculs auto'!AQ34-'Commandes - Calculs auto'!AQ14</f>
        <v>0</v>
      </c>
      <c r="AR34" s="67">
        <f>AQ34+'Commandes - Calculs auto'!AR34-'Commandes - Calculs auto'!AR14</f>
        <v>0</v>
      </c>
      <c r="AS34" s="67">
        <f>AR34+'Commandes - Calculs auto'!AS34-'Commandes - Calculs auto'!AS14</f>
        <v>0</v>
      </c>
      <c r="AT34" s="67">
        <f>AS34+'Commandes - Calculs auto'!AT34-'Commandes - Calculs auto'!AT14</f>
        <v>0</v>
      </c>
      <c r="AU34" s="67">
        <f>AT34+'Commandes - Calculs auto'!AU34-'Commandes - Calculs auto'!AU14</f>
        <v>0</v>
      </c>
      <c r="AV34" s="67">
        <f>AU34+'Commandes - Calculs auto'!AV34-'Commandes - Calculs auto'!AV14</f>
        <v>0</v>
      </c>
      <c r="AW34" s="67">
        <f>AV34+'Commandes - Calculs auto'!AW34-'Commandes - Calculs auto'!AW14</f>
        <v>0</v>
      </c>
      <c r="AX34" s="67">
        <f>AW34+'Commandes - Calculs auto'!AX34-'Commandes - Calculs auto'!AX14</f>
        <v>0</v>
      </c>
      <c r="AY34" s="67">
        <f>AX34+'Commandes - Calculs auto'!AY34-'Commandes - Calculs auto'!AY14</f>
        <v>0</v>
      </c>
      <c r="AZ34" s="67">
        <f>AY34+'Commandes - Calculs auto'!AZ34-'Commandes - Calculs auto'!AZ14</f>
        <v>0</v>
      </c>
      <c r="BA34" s="67">
        <f>AZ34+'Commandes - Calculs auto'!BA34-'Commandes - Calculs auto'!BA14</f>
        <v>0</v>
      </c>
      <c r="BB34" s="67">
        <f>BA34+'Commandes - Calculs auto'!BB34-'Commandes - Calculs auto'!BB14</f>
        <v>0</v>
      </c>
      <c r="BC34" s="67">
        <f>BB34+'Commandes - Calculs auto'!BC34-'Commandes - Calculs auto'!BC14</f>
        <v>0</v>
      </c>
      <c r="BD34" s="67">
        <f>BC34+'Commandes - Calculs auto'!BD34-'Commandes - Calculs auto'!BD14</f>
        <v>0</v>
      </c>
      <c r="BE34" s="67">
        <f>BD34+'Commandes - Calculs auto'!BE34-'Commandes - Calculs auto'!BE14</f>
        <v>0</v>
      </c>
      <c r="BF34" s="67">
        <f>BE34+'Commandes - Calculs auto'!BF34-'Commandes - Calculs auto'!BF14</f>
        <v>0</v>
      </c>
      <c r="BG34" s="67">
        <f>BF34+'Commandes - Calculs auto'!BG34-'Commandes - Calculs auto'!BG14</f>
        <v>0</v>
      </c>
      <c r="BH34" s="67">
        <f>BG34+'Commandes - Calculs auto'!BH34-'Commandes - Calculs auto'!BH14</f>
        <v>0</v>
      </c>
      <c r="BI34" s="67">
        <f>BH34+'Commandes - Calculs auto'!BI34-'Commandes - Calculs auto'!BI14</f>
        <v>0</v>
      </c>
      <c r="BJ34" s="67">
        <f>BI34+'Commandes - Calculs auto'!BJ34-'Commandes - Calculs auto'!BJ14</f>
        <v>0</v>
      </c>
      <c r="BK34" s="70"/>
    </row>
    <row r="35" spans="2:63" ht="15" customHeight="1" x14ac:dyDescent="0.2">
      <c r="B35" s="46">
        <f>Config!$B$20</f>
        <v>0</v>
      </c>
      <c r="C35" s="67">
        <f>'Commandes - Calculs auto'!C35-'Commandes - Calculs auto'!C15</f>
        <v>0</v>
      </c>
      <c r="D35" s="67">
        <f>C35+'Commandes - Calculs auto'!D35-'Commandes - Calculs auto'!D15</f>
        <v>0</v>
      </c>
      <c r="E35" s="67">
        <f>D35+'Commandes - Calculs auto'!E35-'Commandes - Calculs auto'!E15</f>
        <v>0</v>
      </c>
      <c r="F35" s="67">
        <f>E35+'Commandes - Calculs auto'!F35-'Commandes - Calculs auto'!F15</f>
        <v>0</v>
      </c>
      <c r="G35" s="67">
        <f>F35+'Commandes - Calculs auto'!G35-'Commandes - Calculs auto'!G15</f>
        <v>0</v>
      </c>
      <c r="H35" s="67">
        <f>G35+'Commandes - Calculs auto'!H35-'Commandes - Calculs auto'!H15</f>
        <v>0</v>
      </c>
      <c r="I35" s="67">
        <f>H35+'Commandes - Calculs auto'!I35-'Commandes - Calculs auto'!I15</f>
        <v>0</v>
      </c>
      <c r="J35" s="67">
        <f>I35+'Commandes - Calculs auto'!J35-'Commandes - Calculs auto'!J15</f>
        <v>0</v>
      </c>
      <c r="K35" s="67">
        <f>J35+'Commandes - Calculs auto'!K35-'Commandes - Calculs auto'!K15</f>
        <v>0</v>
      </c>
      <c r="L35" s="67">
        <f>K35+'Commandes - Calculs auto'!L35-'Commandes - Calculs auto'!L15</f>
        <v>0</v>
      </c>
      <c r="M35" s="67">
        <f>L35+'Commandes - Calculs auto'!M35-'Commandes - Calculs auto'!M15</f>
        <v>0</v>
      </c>
      <c r="N35" s="67">
        <f>M35+'Commandes - Calculs auto'!N35-'Commandes - Calculs auto'!N15</f>
        <v>0</v>
      </c>
      <c r="O35" s="67">
        <f>N35+'Commandes - Calculs auto'!O35-'Commandes - Calculs auto'!O15</f>
        <v>0</v>
      </c>
      <c r="P35" s="67">
        <f>O35+'Commandes - Calculs auto'!P35-'Commandes - Calculs auto'!P15</f>
        <v>0</v>
      </c>
      <c r="Q35" s="67">
        <f>P35+'Commandes - Calculs auto'!Q35-'Commandes - Calculs auto'!Q15</f>
        <v>0</v>
      </c>
      <c r="R35" s="67">
        <f>Q35+'Commandes - Calculs auto'!R35-'Commandes - Calculs auto'!R15</f>
        <v>0</v>
      </c>
      <c r="S35" s="67">
        <f>R35+'Commandes - Calculs auto'!S35-'Commandes - Calculs auto'!S15</f>
        <v>0</v>
      </c>
      <c r="T35" s="67">
        <f>S35+'Commandes - Calculs auto'!T35-'Commandes - Calculs auto'!T15</f>
        <v>0</v>
      </c>
      <c r="U35" s="67">
        <f>T35+'Commandes - Calculs auto'!U35-'Commandes - Calculs auto'!U15</f>
        <v>0</v>
      </c>
      <c r="V35" s="67">
        <f>U35+'Commandes - Calculs auto'!V35-'Commandes - Calculs auto'!V15</f>
        <v>0</v>
      </c>
      <c r="W35" s="67">
        <f>V35+'Commandes - Calculs auto'!W35-'Commandes - Calculs auto'!W15</f>
        <v>0</v>
      </c>
      <c r="X35" s="67">
        <f>W35+'Commandes - Calculs auto'!X35-'Commandes - Calculs auto'!X15</f>
        <v>0</v>
      </c>
      <c r="Y35" s="67">
        <f>X35+'Commandes - Calculs auto'!Y35-'Commandes - Calculs auto'!Y15</f>
        <v>0</v>
      </c>
      <c r="Z35" s="67">
        <f>Y35+'Commandes - Calculs auto'!Z35-'Commandes - Calculs auto'!Z15</f>
        <v>0</v>
      </c>
      <c r="AA35" s="67">
        <f>Z35+'Commandes - Calculs auto'!AA35-'Commandes - Calculs auto'!AA15</f>
        <v>0</v>
      </c>
      <c r="AB35" s="67">
        <f>AA35+'Commandes - Calculs auto'!AB35-'Commandes - Calculs auto'!AB15</f>
        <v>0</v>
      </c>
      <c r="AC35" s="67">
        <f>AB35+'Commandes - Calculs auto'!AC35-'Commandes - Calculs auto'!AC15</f>
        <v>0</v>
      </c>
      <c r="AD35" s="67">
        <f>AC35+'Commandes - Calculs auto'!AD35-'Commandes - Calculs auto'!AD15</f>
        <v>0</v>
      </c>
      <c r="AE35" s="67">
        <f>AD35+'Commandes - Calculs auto'!AE35-'Commandes - Calculs auto'!AE15</f>
        <v>0</v>
      </c>
      <c r="AF35" s="67">
        <f>AE35+'Commandes - Calculs auto'!AF35-'Commandes - Calculs auto'!AF15</f>
        <v>0</v>
      </c>
      <c r="AG35" s="67">
        <f>AF35+'Commandes - Calculs auto'!AG35-'Commandes - Calculs auto'!AG15</f>
        <v>0</v>
      </c>
      <c r="AH35" s="67">
        <f>AG35+'Commandes - Calculs auto'!AH35-'Commandes - Calculs auto'!AH15</f>
        <v>0</v>
      </c>
      <c r="AI35" s="67">
        <f>AH35+'Commandes - Calculs auto'!AI35-'Commandes - Calculs auto'!AI15</f>
        <v>0</v>
      </c>
      <c r="AJ35" s="67">
        <f>AI35+'Commandes - Calculs auto'!AJ35-'Commandes - Calculs auto'!AJ15</f>
        <v>0</v>
      </c>
      <c r="AK35" s="67">
        <f>AJ35+'Commandes - Calculs auto'!AK35-'Commandes - Calculs auto'!AK15</f>
        <v>0</v>
      </c>
      <c r="AL35" s="67">
        <f>AK35+'Commandes - Calculs auto'!AL35-'Commandes - Calculs auto'!AL15</f>
        <v>0</v>
      </c>
      <c r="AM35" s="67">
        <f>AL35+'Commandes - Calculs auto'!AM35-'Commandes - Calculs auto'!AM15</f>
        <v>0</v>
      </c>
      <c r="AN35" s="67">
        <f>AM35+'Commandes - Calculs auto'!AN35-'Commandes - Calculs auto'!AN15</f>
        <v>0</v>
      </c>
      <c r="AO35" s="67">
        <f>AN35+'Commandes - Calculs auto'!AO35-'Commandes - Calculs auto'!AO15</f>
        <v>0</v>
      </c>
      <c r="AP35" s="67">
        <f>AO35+'Commandes - Calculs auto'!AP35-'Commandes - Calculs auto'!AP15</f>
        <v>0</v>
      </c>
      <c r="AQ35" s="67">
        <f>AP35+'Commandes - Calculs auto'!AQ35-'Commandes - Calculs auto'!AQ15</f>
        <v>0</v>
      </c>
      <c r="AR35" s="67">
        <f>AQ35+'Commandes - Calculs auto'!AR35-'Commandes - Calculs auto'!AR15</f>
        <v>0</v>
      </c>
      <c r="AS35" s="67">
        <f>AR35+'Commandes - Calculs auto'!AS35-'Commandes - Calculs auto'!AS15</f>
        <v>0</v>
      </c>
      <c r="AT35" s="67">
        <f>AS35+'Commandes - Calculs auto'!AT35-'Commandes - Calculs auto'!AT15</f>
        <v>0</v>
      </c>
      <c r="AU35" s="67">
        <f>AT35+'Commandes - Calculs auto'!AU35-'Commandes - Calculs auto'!AU15</f>
        <v>0</v>
      </c>
      <c r="AV35" s="67">
        <f>AU35+'Commandes - Calculs auto'!AV35-'Commandes - Calculs auto'!AV15</f>
        <v>0</v>
      </c>
      <c r="AW35" s="67">
        <f>AV35+'Commandes - Calculs auto'!AW35-'Commandes - Calculs auto'!AW15</f>
        <v>0</v>
      </c>
      <c r="AX35" s="67">
        <f>AW35+'Commandes - Calculs auto'!AX35-'Commandes - Calculs auto'!AX15</f>
        <v>0</v>
      </c>
      <c r="AY35" s="67">
        <f>AX35+'Commandes - Calculs auto'!AY35-'Commandes - Calculs auto'!AY15</f>
        <v>0</v>
      </c>
      <c r="AZ35" s="67">
        <f>AY35+'Commandes - Calculs auto'!AZ35-'Commandes - Calculs auto'!AZ15</f>
        <v>0</v>
      </c>
      <c r="BA35" s="67">
        <f>AZ35+'Commandes - Calculs auto'!BA35-'Commandes - Calculs auto'!BA15</f>
        <v>0</v>
      </c>
      <c r="BB35" s="67">
        <f>BA35+'Commandes - Calculs auto'!BB35-'Commandes - Calculs auto'!BB15</f>
        <v>0</v>
      </c>
      <c r="BC35" s="67">
        <f>BB35+'Commandes - Calculs auto'!BC35-'Commandes - Calculs auto'!BC15</f>
        <v>0</v>
      </c>
      <c r="BD35" s="67">
        <f>BC35+'Commandes - Calculs auto'!BD35-'Commandes - Calculs auto'!BD15</f>
        <v>0</v>
      </c>
      <c r="BE35" s="67">
        <f>BD35+'Commandes - Calculs auto'!BE35-'Commandes - Calculs auto'!BE15</f>
        <v>0</v>
      </c>
      <c r="BF35" s="67">
        <f>BE35+'Commandes - Calculs auto'!BF35-'Commandes - Calculs auto'!BF15</f>
        <v>0</v>
      </c>
      <c r="BG35" s="67">
        <f>BF35+'Commandes - Calculs auto'!BG35-'Commandes - Calculs auto'!BG15</f>
        <v>0</v>
      </c>
      <c r="BH35" s="67">
        <f>BG35+'Commandes - Calculs auto'!BH35-'Commandes - Calculs auto'!BH15</f>
        <v>0</v>
      </c>
      <c r="BI35" s="67">
        <f>BH35+'Commandes - Calculs auto'!BI35-'Commandes - Calculs auto'!BI15</f>
        <v>0</v>
      </c>
      <c r="BJ35" s="67">
        <f>BI35+'Commandes - Calculs auto'!BJ35-'Commandes - Calculs auto'!BJ15</f>
        <v>0</v>
      </c>
      <c r="BK35" s="70"/>
    </row>
    <row r="36" spans="2:63" ht="15" customHeight="1" x14ac:dyDescent="0.2">
      <c r="B36" s="46">
        <f>Config!$B$21</f>
        <v>0</v>
      </c>
      <c r="C36" s="67">
        <f>'Commandes - Calculs auto'!C36-'Commandes - Calculs auto'!C16</f>
        <v>0</v>
      </c>
      <c r="D36" s="67">
        <f>C36+'Commandes - Calculs auto'!D36-'Commandes - Calculs auto'!D16</f>
        <v>0</v>
      </c>
      <c r="E36" s="67">
        <f>D36+'Commandes - Calculs auto'!E36-'Commandes - Calculs auto'!E16</f>
        <v>0</v>
      </c>
      <c r="F36" s="67">
        <f>E36+'Commandes - Calculs auto'!F36-'Commandes - Calculs auto'!F16</f>
        <v>0</v>
      </c>
      <c r="G36" s="67">
        <f>F36+'Commandes - Calculs auto'!G36-'Commandes - Calculs auto'!G16</f>
        <v>0</v>
      </c>
      <c r="H36" s="67">
        <f>G36+'Commandes - Calculs auto'!H36-'Commandes - Calculs auto'!H16</f>
        <v>0</v>
      </c>
      <c r="I36" s="67">
        <f>H36+'Commandes - Calculs auto'!I36-'Commandes - Calculs auto'!I16</f>
        <v>0</v>
      </c>
      <c r="J36" s="67">
        <f>I36+'Commandes - Calculs auto'!J36-'Commandes - Calculs auto'!J16</f>
        <v>0</v>
      </c>
      <c r="K36" s="67">
        <f>J36+'Commandes - Calculs auto'!K36-'Commandes - Calculs auto'!K16</f>
        <v>0</v>
      </c>
      <c r="L36" s="67">
        <f>K36+'Commandes - Calculs auto'!L36-'Commandes - Calculs auto'!L16</f>
        <v>0</v>
      </c>
      <c r="M36" s="67">
        <f>L36+'Commandes - Calculs auto'!M36-'Commandes - Calculs auto'!M16</f>
        <v>0</v>
      </c>
      <c r="N36" s="67">
        <f>M36+'Commandes - Calculs auto'!N36-'Commandes - Calculs auto'!N16</f>
        <v>0</v>
      </c>
      <c r="O36" s="67">
        <f>N36+'Commandes - Calculs auto'!O36-'Commandes - Calculs auto'!O16</f>
        <v>0</v>
      </c>
      <c r="P36" s="67">
        <f>O36+'Commandes - Calculs auto'!P36-'Commandes - Calculs auto'!P16</f>
        <v>0</v>
      </c>
      <c r="Q36" s="67">
        <f>P36+'Commandes - Calculs auto'!Q36-'Commandes - Calculs auto'!Q16</f>
        <v>0</v>
      </c>
      <c r="R36" s="67">
        <f>Q36+'Commandes - Calculs auto'!R36-'Commandes - Calculs auto'!R16</f>
        <v>0</v>
      </c>
      <c r="S36" s="67">
        <f>R36+'Commandes - Calculs auto'!S36-'Commandes - Calculs auto'!S16</f>
        <v>0</v>
      </c>
      <c r="T36" s="67">
        <f>S36+'Commandes - Calculs auto'!T36-'Commandes - Calculs auto'!T16</f>
        <v>0</v>
      </c>
      <c r="U36" s="67">
        <f>T36+'Commandes - Calculs auto'!U36-'Commandes - Calculs auto'!U16</f>
        <v>0</v>
      </c>
      <c r="V36" s="67">
        <f>U36+'Commandes - Calculs auto'!V36-'Commandes - Calculs auto'!V16</f>
        <v>0</v>
      </c>
      <c r="W36" s="67">
        <f>V36+'Commandes - Calculs auto'!W36-'Commandes - Calculs auto'!W16</f>
        <v>0</v>
      </c>
      <c r="X36" s="67">
        <f>W36+'Commandes - Calculs auto'!X36-'Commandes - Calculs auto'!X16</f>
        <v>0</v>
      </c>
      <c r="Y36" s="67">
        <f>X36+'Commandes - Calculs auto'!Y36-'Commandes - Calculs auto'!Y16</f>
        <v>0</v>
      </c>
      <c r="Z36" s="67">
        <f>Y36+'Commandes - Calculs auto'!Z36-'Commandes - Calculs auto'!Z16</f>
        <v>0</v>
      </c>
      <c r="AA36" s="67">
        <f>Z36+'Commandes - Calculs auto'!AA36-'Commandes - Calculs auto'!AA16</f>
        <v>0</v>
      </c>
      <c r="AB36" s="67">
        <f>AA36+'Commandes - Calculs auto'!AB36-'Commandes - Calculs auto'!AB16</f>
        <v>0</v>
      </c>
      <c r="AC36" s="67">
        <f>AB36+'Commandes - Calculs auto'!AC36-'Commandes - Calculs auto'!AC16</f>
        <v>0</v>
      </c>
      <c r="AD36" s="67">
        <f>AC36+'Commandes - Calculs auto'!AD36-'Commandes - Calculs auto'!AD16</f>
        <v>0</v>
      </c>
      <c r="AE36" s="67">
        <f>AD36+'Commandes - Calculs auto'!AE36-'Commandes - Calculs auto'!AE16</f>
        <v>0</v>
      </c>
      <c r="AF36" s="67">
        <f>AE36+'Commandes - Calculs auto'!AF36-'Commandes - Calculs auto'!AF16</f>
        <v>0</v>
      </c>
      <c r="AG36" s="67">
        <f>AF36+'Commandes - Calculs auto'!AG36-'Commandes - Calculs auto'!AG16</f>
        <v>0</v>
      </c>
      <c r="AH36" s="67">
        <f>AG36+'Commandes - Calculs auto'!AH36-'Commandes - Calculs auto'!AH16</f>
        <v>0</v>
      </c>
      <c r="AI36" s="67">
        <f>AH36+'Commandes - Calculs auto'!AI36-'Commandes - Calculs auto'!AI16</f>
        <v>0</v>
      </c>
      <c r="AJ36" s="67">
        <f>AI36+'Commandes - Calculs auto'!AJ36-'Commandes - Calculs auto'!AJ16</f>
        <v>0</v>
      </c>
      <c r="AK36" s="67">
        <f>AJ36+'Commandes - Calculs auto'!AK36-'Commandes - Calculs auto'!AK16</f>
        <v>0</v>
      </c>
      <c r="AL36" s="67">
        <f>AK36+'Commandes - Calculs auto'!AL36-'Commandes - Calculs auto'!AL16</f>
        <v>0</v>
      </c>
      <c r="AM36" s="67">
        <f>AL36+'Commandes - Calculs auto'!AM36-'Commandes - Calculs auto'!AM16</f>
        <v>0</v>
      </c>
      <c r="AN36" s="67">
        <f>AM36+'Commandes - Calculs auto'!AN36-'Commandes - Calculs auto'!AN16</f>
        <v>0</v>
      </c>
      <c r="AO36" s="67">
        <f>AN36+'Commandes - Calculs auto'!AO36-'Commandes - Calculs auto'!AO16</f>
        <v>0</v>
      </c>
      <c r="AP36" s="67">
        <f>AO36+'Commandes - Calculs auto'!AP36-'Commandes - Calculs auto'!AP16</f>
        <v>0</v>
      </c>
      <c r="AQ36" s="67">
        <f>AP36+'Commandes - Calculs auto'!AQ36-'Commandes - Calculs auto'!AQ16</f>
        <v>0</v>
      </c>
      <c r="AR36" s="67">
        <f>AQ36+'Commandes - Calculs auto'!AR36-'Commandes - Calculs auto'!AR16</f>
        <v>0</v>
      </c>
      <c r="AS36" s="67">
        <f>AR36+'Commandes - Calculs auto'!AS36-'Commandes - Calculs auto'!AS16</f>
        <v>0</v>
      </c>
      <c r="AT36" s="67">
        <f>AS36+'Commandes - Calculs auto'!AT36-'Commandes - Calculs auto'!AT16</f>
        <v>0</v>
      </c>
      <c r="AU36" s="67">
        <f>AT36+'Commandes - Calculs auto'!AU36-'Commandes - Calculs auto'!AU16</f>
        <v>0</v>
      </c>
      <c r="AV36" s="67">
        <f>AU36+'Commandes - Calculs auto'!AV36-'Commandes - Calculs auto'!AV16</f>
        <v>0</v>
      </c>
      <c r="AW36" s="67">
        <f>AV36+'Commandes - Calculs auto'!AW36-'Commandes - Calculs auto'!AW16</f>
        <v>0</v>
      </c>
      <c r="AX36" s="67">
        <f>AW36+'Commandes - Calculs auto'!AX36-'Commandes - Calculs auto'!AX16</f>
        <v>0</v>
      </c>
      <c r="AY36" s="67">
        <f>AX36+'Commandes - Calculs auto'!AY36-'Commandes - Calculs auto'!AY16</f>
        <v>0</v>
      </c>
      <c r="AZ36" s="67">
        <f>AY36+'Commandes - Calculs auto'!AZ36-'Commandes - Calculs auto'!AZ16</f>
        <v>0</v>
      </c>
      <c r="BA36" s="67">
        <f>AZ36+'Commandes - Calculs auto'!BA36-'Commandes - Calculs auto'!BA16</f>
        <v>0</v>
      </c>
      <c r="BB36" s="67">
        <f>BA36+'Commandes - Calculs auto'!BB36-'Commandes - Calculs auto'!BB16</f>
        <v>0</v>
      </c>
      <c r="BC36" s="67">
        <f>BB36+'Commandes - Calculs auto'!BC36-'Commandes - Calculs auto'!BC16</f>
        <v>0</v>
      </c>
      <c r="BD36" s="67">
        <f>BC36+'Commandes - Calculs auto'!BD36-'Commandes - Calculs auto'!BD16</f>
        <v>0</v>
      </c>
      <c r="BE36" s="67">
        <f>BD36+'Commandes - Calculs auto'!BE36-'Commandes - Calculs auto'!BE16</f>
        <v>0</v>
      </c>
      <c r="BF36" s="67">
        <f>BE36+'Commandes - Calculs auto'!BF36-'Commandes - Calculs auto'!BF16</f>
        <v>0</v>
      </c>
      <c r="BG36" s="67">
        <f>BF36+'Commandes - Calculs auto'!BG36-'Commandes - Calculs auto'!BG16</f>
        <v>0</v>
      </c>
      <c r="BH36" s="67">
        <f>BG36+'Commandes - Calculs auto'!BH36-'Commandes - Calculs auto'!BH16</f>
        <v>0</v>
      </c>
      <c r="BI36" s="67">
        <f>BH36+'Commandes - Calculs auto'!BI36-'Commandes - Calculs auto'!BI16</f>
        <v>0</v>
      </c>
      <c r="BJ36" s="67">
        <f>BI36+'Commandes - Calculs auto'!BJ36-'Commandes - Calculs auto'!BJ16</f>
        <v>0</v>
      </c>
      <c r="BK36" s="70"/>
    </row>
    <row r="37" spans="2:63" ht="15" customHeight="1" x14ac:dyDescent="0.2">
      <c r="B37" s="46">
        <f>Config!$B$22</f>
        <v>0</v>
      </c>
      <c r="C37" s="67">
        <f>'Commandes - Calculs auto'!C37-'Commandes - Calculs auto'!C17</f>
        <v>0</v>
      </c>
      <c r="D37" s="67">
        <f>C37+'Commandes - Calculs auto'!D37-'Commandes - Calculs auto'!D17</f>
        <v>0</v>
      </c>
      <c r="E37" s="67">
        <f>D37+'Commandes - Calculs auto'!E37-'Commandes - Calculs auto'!E17</f>
        <v>0</v>
      </c>
      <c r="F37" s="67">
        <f>E37+'Commandes - Calculs auto'!F37-'Commandes - Calculs auto'!F17</f>
        <v>0</v>
      </c>
      <c r="G37" s="67">
        <f>F37+'Commandes - Calculs auto'!G37-'Commandes - Calculs auto'!G17</f>
        <v>0</v>
      </c>
      <c r="H37" s="67">
        <f>G37+'Commandes - Calculs auto'!H37-'Commandes - Calculs auto'!H17</f>
        <v>0</v>
      </c>
      <c r="I37" s="67">
        <f>H37+'Commandes - Calculs auto'!I37-'Commandes - Calculs auto'!I17</f>
        <v>0</v>
      </c>
      <c r="J37" s="67">
        <f>I37+'Commandes - Calculs auto'!J37-'Commandes - Calculs auto'!J17</f>
        <v>0</v>
      </c>
      <c r="K37" s="67">
        <f>J37+'Commandes - Calculs auto'!K37-'Commandes - Calculs auto'!K17</f>
        <v>0</v>
      </c>
      <c r="L37" s="67">
        <f>K37+'Commandes - Calculs auto'!L37-'Commandes - Calculs auto'!L17</f>
        <v>0</v>
      </c>
      <c r="M37" s="67">
        <f>L37+'Commandes - Calculs auto'!M37-'Commandes - Calculs auto'!M17</f>
        <v>0</v>
      </c>
      <c r="N37" s="67">
        <f>M37+'Commandes - Calculs auto'!N37-'Commandes - Calculs auto'!N17</f>
        <v>0</v>
      </c>
      <c r="O37" s="67">
        <f>N37+'Commandes - Calculs auto'!O37-'Commandes - Calculs auto'!O17</f>
        <v>0</v>
      </c>
      <c r="P37" s="67">
        <f>O37+'Commandes - Calculs auto'!P37-'Commandes - Calculs auto'!P17</f>
        <v>0</v>
      </c>
      <c r="Q37" s="67">
        <f>P37+'Commandes - Calculs auto'!Q37-'Commandes - Calculs auto'!Q17</f>
        <v>0</v>
      </c>
      <c r="R37" s="67">
        <f>Q37+'Commandes - Calculs auto'!R37-'Commandes - Calculs auto'!R17</f>
        <v>0</v>
      </c>
      <c r="S37" s="67">
        <f>R37+'Commandes - Calculs auto'!S37-'Commandes - Calculs auto'!S17</f>
        <v>0</v>
      </c>
      <c r="T37" s="67">
        <f>S37+'Commandes - Calculs auto'!T37-'Commandes - Calculs auto'!T17</f>
        <v>0</v>
      </c>
      <c r="U37" s="67">
        <f>T37+'Commandes - Calculs auto'!U37-'Commandes - Calculs auto'!U17</f>
        <v>0</v>
      </c>
      <c r="V37" s="67">
        <f>U37+'Commandes - Calculs auto'!V37-'Commandes - Calculs auto'!V17</f>
        <v>0</v>
      </c>
      <c r="W37" s="67">
        <f>V37+'Commandes - Calculs auto'!W37-'Commandes - Calculs auto'!W17</f>
        <v>0</v>
      </c>
      <c r="X37" s="67">
        <f>W37+'Commandes - Calculs auto'!X37-'Commandes - Calculs auto'!X17</f>
        <v>0</v>
      </c>
      <c r="Y37" s="67">
        <f>X37+'Commandes - Calculs auto'!Y37-'Commandes - Calculs auto'!Y17</f>
        <v>0</v>
      </c>
      <c r="Z37" s="67">
        <f>Y37+'Commandes - Calculs auto'!Z37-'Commandes - Calculs auto'!Z17</f>
        <v>0</v>
      </c>
      <c r="AA37" s="67">
        <f>Z37+'Commandes - Calculs auto'!AA37-'Commandes - Calculs auto'!AA17</f>
        <v>0</v>
      </c>
      <c r="AB37" s="67">
        <f>AA37+'Commandes - Calculs auto'!AB37-'Commandes - Calculs auto'!AB17</f>
        <v>0</v>
      </c>
      <c r="AC37" s="67">
        <f>AB37+'Commandes - Calculs auto'!AC37-'Commandes - Calculs auto'!AC17</f>
        <v>0</v>
      </c>
      <c r="AD37" s="67">
        <f>AC37+'Commandes - Calculs auto'!AD37-'Commandes - Calculs auto'!AD17</f>
        <v>0</v>
      </c>
      <c r="AE37" s="67">
        <f>AD37+'Commandes - Calculs auto'!AE37-'Commandes - Calculs auto'!AE17</f>
        <v>0</v>
      </c>
      <c r="AF37" s="67">
        <f>AE37+'Commandes - Calculs auto'!AF37-'Commandes - Calculs auto'!AF17</f>
        <v>0</v>
      </c>
      <c r="AG37" s="67">
        <f>AF37+'Commandes - Calculs auto'!AG37-'Commandes - Calculs auto'!AG17</f>
        <v>0</v>
      </c>
      <c r="AH37" s="67">
        <f>AG37+'Commandes - Calculs auto'!AH37-'Commandes - Calculs auto'!AH17</f>
        <v>0</v>
      </c>
      <c r="AI37" s="67">
        <f>AH37+'Commandes - Calculs auto'!AI37-'Commandes - Calculs auto'!AI17</f>
        <v>0</v>
      </c>
      <c r="AJ37" s="67">
        <f>AI37+'Commandes - Calculs auto'!AJ37-'Commandes - Calculs auto'!AJ17</f>
        <v>0</v>
      </c>
      <c r="AK37" s="67">
        <f>AJ37+'Commandes - Calculs auto'!AK37-'Commandes - Calculs auto'!AK17</f>
        <v>0</v>
      </c>
      <c r="AL37" s="67">
        <f>AK37+'Commandes - Calculs auto'!AL37-'Commandes - Calculs auto'!AL17</f>
        <v>0</v>
      </c>
      <c r="AM37" s="67">
        <f>AL37+'Commandes - Calculs auto'!AM37-'Commandes - Calculs auto'!AM17</f>
        <v>0</v>
      </c>
      <c r="AN37" s="67">
        <f>AM37+'Commandes - Calculs auto'!AN37-'Commandes - Calculs auto'!AN17</f>
        <v>0</v>
      </c>
      <c r="AO37" s="67">
        <f>AN37+'Commandes - Calculs auto'!AO37-'Commandes - Calculs auto'!AO17</f>
        <v>0</v>
      </c>
      <c r="AP37" s="67">
        <f>AO37+'Commandes - Calculs auto'!AP37-'Commandes - Calculs auto'!AP17</f>
        <v>0</v>
      </c>
      <c r="AQ37" s="67">
        <f>AP37+'Commandes - Calculs auto'!AQ37-'Commandes - Calculs auto'!AQ17</f>
        <v>0</v>
      </c>
      <c r="AR37" s="67">
        <f>AQ37+'Commandes - Calculs auto'!AR37-'Commandes - Calculs auto'!AR17</f>
        <v>0</v>
      </c>
      <c r="AS37" s="67">
        <f>AR37+'Commandes - Calculs auto'!AS37-'Commandes - Calculs auto'!AS17</f>
        <v>0</v>
      </c>
      <c r="AT37" s="67">
        <f>AS37+'Commandes - Calculs auto'!AT37-'Commandes - Calculs auto'!AT17</f>
        <v>0</v>
      </c>
      <c r="AU37" s="67">
        <f>AT37+'Commandes - Calculs auto'!AU37-'Commandes - Calculs auto'!AU17</f>
        <v>0</v>
      </c>
      <c r="AV37" s="67">
        <f>AU37+'Commandes - Calculs auto'!AV37-'Commandes - Calculs auto'!AV17</f>
        <v>0</v>
      </c>
      <c r="AW37" s="67">
        <f>AV37+'Commandes - Calculs auto'!AW37-'Commandes - Calculs auto'!AW17</f>
        <v>0</v>
      </c>
      <c r="AX37" s="67">
        <f>AW37+'Commandes - Calculs auto'!AX37-'Commandes - Calculs auto'!AX17</f>
        <v>0</v>
      </c>
      <c r="AY37" s="67">
        <f>AX37+'Commandes - Calculs auto'!AY37-'Commandes - Calculs auto'!AY17</f>
        <v>0</v>
      </c>
      <c r="AZ37" s="67">
        <f>AY37+'Commandes - Calculs auto'!AZ37-'Commandes - Calculs auto'!AZ17</f>
        <v>0</v>
      </c>
      <c r="BA37" s="67">
        <f>AZ37+'Commandes - Calculs auto'!BA37-'Commandes - Calculs auto'!BA17</f>
        <v>0</v>
      </c>
      <c r="BB37" s="67">
        <f>BA37+'Commandes - Calculs auto'!BB37-'Commandes - Calculs auto'!BB17</f>
        <v>0</v>
      </c>
      <c r="BC37" s="67">
        <f>BB37+'Commandes - Calculs auto'!BC37-'Commandes - Calculs auto'!BC17</f>
        <v>0</v>
      </c>
      <c r="BD37" s="67">
        <f>BC37+'Commandes - Calculs auto'!BD37-'Commandes - Calculs auto'!BD17</f>
        <v>0</v>
      </c>
      <c r="BE37" s="67">
        <f>BD37+'Commandes - Calculs auto'!BE37-'Commandes - Calculs auto'!BE17</f>
        <v>0</v>
      </c>
      <c r="BF37" s="67">
        <f>BE37+'Commandes - Calculs auto'!BF37-'Commandes - Calculs auto'!BF17</f>
        <v>0</v>
      </c>
      <c r="BG37" s="67">
        <f>BF37+'Commandes - Calculs auto'!BG37-'Commandes - Calculs auto'!BG17</f>
        <v>0</v>
      </c>
      <c r="BH37" s="67">
        <f>BG37+'Commandes - Calculs auto'!BH37-'Commandes - Calculs auto'!BH17</f>
        <v>0</v>
      </c>
      <c r="BI37" s="67">
        <f>BH37+'Commandes - Calculs auto'!BI37-'Commandes - Calculs auto'!BI17</f>
        <v>0</v>
      </c>
      <c r="BJ37" s="67">
        <f>BI37+'Commandes - Calculs auto'!BJ37-'Commandes - Calculs auto'!BJ17</f>
        <v>0</v>
      </c>
      <c r="BK37" s="70"/>
    </row>
    <row r="38" spans="2:63" ht="15" customHeight="1" x14ac:dyDescent="0.2">
      <c r="B38" s="46">
        <f>Config!$B$23</f>
        <v>0</v>
      </c>
      <c r="C38" s="67">
        <f>'Commandes - Calculs auto'!C38-'Commandes - Calculs auto'!C18</f>
        <v>0</v>
      </c>
      <c r="D38" s="67">
        <f>C38+'Commandes - Calculs auto'!D38-'Commandes - Calculs auto'!D18</f>
        <v>0</v>
      </c>
      <c r="E38" s="67">
        <f>D38+'Commandes - Calculs auto'!E38-'Commandes - Calculs auto'!E18</f>
        <v>0</v>
      </c>
      <c r="F38" s="67">
        <f>E38+'Commandes - Calculs auto'!F38-'Commandes - Calculs auto'!F18</f>
        <v>0</v>
      </c>
      <c r="G38" s="67">
        <f>F38+'Commandes - Calculs auto'!G38-'Commandes - Calculs auto'!G18</f>
        <v>0</v>
      </c>
      <c r="H38" s="67">
        <f>G38+'Commandes - Calculs auto'!H38-'Commandes - Calculs auto'!H18</f>
        <v>0</v>
      </c>
      <c r="I38" s="67">
        <f>H38+'Commandes - Calculs auto'!I38-'Commandes - Calculs auto'!I18</f>
        <v>0</v>
      </c>
      <c r="J38" s="67">
        <f>I38+'Commandes - Calculs auto'!J38-'Commandes - Calculs auto'!J18</f>
        <v>0</v>
      </c>
      <c r="K38" s="67">
        <f>J38+'Commandes - Calculs auto'!K38-'Commandes - Calculs auto'!K18</f>
        <v>0</v>
      </c>
      <c r="L38" s="67">
        <f>K38+'Commandes - Calculs auto'!L38-'Commandes - Calculs auto'!L18</f>
        <v>0</v>
      </c>
      <c r="M38" s="67">
        <f>L38+'Commandes - Calculs auto'!M38-'Commandes - Calculs auto'!M18</f>
        <v>0</v>
      </c>
      <c r="N38" s="67">
        <f>M38+'Commandes - Calculs auto'!N38-'Commandes - Calculs auto'!N18</f>
        <v>0</v>
      </c>
      <c r="O38" s="67">
        <f>N38+'Commandes - Calculs auto'!O38-'Commandes - Calculs auto'!O18</f>
        <v>0</v>
      </c>
      <c r="P38" s="67">
        <f>O38+'Commandes - Calculs auto'!P38-'Commandes - Calculs auto'!P18</f>
        <v>0</v>
      </c>
      <c r="Q38" s="67">
        <f>P38+'Commandes - Calculs auto'!Q38-'Commandes - Calculs auto'!Q18</f>
        <v>0</v>
      </c>
      <c r="R38" s="67">
        <f>Q38+'Commandes - Calculs auto'!R38-'Commandes - Calculs auto'!R18</f>
        <v>0</v>
      </c>
      <c r="S38" s="67">
        <f>R38+'Commandes - Calculs auto'!S38-'Commandes - Calculs auto'!S18</f>
        <v>0</v>
      </c>
      <c r="T38" s="67">
        <f>S38+'Commandes - Calculs auto'!T38-'Commandes - Calculs auto'!T18</f>
        <v>0</v>
      </c>
      <c r="U38" s="67">
        <f>T38+'Commandes - Calculs auto'!U38-'Commandes - Calculs auto'!U18</f>
        <v>0</v>
      </c>
      <c r="V38" s="67">
        <f>U38+'Commandes - Calculs auto'!V38-'Commandes - Calculs auto'!V18</f>
        <v>0</v>
      </c>
      <c r="W38" s="67">
        <f>V38+'Commandes - Calculs auto'!W38-'Commandes - Calculs auto'!W18</f>
        <v>0</v>
      </c>
      <c r="X38" s="67">
        <f>W38+'Commandes - Calculs auto'!X38-'Commandes - Calculs auto'!X18</f>
        <v>0</v>
      </c>
      <c r="Y38" s="67">
        <f>X38+'Commandes - Calculs auto'!Y38-'Commandes - Calculs auto'!Y18</f>
        <v>0</v>
      </c>
      <c r="Z38" s="67">
        <f>Y38+'Commandes - Calculs auto'!Z38-'Commandes - Calculs auto'!Z18</f>
        <v>0</v>
      </c>
      <c r="AA38" s="67">
        <f>Z38+'Commandes - Calculs auto'!AA38-'Commandes - Calculs auto'!AA18</f>
        <v>0</v>
      </c>
      <c r="AB38" s="67">
        <f>AA38+'Commandes - Calculs auto'!AB38-'Commandes - Calculs auto'!AB18</f>
        <v>0</v>
      </c>
      <c r="AC38" s="67">
        <f>AB38+'Commandes - Calculs auto'!AC38-'Commandes - Calculs auto'!AC18</f>
        <v>0</v>
      </c>
      <c r="AD38" s="67">
        <f>AC38+'Commandes - Calculs auto'!AD38-'Commandes - Calculs auto'!AD18</f>
        <v>0</v>
      </c>
      <c r="AE38" s="67">
        <f>AD38+'Commandes - Calculs auto'!AE38-'Commandes - Calculs auto'!AE18</f>
        <v>0</v>
      </c>
      <c r="AF38" s="67">
        <f>AE38+'Commandes - Calculs auto'!AF38-'Commandes - Calculs auto'!AF18</f>
        <v>0</v>
      </c>
      <c r="AG38" s="67">
        <f>AF38+'Commandes - Calculs auto'!AG38-'Commandes - Calculs auto'!AG18</f>
        <v>0</v>
      </c>
      <c r="AH38" s="67">
        <f>AG38+'Commandes - Calculs auto'!AH38-'Commandes - Calculs auto'!AH18</f>
        <v>0</v>
      </c>
      <c r="AI38" s="67">
        <f>AH38+'Commandes - Calculs auto'!AI38-'Commandes - Calculs auto'!AI18</f>
        <v>0</v>
      </c>
      <c r="AJ38" s="67">
        <f>AI38+'Commandes - Calculs auto'!AJ38-'Commandes - Calculs auto'!AJ18</f>
        <v>0</v>
      </c>
      <c r="AK38" s="67">
        <f>AJ38+'Commandes - Calculs auto'!AK38-'Commandes - Calculs auto'!AK18</f>
        <v>0</v>
      </c>
      <c r="AL38" s="67">
        <f>AK38+'Commandes - Calculs auto'!AL38-'Commandes - Calculs auto'!AL18</f>
        <v>0</v>
      </c>
      <c r="AM38" s="67">
        <f>AL38+'Commandes - Calculs auto'!AM38-'Commandes - Calculs auto'!AM18</f>
        <v>0</v>
      </c>
      <c r="AN38" s="67">
        <f>AM38+'Commandes - Calculs auto'!AN38-'Commandes - Calculs auto'!AN18</f>
        <v>0</v>
      </c>
      <c r="AO38" s="67">
        <f>AN38+'Commandes - Calculs auto'!AO38-'Commandes - Calculs auto'!AO18</f>
        <v>0</v>
      </c>
      <c r="AP38" s="67">
        <f>AO38+'Commandes - Calculs auto'!AP38-'Commandes - Calculs auto'!AP18</f>
        <v>0</v>
      </c>
      <c r="AQ38" s="67">
        <f>AP38+'Commandes - Calculs auto'!AQ38-'Commandes - Calculs auto'!AQ18</f>
        <v>0</v>
      </c>
      <c r="AR38" s="67">
        <f>AQ38+'Commandes - Calculs auto'!AR38-'Commandes - Calculs auto'!AR18</f>
        <v>0</v>
      </c>
      <c r="AS38" s="67">
        <f>AR38+'Commandes - Calculs auto'!AS38-'Commandes - Calculs auto'!AS18</f>
        <v>0</v>
      </c>
      <c r="AT38" s="67">
        <f>AS38+'Commandes - Calculs auto'!AT38-'Commandes - Calculs auto'!AT18</f>
        <v>0</v>
      </c>
      <c r="AU38" s="67">
        <f>AT38+'Commandes - Calculs auto'!AU38-'Commandes - Calculs auto'!AU18</f>
        <v>0</v>
      </c>
      <c r="AV38" s="67">
        <f>AU38+'Commandes - Calculs auto'!AV38-'Commandes - Calculs auto'!AV18</f>
        <v>0</v>
      </c>
      <c r="AW38" s="67">
        <f>AV38+'Commandes - Calculs auto'!AW38-'Commandes - Calculs auto'!AW18</f>
        <v>0</v>
      </c>
      <c r="AX38" s="67">
        <f>AW38+'Commandes - Calculs auto'!AX38-'Commandes - Calculs auto'!AX18</f>
        <v>0</v>
      </c>
      <c r="AY38" s="67">
        <f>AX38+'Commandes - Calculs auto'!AY38-'Commandes - Calculs auto'!AY18</f>
        <v>0</v>
      </c>
      <c r="AZ38" s="67">
        <f>AY38+'Commandes - Calculs auto'!AZ38-'Commandes - Calculs auto'!AZ18</f>
        <v>0</v>
      </c>
      <c r="BA38" s="67">
        <f>AZ38+'Commandes - Calculs auto'!BA38-'Commandes - Calculs auto'!BA18</f>
        <v>0</v>
      </c>
      <c r="BB38" s="67">
        <f>BA38+'Commandes - Calculs auto'!BB38-'Commandes - Calculs auto'!BB18</f>
        <v>0</v>
      </c>
      <c r="BC38" s="67">
        <f>BB38+'Commandes - Calculs auto'!BC38-'Commandes - Calculs auto'!BC18</f>
        <v>0</v>
      </c>
      <c r="BD38" s="67">
        <f>BC38+'Commandes - Calculs auto'!BD38-'Commandes - Calculs auto'!BD18</f>
        <v>0</v>
      </c>
      <c r="BE38" s="67">
        <f>BD38+'Commandes - Calculs auto'!BE38-'Commandes - Calculs auto'!BE18</f>
        <v>0</v>
      </c>
      <c r="BF38" s="67">
        <f>BE38+'Commandes - Calculs auto'!BF38-'Commandes - Calculs auto'!BF18</f>
        <v>0</v>
      </c>
      <c r="BG38" s="67">
        <f>BF38+'Commandes - Calculs auto'!BG38-'Commandes - Calculs auto'!BG18</f>
        <v>0</v>
      </c>
      <c r="BH38" s="67">
        <f>BG38+'Commandes - Calculs auto'!BH38-'Commandes - Calculs auto'!BH18</f>
        <v>0</v>
      </c>
      <c r="BI38" s="67">
        <f>BH38+'Commandes - Calculs auto'!BI38-'Commandes - Calculs auto'!BI18</f>
        <v>0</v>
      </c>
      <c r="BJ38" s="67">
        <f>BI38+'Commandes - Calculs auto'!BJ38-'Commandes - Calculs auto'!BJ18</f>
        <v>0</v>
      </c>
      <c r="BK38" s="70"/>
    </row>
    <row r="39" spans="2:63" ht="15" customHeight="1" x14ac:dyDescent="0.2">
      <c r="B39" s="46">
        <f>Config!$B$24</f>
        <v>0</v>
      </c>
      <c r="C39" s="67">
        <f>'Commandes - Calculs auto'!C39-'Commandes - Calculs auto'!C19</f>
        <v>0</v>
      </c>
      <c r="D39" s="67">
        <f>C39+'Commandes - Calculs auto'!D39-'Commandes - Calculs auto'!D19</f>
        <v>0</v>
      </c>
      <c r="E39" s="67">
        <f>D39+'Commandes - Calculs auto'!E39-'Commandes - Calculs auto'!E19</f>
        <v>0</v>
      </c>
      <c r="F39" s="67">
        <f>E39+'Commandes - Calculs auto'!F39-'Commandes - Calculs auto'!F19</f>
        <v>0</v>
      </c>
      <c r="G39" s="67">
        <f>F39+'Commandes - Calculs auto'!G39-'Commandes - Calculs auto'!G19</f>
        <v>0</v>
      </c>
      <c r="H39" s="67">
        <f>G39+'Commandes - Calculs auto'!H39-'Commandes - Calculs auto'!H19</f>
        <v>0</v>
      </c>
      <c r="I39" s="67">
        <f>H39+'Commandes - Calculs auto'!I39-'Commandes - Calculs auto'!I19</f>
        <v>0</v>
      </c>
      <c r="J39" s="67">
        <f>I39+'Commandes - Calculs auto'!J39-'Commandes - Calculs auto'!J19</f>
        <v>0</v>
      </c>
      <c r="K39" s="67">
        <f>J39+'Commandes - Calculs auto'!K39-'Commandes - Calculs auto'!K19</f>
        <v>0</v>
      </c>
      <c r="L39" s="67">
        <f>K39+'Commandes - Calculs auto'!L39-'Commandes - Calculs auto'!L19</f>
        <v>0</v>
      </c>
      <c r="M39" s="67">
        <f>L39+'Commandes - Calculs auto'!M39-'Commandes - Calculs auto'!M19</f>
        <v>0</v>
      </c>
      <c r="N39" s="67">
        <f>M39+'Commandes - Calculs auto'!N39-'Commandes - Calculs auto'!N19</f>
        <v>0</v>
      </c>
      <c r="O39" s="67">
        <f>N39+'Commandes - Calculs auto'!O39-'Commandes - Calculs auto'!O19</f>
        <v>0</v>
      </c>
      <c r="P39" s="67">
        <f>O39+'Commandes - Calculs auto'!P39-'Commandes - Calculs auto'!P19</f>
        <v>0</v>
      </c>
      <c r="Q39" s="67">
        <f>P39+'Commandes - Calculs auto'!Q39-'Commandes - Calculs auto'!Q19</f>
        <v>0</v>
      </c>
      <c r="R39" s="67">
        <f>Q39+'Commandes - Calculs auto'!R39-'Commandes - Calculs auto'!R19</f>
        <v>0</v>
      </c>
      <c r="S39" s="67">
        <f>R39+'Commandes - Calculs auto'!S39-'Commandes - Calculs auto'!S19</f>
        <v>0</v>
      </c>
      <c r="T39" s="67">
        <f>S39+'Commandes - Calculs auto'!T39-'Commandes - Calculs auto'!T19</f>
        <v>0</v>
      </c>
      <c r="U39" s="67">
        <f>T39+'Commandes - Calculs auto'!U39-'Commandes - Calculs auto'!U19</f>
        <v>0</v>
      </c>
      <c r="V39" s="67">
        <f>U39+'Commandes - Calculs auto'!V39-'Commandes - Calculs auto'!V19</f>
        <v>0</v>
      </c>
      <c r="W39" s="67">
        <f>V39+'Commandes - Calculs auto'!W39-'Commandes - Calculs auto'!W19</f>
        <v>0</v>
      </c>
      <c r="X39" s="67">
        <f>W39+'Commandes - Calculs auto'!X39-'Commandes - Calculs auto'!X19</f>
        <v>0</v>
      </c>
      <c r="Y39" s="67">
        <f>X39+'Commandes - Calculs auto'!Y39-'Commandes - Calculs auto'!Y19</f>
        <v>0</v>
      </c>
      <c r="Z39" s="67">
        <f>Y39+'Commandes - Calculs auto'!Z39-'Commandes - Calculs auto'!Z19</f>
        <v>0</v>
      </c>
      <c r="AA39" s="67">
        <f>Z39+'Commandes - Calculs auto'!AA39-'Commandes - Calculs auto'!AA19</f>
        <v>0</v>
      </c>
      <c r="AB39" s="67">
        <f>AA39+'Commandes - Calculs auto'!AB39-'Commandes - Calculs auto'!AB19</f>
        <v>0</v>
      </c>
      <c r="AC39" s="67">
        <f>AB39+'Commandes - Calculs auto'!AC39-'Commandes - Calculs auto'!AC19</f>
        <v>0</v>
      </c>
      <c r="AD39" s="67">
        <f>AC39+'Commandes - Calculs auto'!AD39-'Commandes - Calculs auto'!AD19</f>
        <v>0</v>
      </c>
      <c r="AE39" s="67">
        <f>AD39+'Commandes - Calculs auto'!AE39-'Commandes - Calculs auto'!AE19</f>
        <v>0</v>
      </c>
      <c r="AF39" s="67">
        <f>AE39+'Commandes - Calculs auto'!AF39-'Commandes - Calculs auto'!AF19</f>
        <v>0</v>
      </c>
      <c r="AG39" s="67">
        <f>AF39+'Commandes - Calculs auto'!AG39-'Commandes - Calculs auto'!AG19</f>
        <v>0</v>
      </c>
      <c r="AH39" s="67">
        <f>AG39+'Commandes - Calculs auto'!AH39-'Commandes - Calculs auto'!AH19</f>
        <v>0</v>
      </c>
      <c r="AI39" s="67">
        <f>AH39+'Commandes - Calculs auto'!AI39-'Commandes - Calculs auto'!AI19</f>
        <v>0</v>
      </c>
      <c r="AJ39" s="67">
        <f>AI39+'Commandes - Calculs auto'!AJ39-'Commandes - Calculs auto'!AJ19</f>
        <v>0</v>
      </c>
      <c r="AK39" s="67">
        <f>AJ39+'Commandes - Calculs auto'!AK39-'Commandes - Calculs auto'!AK19</f>
        <v>0</v>
      </c>
      <c r="AL39" s="67">
        <f>AK39+'Commandes - Calculs auto'!AL39-'Commandes - Calculs auto'!AL19</f>
        <v>0</v>
      </c>
      <c r="AM39" s="67">
        <f>AL39+'Commandes - Calculs auto'!AM39-'Commandes - Calculs auto'!AM19</f>
        <v>0</v>
      </c>
      <c r="AN39" s="67">
        <f>AM39+'Commandes - Calculs auto'!AN39-'Commandes - Calculs auto'!AN19</f>
        <v>0</v>
      </c>
      <c r="AO39" s="67">
        <f>AN39+'Commandes - Calculs auto'!AO39-'Commandes - Calculs auto'!AO19</f>
        <v>0</v>
      </c>
      <c r="AP39" s="67">
        <f>AO39+'Commandes - Calculs auto'!AP39-'Commandes - Calculs auto'!AP19</f>
        <v>0</v>
      </c>
      <c r="AQ39" s="67">
        <f>AP39+'Commandes - Calculs auto'!AQ39-'Commandes - Calculs auto'!AQ19</f>
        <v>0</v>
      </c>
      <c r="AR39" s="67">
        <f>AQ39+'Commandes - Calculs auto'!AR39-'Commandes - Calculs auto'!AR19</f>
        <v>0</v>
      </c>
      <c r="AS39" s="67">
        <f>AR39+'Commandes - Calculs auto'!AS39-'Commandes - Calculs auto'!AS19</f>
        <v>0</v>
      </c>
      <c r="AT39" s="67">
        <f>AS39+'Commandes - Calculs auto'!AT39-'Commandes - Calculs auto'!AT19</f>
        <v>0</v>
      </c>
      <c r="AU39" s="67">
        <f>AT39+'Commandes - Calculs auto'!AU39-'Commandes - Calculs auto'!AU19</f>
        <v>0</v>
      </c>
      <c r="AV39" s="67">
        <f>AU39+'Commandes - Calculs auto'!AV39-'Commandes - Calculs auto'!AV19</f>
        <v>0</v>
      </c>
      <c r="AW39" s="67">
        <f>AV39+'Commandes - Calculs auto'!AW39-'Commandes - Calculs auto'!AW19</f>
        <v>0</v>
      </c>
      <c r="AX39" s="67">
        <f>AW39+'Commandes - Calculs auto'!AX39-'Commandes - Calculs auto'!AX19</f>
        <v>0</v>
      </c>
      <c r="AY39" s="67">
        <f>AX39+'Commandes - Calculs auto'!AY39-'Commandes - Calculs auto'!AY19</f>
        <v>0</v>
      </c>
      <c r="AZ39" s="67">
        <f>AY39+'Commandes - Calculs auto'!AZ39-'Commandes - Calculs auto'!AZ19</f>
        <v>0</v>
      </c>
      <c r="BA39" s="67">
        <f>AZ39+'Commandes - Calculs auto'!BA39-'Commandes - Calculs auto'!BA19</f>
        <v>0</v>
      </c>
      <c r="BB39" s="67">
        <f>BA39+'Commandes - Calculs auto'!BB39-'Commandes - Calculs auto'!BB19</f>
        <v>0</v>
      </c>
      <c r="BC39" s="67">
        <f>BB39+'Commandes - Calculs auto'!BC39-'Commandes - Calculs auto'!BC19</f>
        <v>0</v>
      </c>
      <c r="BD39" s="67">
        <f>BC39+'Commandes - Calculs auto'!BD39-'Commandes - Calculs auto'!BD19</f>
        <v>0</v>
      </c>
      <c r="BE39" s="67">
        <f>BD39+'Commandes - Calculs auto'!BE39-'Commandes - Calculs auto'!BE19</f>
        <v>0</v>
      </c>
      <c r="BF39" s="67">
        <f>BE39+'Commandes - Calculs auto'!BF39-'Commandes - Calculs auto'!BF19</f>
        <v>0</v>
      </c>
      <c r="BG39" s="67">
        <f>BF39+'Commandes - Calculs auto'!BG39-'Commandes - Calculs auto'!BG19</f>
        <v>0</v>
      </c>
      <c r="BH39" s="67">
        <f>BG39+'Commandes - Calculs auto'!BH39-'Commandes - Calculs auto'!BH19</f>
        <v>0</v>
      </c>
      <c r="BI39" s="67">
        <f>BH39+'Commandes - Calculs auto'!BI39-'Commandes - Calculs auto'!BI19</f>
        <v>0</v>
      </c>
      <c r="BJ39" s="67">
        <f>BI39+'Commandes - Calculs auto'!BJ39-'Commandes - Calculs auto'!BJ19</f>
        <v>0</v>
      </c>
      <c r="BK39" s="70"/>
    </row>
    <row r="40" spans="2:63" ht="15" customHeight="1" x14ac:dyDescent="0.2">
      <c r="B40" s="46">
        <f>Config!$B$25</f>
        <v>0</v>
      </c>
      <c r="C40" s="67">
        <f>'Commandes - Calculs auto'!C40-'Commandes - Calculs auto'!C20</f>
        <v>0</v>
      </c>
      <c r="D40" s="67">
        <f>C40+'Commandes - Calculs auto'!D40-'Commandes - Calculs auto'!D20</f>
        <v>0</v>
      </c>
      <c r="E40" s="67">
        <f>D40+'Commandes - Calculs auto'!E40-'Commandes - Calculs auto'!E20</f>
        <v>0</v>
      </c>
      <c r="F40" s="67">
        <f>E40+'Commandes - Calculs auto'!F40-'Commandes - Calculs auto'!F20</f>
        <v>0</v>
      </c>
      <c r="G40" s="67">
        <f>F40+'Commandes - Calculs auto'!G40-'Commandes - Calculs auto'!G20</f>
        <v>0</v>
      </c>
      <c r="H40" s="67">
        <f>G40+'Commandes - Calculs auto'!H40-'Commandes - Calculs auto'!H20</f>
        <v>0</v>
      </c>
      <c r="I40" s="67">
        <f>H40+'Commandes - Calculs auto'!I40-'Commandes - Calculs auto'!I20</f>
        <v>0</v>
      </c>
      <c r="J40" s="67">
        <f>I40+'Commandes - Calculs auto'!J40-'Commandes - Calculs auto'!J20</f>
        <v>0</v>
      </c>
      <c r="K40" s="67">
        <f>J40+'Commandes - Calculs auto'!K40-'Commandes - Calculs auto'!K20</f>
        <v>0</v>
      </c>
      <c r="L40" s="67">
        <f>K40+'Commandes - Calculs auto'!L40-'Commandes - Calculs auto'!L20</f>
        <v>0</v>
      </c>
      <c r="M40" s="67">
        <f>L40+'Commandes - Calculs auto'!M40-'Commandes - Calculs auto'!M20</f>
        <v>0</v>
      </c>
      <c r="N40" s="67">
        <f>M40+'Commandes - Calculs auto'!N40-'Commandes - Calculs auto'!N20</f>
        <v>0</v>
      </c>
      <c r="O40" s="67">
        <f>N40+'Commandes - Calculs auto'!O40-'Commandes - Calculs auto'!O20</f>
        <v>0</v>
      </c>
      <c r="P40" s="67">
        <f>O40+'Commandes - Calculs auto'!P40-'Commandes - Calculs auto'!P20</f>
        <v>0</v>
      </c>
      <c r="Q40" s="67">
        <f>P40+'Commandes - Calculs auto'!Q40-'Commandes - Calculs auto'!Q20</f>
        <v>0</v>
      </c>
      <c r="R40" s="67">
        <f>Q40+'Commandes - Calculs auto'!R40-'Commandes - Calculs auto'!R20</f>
        <v>0</v>
      </c>
      <c r="S40" s="67">
        <f>R40+'Commandes - Calculs auto'!S40-'Commandes - Calculs auto'!S20</f>
        <v>0</v>
      </c>
      <c r="T40" s="67">
        <f>S40+'Commandes - Calculs auto'!T40-'Commandes - Calculs auto'!T20</f>
        <v>0</v>
      </c>
      <c r="U40" s="67">
        <f>T40+'Commandes - Calculs auto'!U40-'Commandes - Calculs auto'!U20</f>
        <v>0</v>
      </c>
      <c r="V40" s="67">
        <f>U40+'Commandes - Calculs auto'!V40-'Commandes - Calculs auto'!V20</f>
        <v>0</v>
      </c>
      <c r="W40" s="67">
        <f>V40+'Commandes - Calculs auto'!W40-'Commandes - Calculs auto'!W20</f>
        <v>0</v>
      </c>
      <c r="X40" s="67">
        <f>W40+'Commandes - Calculs auto'!X40-'Commandes - Calculs auto'!X20</f>
        <v>0</v>
      </c>
      <c r="Y40" s="67">
        <f>X40+'Commandes - Calculs auto'!Y40-'Commandes - Calculs auto'!Y20</f>
        <v>0</v>
      </c>
      <c r="Z40" s="67">
        <f>Y40+'Commandes - Calculs auto'!Z40-'Commandes - Calculs auto'!Z20</f>
        <v>0</v>
      </c>
      <c r="AA40" s="67">
        <f>Z40+'Commandes - Calculs auto'!AA40-'Commandes - Calculs auto'!AA20</f>
        <v>0</v>
      </c>
      <c r="AB40" s="67">
        <f>AA40+'Commandes - Calculs auto'!AB40-'Commandes - Calculs auto'!AB20</f>
        <v>0</v>
      </c>
      <c r="AC40" s="67">
        <f>AB40+'Commandes - Calculs auto'!AC40-'Commandes - Calculs auto'!AC20</f>
        <v>0</v>
      </c>
      <c r="AD40" s="67">
        <f>AC40+'Commandes - Calculs auto'!AD40-'Commandes - Calculs auto'!AD20</f>
        <v>0</v>
      </c>
      <c r="AE40" s="67">
        <f>AD40+'Commandes - Calculs auto'!AE40-'Commandes - Calculs auto'!AE20</f>
        <v>0</v>
      </c>
      <c r="AF40" s="67">
        <f>AE40+'Commandes - Calculs auto'!AF40-'Commandes - Calculs auto'!AF20</f>
        <v>0</v>
      </c>
      <c r="AG40" s="67">
        <f>AF40+'Commandes - Calculs auto'!AG40-'Commandes - Calculs auto'!AG20</f>
        <v>0</v>
      </c>
      <c r="AH40" s="67">
        <f>AG40+'Commandes - Calculs auto'!AH40-'Commandes - Calculs auto'!AH20</f>
        <v>0</v>
      </c>
      <c r="AI40" s="67">
        <f>AH40+'Commandes - Calculs auto'!AI40-'Commandes - Calculs auto'!AI20</f>
        <v>0</v>
      </c>
      <c r="AJ40" s="67">
        <f>AI40+'Commandes - Calculs auto'!AJ40-'Commandes - Calculs auto'!AJ20</f>
        <v>0</v>
      </c>
      <c r="AK40" s="67">
        <f>AJ40+'Commandes - Calculs auto'!AK40-'Commandes - Calculs auto'!AK20</f>
        <v>0</v>
      </c>
      <c r="AL40" s="67">
        <f>AK40+'Commandes - Calculs auto'!AL40-'Commandes - Calculs auto'!AL20</f>
        <v>0</v>
      </c>
      <c r="AM40" s="67">
        <f>AL40+'Commandes - Calculs auto'!AM40-'Commandes - Calculs auto'!AM20</f>
        <v>0</v>
      </c>
      <c r="AN40" s="67">
        <f>AM40+'Commandes - Calculs auto'!AN40-'Commandes - Calculs auto'!AN20</f>
        <v>0</v>
      </c>
      <c r="AO40" s="67">
        <f>AN40+'Commandes - Calculs auto'!AO40-'Commandes - Calculs auto'!AO20</f>
        <v>0</v>
      </c>
      <c r="AP40" s="67">
        <f>AO40+'Commandes - Calculs auto'!AP40-'Commandes - Calculs auto'!AP20</f>
        <v>0</v>
      </c>
      <c r="AQ40" s="67">
        <f>AP40+'Commandes - Calculs auto'!AQ40-'Commandes - Calculs auto'!AQ20</f>
        <v>0</v>
      </c>
      <c r="AR40" s="67">
        <f>AQ40+'Commandes - Calculs auto'!AR40-'Commandes - Calculs auto'!AR20</f>
        <v>0</v>
      </c>
      <c r="AS40" s="67">
        <f>AR40+'Commandes - Calculs auto'!AS40-'Commandes - Calculs auto'!AS20</f>
        <v>0</v>
      </c>
      <c r="AT40" s="67">
        <f>AS40+'Commandes - Calculs auto'!AT40-'Commandes - Calculs auto'!AT20</f>
        <v>0</v>
      </c>
      <c r="AU40" s="67">
        <f>AT40+'Commandes - Calculs auto'!AU40-'Commandes - Calculs auto'!AU20</f>
        <v>0</v>
      </c>
      <c r="AV40" s="67">
        <f>AU40+'Commandes - Calculs auto'!AV40-'Commandes - Calculs auto'!AV20</f>
        <v>0</v>
      </c>
      <c r="AW40" s="67">
        <f>AV40+'Commandes - Calculs auto'!AW40-'Commandes - Calculs auto'!AW20</f>
        <v>0</v>
      </c>
      <c r="AX40" s="67">
        <f>AW40+'Commandes - Calculs auto'!AX40-'Commandes - Calculs auto'!AX20</f>
        <v>0</v>
      </c>
      <c r="AY40" s="67">
        <f>AX40+'Commandes - Calculs auto'!AY40-'Commandes - Calculs auto'!AY20</f>
        <v>0</v>
      </c>
      <c r="AZ40" s="67">
        <f>AY40+'Commandes - Calculs auto'!AZ40-'Commandes - Calculs auto'!AZ20</f>
        <v>0</v>
      </c>
      <c r="BA40" s="67">
        <f>AZ40+'Commandes - Calculs auto'!BA40-'Commandes - Calculs auto'!BA20</f>
        <v>0</v>
      </c>
      <c r="BB40" s="67">
        <f>BA40+'Commandes - Calculs auto'!BB40-'Commandes - Calculs auto'!BB20</f>
        <v>0</v>
      </c>
      <c r="BC40" s="67">
        <f>BB40+'Commandes - Calculs auto'!BC40-'Commandes - Calculs auto'!BC20</f>
        <v>0</v>
      </c>
      <c r="BD40" s="67">
        <f>BC40+'Commandes - Calculs auto'!BD40-'Commandes - Calculs auto'!BD20</f>
        <v>0</v>
      </c>
      <c r="BE40" s="67">
        <f>BD40+'Commandes - Calculs auto'!BE40-'Commandes - Calculs auto'!BE20</f>
        <v>0</v>
      </c>
      <c r="BF40" s="67">
        <f>BE40+'Commandes - Calculs auto'!BF40-'Commandes - Calculs auto'!BF20</f>
        <v>0</v>
      </c>
      <c r="BG40" s="67">
        <f>BF40+'Commandes - Calculs auto'!BG40-'Commandes - Calculs auto'!BG20</f>
        <v>0</v>
      </c>
      <c r="BH40" s="67">
        <f>BG40+'Commandes - Calculs auto'!BH40-'Commandes - Calculs auto'!BH20</f>
        <v>0</v>
      </c>
      <c r="BI40" s="67">
        <f>BH40+'Commandes - Calculs auto'!BI40-'Commandes - Calculs auto'!BI20</f>
        <v>0</v>
      </c>
      <c r="BJ40" s="67">
        <f>BI40+'Commandes - Calculs auto'!BJ40-'Commandes - Calculs auto'!BJ20</f>
        <v>0</v>
      </c>
      <c r="BK40" s="70"/>
    </row>
    <row r="41" spans="2:63" ht="15" customHeight="1" x14ac:dyDescent="0.2">
      <c r="B41" s="115"/>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row>
    <row r="42" spans="2:63" ht="15" customHeight="1" x14ac:dyDescent="0.2">
      <c r="B42" s="144" t="s">
        <v>97</v>
      </c>
      <c r="C42" s="67">
        <f t="shared" ref="C42:AH42" si="4">SUM(C29:C40)</f>
        <v>0</v>
      </c>
      <c r="D42" s="67">
        <f t="shared" si="4"/>
        <v>0</v>
      </c>
      <c r="E42" s="67">
        <f t="shared" si="4"/>
        <v>0</v>
      </c>
      <c r="F42" s="67">
        <f t="shared" si="4"/>
        <v>0</v>
      </c>
      <c r="G42" s="67">
        <f t="shared" si="4"/>
        <v>0</v>
      </c>
      <c r="H42" s="67">
        <f t="shared" si="4"/>
        <v>0</v>
      </c>
      <c r="I42" s="67">
        <f t="shared" si="4"/>
        <v>0</v>
      </c>
      <c r="J42" s="67">
        <f t="shared" si="4"/>
        <v>0</v>
      </c>
      <c r="K42" s="67">
        <f t="shared" si="4"/>
        <v>0</v>
      </c>
      <c r="L42" s="67">
        <f t="shared" si="4"/>
        <v>0</v>
      </c>
      <c r="M42" s="67">
        <f t="shared" si="4"/>
        <v>0</v>
      </c>
      <c r="N42" s="67">
        <f t="shared" si="4"/>
        <v>0</v>
      </c>
      <c r="O42" s="67">
        <f t="shared" si="4"/>
        <v>0</v>
      </c>
      <c r="P42" s="67">
        <f t="shared" si="4"/>
        <v>0</v>
      </c>
      <c r="Q42" s="67">
        <f t="shared" si="4"/>
        <v>0</v>
      </c>
      <c r="R42" s="67">
        <f t="shared" si="4"/>
        <v>0</v>
      </c>
      <c r="S42" s="67">
        <f t="shared" si="4"/>
        <v>0</v>
      </c>
      <c r="T42" s="67">
        <f t="shared" si="4"/>
        <v>0</v>
      </c>
      <c r="U42" s="67">
        <f t="shared" si="4"/>
        <v>0</v>
      </c>
      <c r="V42" s="67">
        <f t="shared" si="4"/>
        <v>0</v>
      </c>
      <c r="W42" s="67">
        <f t="shared" si="4"/>
        <v>0</v>
      </c>
      <c r="X42" s="67">
        <f t="shared" si="4"/>
        <v>0</v>
      </c>
      <c r="Y42" s="67">
        <f t="shared" si="4"/>
        <v>0</v>
      </c>
      <c r="Z42" s="67">
        <f t="shared" si="4"/>
        <v>0</v>
      </c>
      <c r="AA42" s="67">
        <f t="shared" si="4"/>
        <v>0</v>
      </c>
      <c r="AB42" s="67">
        <f t="shared" si="4"/>
        <v>0</v>
      </c>
      <c r="AC42" s="67">
        <f t="shared" si="4"/>
        <v>0</v>
      </c>
      <c r="AD42" s="67">
        <f t="shared" si="4"/>
        <v>0</v>
      </c>
      <c r="AE42" s="67">
        <f t="shared" si="4"/>
        <v>0</v>
      </c>
      <c r="AF42" s="67">
        <f t="shared" si="4"/>
        <v>0</v>
      </c>
      <c r="AG42" s="67">
        <f t="shared" si="4"/>
        <v>0</v>
      </c>
      <c r="AH42" s="67">
        <f t="shared" si="4"/>
        <v>0</v>
      </c>
      <c r="AI42" s="67">
        <f t="shared" ref="AI42:BJ42" si="5">SUM(AI29:AI40)</f>
        <v>0</v>
      </c>
      <c r="AJ42" s="67">
        <f t="shared" si="5"/>
        <v>0</v>
      </c>
      <c r="AK42" s="67">
        <f t="shared" si="5"/>
        <v>0</v>
      </c>
      <c r="AL42" s="67">
        <f t="shared" si="5"/>
        <v>0</v>
      </c>
      <c r="AM42" s="67">
        <f t="shared" si="5"/>
        <v>0</v>
      </c>
      <c r="AN42" s="67">
        <f t="shared" si="5"/>
        <v>0</v>
      </c>
      <c r="AO42" s="67">
        <f t="shared" si="5"/>
        <v>0</v>
      </c>
      <c r="AP42" s="67">
        <f t="shared" si="5"/>
        <v>0</v>
      </c>
      <c r="AQ42" s="67">
        <f t="shared" si="5"/>
        <v>0</v>
      </c>
      <c r="AR42" s="67">
        <f t="shared" si="5"/>
        <v>0</v>
      </c>
      <c r="AS42" s="67">
        <f t="shared" si="5"/>
        <v>0</v>
      </c>
      <c r="AT42" s="67">
        <f t="shared" si="5"/>
        <v>0</v>
      </c>
      <c r="AU42" s="67">
        <f t="shared" si="5"/>
        <v>0</v>
      </c>
      <c r="AV42" s="67">
        <f t="shared" si="5"/>
        <v>0</v>
      </c>
      <c r="AW42" s="67">
        <f t="shared" si="5"/>
        <v>0</v>
      </c>
      <c r="AX42" s="67">
        <f t="shared" si="5"/>
        <v>0</v>
      </c>
      <c r="AY42" s="67">
        <f t="shared" si="5"/>
        <v>0</v>
      </c>
      <c r="AZ42" s="67">
        <f t="shared" si="5"/>
        <v>0</v>
      </c>
      <c r="BA42" s="67">
        <f t="shared" si="5"/>
        <v>0</v>
      </c>
      <c r="BB42" s="67">
        <f t="shared" si="5"/>
        <v>0</v>
      </c>
      <c r="BC42" s="67">
        <f t="shared" si="5"/>
        <v>0</v>
      </c>
      <c r="BD42" s="67">
        <f t="shared" si="5"/>
        <v>0</v>
      </c>
      <c r="BE42" s="67">
        <f t="shared" si="5"/>
        <v>0</v>
      </c>
      <c r="BF42" s="67">
        <f t="shared" si="5"/>
        <v>0</v>
      </c>
      <c r="BG42" s="67">
        <f t="shared" si="5"/>
        <v>0</v>
      </c>
      <c r="BH42" s="67">
        <f t="shared" si="5"/>
        <v>0</v>
      </c>
      <c r="BI42" s="67">
        <f t="shared" si="5"/>
        <v>0</v>
      </c>
      <c r="BJ42" s="67">
        <f t="shared" si="5"/>
        <v>0</v>
      </c>
      <c r="BK42" s="70"/>
    </row>
    <row r="43" spans="2:63" ht="15" customHeight="1" collapsed="1" x14ac:dyDescent="0.2">
      <c r="B43" s="115"/>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row>
    <row r="44" spans="2:63" x14ac:dyDescent="0.2">
      <c r="B44" s="139" t="s">
        <v>264</v>
      </c>
      <c r="C44" s="116"/>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row>
    <row r="45" spans="2:63" x14ac:dyDescent="0.2">
      <c r="B45" s="115"/>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row>
    <row r="46" spans="2:63" x14ac:dyDescent="0.2">
      <c r="B46" s="71"/>
      <c r="C46" s="174" t="s">
        <v>77</v>
      </c>
      <c r="D46" s="157"/>
      <c r="E46" s="157"/>
      <c r="F46" s="157"/>
      <c r="G46" s="157"/>
      <c r="H46" s="157"/>
      <c r="I46" s="157"/>
      <c r="J46" s="157"/>
      <c r="K46" s="157"/>
      <c r="L46" s="157"/>
      <c r="M46" s="157"/>
      <c r="N46" s="158"/>
      <c r="O46" s="174" t="s">
        <v>78</v>
      </c>
      <c r="P46" s="157"/>
      <c r="Q46" s="157"/>
      <c r="R46" s="157"/>
      <c r="S46" s="157"/>
      <c r="T46" s="157"/>
      <c r="U46" s="157"/>
      <c r="V46" s="157"/>
      <c r="W46" s="157"/>
      <c r="X46" s="157"/>
      <c r="Y46" s="157"/>
      <c r="Z46" s="158"/>
      <c r="AA46" s="174" t="s">
        <v>79</v>
      </c>
      <c r="AB46" s="157"/>
      <c r="AC46" s="157"/>
      <c r="AD46" s="157"/>
      <c r="AE46" s="157"/>
      <c r="AF46" s="157"/>
      <c r="AG46" s="157"/>
      <c r="AH46" s="157"/>
      <c r="AI46" s="157"/>
      <c r="AJ46" s="157"/>
      <c r="AK46" s="157"/>
      <c r="AL46" s="158"/>
      <c r="AM46" s="174" t="s">
        <v>80</v>
      </c>
      <c r="AN46" s="157"/>
      <c r="AO46" s="157"/>
      <c r="AP46" s="157"/>
      <c r="AQ46" s="157"/>
      <c r="AR46" s="157"/>
      <c r="AS46" s="157"/>
      <c r="AT46" s="157"/>
      <c r="AU46" s="157"/>
      <c r="AV46" s="157"/>
      <c r="AW46" s="157"/>
      <c r="AX46" s="158"/>
      <c r="AY46" s="174" t="s">
        <v>81</v>
      </c>
      <c r="AZ46" s="157"/>
      <c r="BA46" s="157"/>
      <c r="BB46" s="157"/>
      <c r="BC46" s="157"/>
      <c r="BD46" s="157"/>
      <c r="BE46" s="157"/>
      <c r="BF46" s="157"/>
      <c r="BG46" s="157"/>
      <c r="BH46" s="157"/>
      <c r="BI46" s="157"/>
      <c r="BJ46" s="158"/>
      <c r="BK46" s="70"/>
    </row>
    <row r="47" spans="2:63" x14ac:dyDescent="0.2">
      <c r="B47" s="144" t="s">
        <v>241</v>
      </c>
      <c r="C47" s="55">
        <f>Config!$C$7</f>
        <v>46388</v>
      </c>
      <c r="D47" s="55">
        <f t="shared" ref="D47:AI47" si="6">DATE(YEAR(C47),MONTH(C47)+1,DAY(C47))</f>
        <v>46419</v>
      </c>
      <c r="E47" s="55">
        <f t="shared" si="6"/>
        <v>46447</v>
      </c>
      <c r="F47" s="55">
        <f t="shared" si="6"/>
        <v>46478</v>
      </c>
      <c r="G47" s="55">
        <f t="shared" si="6"/>
        <v>46508</v>
      </c>
      <c r="H47" s="55">
        <f t="shared" si="6"/>
        <v>46539</v>
      </c>
      <c r="I47" s="55">
        <f t="shared" si="6"/>
        <v>46569</v>
      </c>
      <c r="J47" s="55">
        <f t="shared" si="6"/>
        <v>46600</v>
      </c>
      <c r="K47" s="55">
        <f t="shared" si="6"/>
        <v>46631</v>
      </c>
      <c r="L47" s="55">
        <f t="shared" si="6"/>
        <v>46661</v>
      </c>
      <c r="M47" s="55">
        <f t="shared" si="6"/>
        <v>46692</v>
      </c>
      <c r="N47" s="55">
        <f t="shared" si="6"/>
        <v>46722</v>
      </c>
      <c r="O47" s="55">
        <f t="shared" si="6"/>
        <v>46753</v>
      </c>
      <c r="P47" s="55">
        <f t="shared" si="6"/>
        <v>46784</v>
      </c>
      <c r="Q47" s="55">
        <f t="shared" si="6"/>
        <v>46813</v>
      </c>
      <c r="R47" s="55">
        <f t="shared" si="6"/>
        <v>46844</v>
      </c>
      <c r="S47" s="55">
        <f t="shared" si="6"/>
        <v>46874</v>
      </c>
      <c r="T47" s="55">
        <f t="shared" si="6"/>
        <v>46905</v>
      </c>
      <c r="U47" s="55">
        <f t="shared" si="6"/>
        <v>46935</v>
      </c>
      <c r="V47" s="55">
        <f t="shared" si="6"/>
        <v>46966</v>
      </c>
      <c r="W47" s="55">
        <f t="shared" si="6"/>
        <v>46997</v>
      </c>
      <c r="X47" s="55">
        <f t="shared" si="6"/>
        <v>47027</v>
      </c>
      <c r="Y47" s="55">
        <f t="shared" si="6"/>
        <v>47058</v>
      </c>
      <c r="Z47" s="55">
        <f t="shared" si="6"/>
        <v>47088</v>
      </c>
      <c r="AA47" s="55">
        <f t="shared" si="6"/>
        <v>47119</v>
      </c>
      <c r="AB47" s="55">
        <f t="shared" si="6"/>
        <v>47150</v>
      </c>
      <c r="AC47" s="55">
        <f t="shared" si="6"/>
        <v>47178</v>
      </c>
      <c r="AD47" s="55">
        <f t="shared" si="6"/>
        <v>47209</v>
      </c>
      <c r="AE47" s="55">
        <f t="shared" si="6"/>
        <v>47239</v>
      </c>
      <c r="AF47" s="55">
        <f t="shared" si="6"/>
        <v>47270</v>
      </c>
      <c r="AG47" s="55">
        <f t="shared" si="6"/>
        <v>47300</v>
      </c>
      <c r="AH47" s="55">
        <f t="shared" si="6"/>
        <v>47331</v>
      </c>
      <c r="AI47" s="55">
        <f t="shared" si="6"/>
        <v>47362</v>
      </c>
      <c r="AJ47" s="55">
        <f t="shared" ref="AJ47:BJ47" si="7">DATE(YEAR(AI47),MONTH(AI47)+1,DAY(AI47))</f>
        <v>47392</v>
      </c>
      <c r="AK47" s="55">
        <f t="shared" si="7"/>
        <v>47423</v>
      </c>
      <c r="AL47" s="55">
        <f t="shared" si="7"/>
        <v>47453</v>
      </c>
      <c r="AM47" s="55">
        <f t="shared" si="7"/>
        <v>47484</v>
      </c>
      <c r="AN47" s="55">
        <f t="shared" si="7"/>
        <v>47515</v>
      </c>
      <c r="AO47" s="55">
        <f t="shared" si="7"/>
        <v>47543</v>
      </c>
      <c r="AP47" s="55">
        <f t="shared" si="7"/>
        <v>47574</v>
      </c>
      <c r="AQ47" s="55">
        <f t="shared" si="7"/>
        <v>47604</v>
      </c>
      <c r="AR47" s="55">
        <f t="shared" si="7"/>
        <v>47635</v>
      </c>
      <c r="AS47" s="55">
        <f t="shared" si="7"/>
        <v>47665</v>
      </c>
      <c r="AT47" s="55">
        <f t="shared" si="7"/>
        <v>47696</v>
      </c>
      <c r="AU47" s="55">
        <f t="shared" si="7"/>
        <v>47727</v>
      </c>
      <c r="AV47" s="55">
        <f t="shared" si="7"/>
        <v>47757</v>
      </c>
      <c r="AW47" s="55">
        <f t="shared" si="7"/>
        <v>47788</v>
      </c>
      <c r="AX47" s="55">
        <f t="shared" si="7"/>
        <v>47818</v>
      </c>
      <c r="AY47" s="55">
        <f t="shared" si="7"/>
        <v>47849</v>
      </c>
      <c r="AZ47" s="55">
        <f t="shared" si="7"/>
        <v>47880</v>
      </c>
      <c r="BA47" s="55">
        <f t="shared" si="7"/>
        <v>47908</v>
      </c>
      <c r="BB47" s="55">
        <f t="shared" si="7"/>
        <v>47939</v>
      </c>
      <c r="BC47" s="55">
        <f t="shared" si="7"/>
        <v>47969</v>
      </c>
      <c r="BD47" s="55">
        <f t="shared" si="7"/>
        <v>48000</v>
      </c>
      <c r="BE47" s="55">
        <f t="shared" si="7"/>
        <v>48030</v>
      </c>
      <c r="BF47" s="55">
        <f t="shared" si="7"/>
        <v>48061</v>
      </c>
      <c r="BG47" s="55">
        <f t="shared" si="7"/>
        <v>48092</v>
      </c>
      <c r="BH47" s="55">
        <f t="shared" si="7"/>
        <v>48122</v>
      </c>
      <c r="BI47" s="55">
        <f t="shared" si="7"/>
        <v>48153</v>
      </c>
      <c r="BJ47" s="55">
        <f t="shared" si="7"/>
        <v>48183</v>
      </c>
      <c r="BK47" s="70"/>
    </row>
    <row r="48" spans="2:63" x14ac:dyDescent="0.2">
      <c r="B48" s="46" t="str">
        <f>Config!$B$14</f>
        <v>Vente d'abonnement mensuel (30 Shots)</v>
      </c>
      <c r="C48" s="67">
        <f>'Charges variables'!C27-'Charges variables'!C9</f>
        <v>0</v>
      </c>
      <c r="D48" s="67">
        <f>C48+'Charges variables'!D27-'Charges variables'!D9</f>
        <v>315</v>
      </c>
      <c r="E48" s="67">
        <f>D48+'Charges variables'!E27-'Charges variables'!E9</f>
        <v>787.5</v>
      </c>
      <c r="F48" s="67">
        <f>E48+'Charges variables'!F27-'Charges variables'!F9</f>
        <v>1417.5</v>
      </c>
      <c r="G48" s="67">
        <f>F48+'Charges variables'!G27-'Charges variables'!G9</f>
        <v>2205</v>
      </c>
      <c r="H48" s="67">
        <f>G48+'Charges variables'!H27-'Charges variables'!H9</f>
        <v>3150</v>
      </c>
      <c r="I48" s="67">
        <f>H48+'Charges variables'!I27-'Charges variables'!I9</f>
        <v>3780</v>
      </c>
      <c r="J48" s="67">
        <f>I48+'Charges variables'!J27-'Charges variables'!J9</f>
        <v>4410</v>
      </c>
      <c r="K48" s="67">
        <f>J48+'Charges variables'!K27-'Charges variables'!K9</f>
        <v>5670</v>
      </c>
      <c r="L48" s="67">
        <f>K48+'Charges variables'!L27-'Charges variables'!L9</f>
        <v>6615</v>
      </c>
      <c r="M48" s="67">
        <f>L48+'Charges variables'!M27-'Charges variables'!M9</f>
        <v>7560</v>
      </c>
      <c r="N48" s="67">
        <f>M48+'Charges variables'!N27-'Charges variables'!N9</f>
        <v>8820</v>
      </c>
      <c r="O48" s="67">
        <f>N48+'Charges variables'!O27-'Charges variables'!O9</f>
        <v>9450</v>
      </c>
      <c r="P48" s="67">
        <f>O48+'Charges variables'!P27-'Charges variables'!P9</f>
        <v>10395</v>
      </c>
      <c r="Q48" s="67">
        <f>P48+'Charges variables'!Q27-'Charges variables'!Q9</f>
        <v>11340</v>
      </c>
      <c r="R48" s="67">
        <f>Q48+'Charges variables'!R27-'Charges variables'!R9</f>
        <v>12600</v>
      </c>
      <c r="S48" s="67">
        <f>R48+'Charges variables'!S27-'Charges variables'!S9</f>
        <v>14175</v>
      </c>
      <c r="T48" s="67">
        <f>S48+'Charges variables'!T27-'Charges variables'!T9</f>
        <v>15750</v>
      </c>
      <c r="U48" s="67">
        <f>T48+'Charges variables'!U27-'Charges variables'!U9</f>
        <v>17010</v>
      </c>
      <c r="V48" s="67">
        <f>U48+'Charges variables'!V27-'Charges variables'!V9</f>
        <v>17955</v>
      </c>
      <c r="W48" s="67">
        <f>V48+'Charges variables'!W27-'Charges variables'!W9</f>
        <v>20475</v>
      </c>
      <c r="X48" s="67">
        <f>W48+'Charges variables'!X27-'Charges variables'!X9</f>
        <v>22050</v>
      </c>
      <c r="Y48" s="67">
        <f>X48+'Charges variables'!Y27-'Charges variables'!Y9</f>
        <v>23625</v>
      </c>
      <c r="Z48" s="67">
        <f>Y48+'Charges variables'!Z27-'Charges variables'!Z9</f>
        <v>25200</v>
      </c>
      <c r="AA48" s="67">
        <f>Z48+'Charges variables'!AA27-'Charges variables'!AA9</f>
        <v>26775</v>
      </c>
      <c r="AB48" s="67">
        <f>AA48+'Charges variables'!AB27-'Charges variables'!AB9</f>
        <v>27720</v>
      </c>
      <c r="AC48" s="67">
        <f>AB48+'Charges variables'!AC27-'Charges variables'!AC9</f>
        <v>28665</v>
      </c>
      <c r="AD48" s="67">
        <f>AC48+'Charges variables'!AD27-'Charges variables'!AD9</f>
        <v>29925</v>
      </c>
      <c r="AE48" s="67">
        <f>AD48+'Charges variables'!AE27-'Charges variables'!AE9</f>
        <v>31500</v>
      </c>
      <c r="AF48" s="67">
        <f>AE48+'Charges variables'!AF27-'Charges variables'!AF9</f>
        <v>33075</v>
      </c>
      <c r="AG48" s="67">
        <f>AF48+'Charges variables'!AG27-'Charges variables'!AG9</f>
        <v>34020</v>
      </c>
      <c r="AH48" s="67">
        <f>AG48+'Charges variables'!AH27-'Charges variables'!AH9</f>
        <v>34650</v>
      </c>
      <c r="AI48" s="67">
        <f>AH48+'Charges variables'!AI27-'Charges variables'!AI9</f>
        <v>36225</v>
      </c>
      <c r="AJ48" s="67">
        <f>AI48+'Charges variables'!AJ27-'Charges variables'!AJ9</f>
        <v>37800</v>
      </c>
      <c r="AK48" s="67">
        <f>AJ48+'Charges variables'!AK27-'Charges variables'!AK9</f>
        <v>39375</v>
      </c>
      <c r="AL48" s="67">
        <f>AK48+'Charges variables'!AL27-'Charges variables'!AL9</f>
        <v>40950</v>
      </c>
      <c r="AM48" s="67">
        <f>AL48+'Charges variables'!AM27-'Charges variables'!AM9</f>
        <v>42525</v>
      </c>
      <c r="AN48" s="67">
        <f>AM48+'Charges variables'!AN27-'Charges variables'!AN9</f>
        <v>43470</v>
      </c>
      <c r="AO48" s="67">
        <f>AN48+'Charges variables'!AO27-'Charges variables'!AO9</f>
        <v>44730</v>
      </c>
      <c r="AP48" s="67">
        <f>AO48+'Charges variables'!AP27-'Charges variables'!AP9</f>
        <v>46620</v>
      </c>
      <c r="AQ48" s="67">
        <f>AP48+'Charges variables'!AQ27-'Charges variables'!AQ9</f>
        <v>48825</v>
      </c>
      <c r="AR48" s="67">
        <f>AQ48+'Charges variables'!AR27-'Charges variables'!AR9</f>
        <v>51975</v>
      </c>
      <c r="AS48" s="67">
        <f>AR48+'Charges variables'!AS27-'Charges variables'!AS9</f>
        <v>53550</v>
      </c>
      <c r="AT48" s="67">
        <f>AS48+'Charges variables'!AT27-'Charges variables'!AT9</f>
        <v>55125</v>
      </c>
      <c r="AU48" s="67">
        <f>AT48+'Charges variables'!AU27-'Charges variables'!AU9</f>
        <v>58275</v>
      </c>
      <c r="AV48" s="67">
        <f>AU48+'Charges variables'!AV27-'Charges variables'!AV9</f>
        <v>61425</v>
      </c>
      <c r="AW48" s="67">
        <f>AV48+'Charges variables'!AW27-'Charges variables'!AW9</f>
        <v>64575</v>
      </c>
      <c r="AX48" s="67">
        <f>AW48+'Charges variables'!AX27-'Charges variables'!AX9</f>
        <v>67725</v>
      </c>
      <c r="AY48" s="67">
        <f>AX48+'Charges variables'!AY27-'Charges variables'!AY9</f>
        <v>69300</v>
      </c>
      <c r="AZ48" s="67">
        <f>AY48+'Charges variables'!AZ27-'Charges variables'!AZ9</f>
        <v>70875</v>
      </c>
      <c r="BA48" s="67">
        <f>AZ48+'Charges variables'!BA27-'Charges variables'!BA9</f>
        <v>72450</v>
      </c>
      <c r="BB48" s="67">
        <f>BA48+'Charges variables'!BB27-'Charges variables'!BB9</f>
        <v>75600</v>
      </c>
      <c r="BC48" s="67">
        <f>BB48+'Charges variables'!BC27-'Charges variables'!BC9</f>
        <v>78750</v>
      </c>
      <c r="BD48" s="67">
        <f>BC48+'Charges variables'!BD27-'Charges variables'!BD9</f>
        <v>83475</v>
      </c>
      <c r="BE48" s="67">
        <f>BD48+'Charges variables'!BE27-'Charges variables'!BE9</f>
        <v>86625</v>
      </c>
      <c r="BF48" s="67">
        <f>BE48+'Charges variables'!BF27-'Charges variables'!BF9</f>
        <v>89775</v>
      </c>
      <c r="BG48" s="67">
        <f>BF48+'Charges variables'!BG27-'Charges variables'!BG9</f>
        <v>94500</v>
      </c>
      <c r="BH48" s="67">
        <f>BG48+'Charges variables'!BH27-'Charges variables'!BH9</f>
        <v>99225</v>
      </c>
      <c r="BI48" s="67">
        <f>BH48+'Charges variables'!BI27-'Charges variables'!BI9</f>
        <v>103950</v>
      </c>
      <c r="BJ48" s="67">
        <f>BI48+'Charges variables'!BJ27-'Charges variables'!BJ9</f>
        <v>110250</v>
      </c>
      <c r="BK48" s="70"/>
    </row>
    <row r="49" spans="2:63" x14ac:dyDescent="0.2">
      <c r="B49" s="46" t="str">
        <f>Config!$B$15</f>
        <v>Vente de pack découverte (9 Shots)</v>
      </c>
      <c r="C49" s="67">
        <f>'Charges variables'!C28-'Charges variables'!C10</f>
        <v>425</v>
      </c>
      <c r="D49" s="67">
        <f>C49+'Charges variables'!D28-'Charges variables'!D10</f>
        <v>680</v>
      </c>
      <c r="E49" s="67">
        <f>D49+'Charges variables'!E28-'Charges variables'!E10</f>
        <v>1020</v>
      </c>
      <c r="F49" s="67">
        <f>E49+'Charges variables'!F28-'Charges variables'!F10</f>
        <v>1700</v>
      </c>
      <c r="G49" s="67">
        <f>F49+'Charges variables'!G28-'Charges variables'!G10</f>
        <v>2550</v>
      </c>
      <c r="H49" s="67">
        <f>G49+'Charges variables'!H28-'Charges variables'!H10</f>
        <v>2975</v>
      </c>
      <c r="I49" s="67">
        <f>H49+'Charges variables'!I28-'Charges variables'!I10</f>
        <v>2550</v>
      </c>
      <c r="J49" s="67">
        <f>I49+'Charges variables'!J28-'Charges variables'!J10</f>
        <v>1700</v>
      </c>
      <c r="K49" s="67">
        <f>J49+'Charges variables'!K28-'Charges variables'!K10</f>
        <v>3400</v>
      </c>
      <c r="L49" s="67">
        <f>K49+'Charges variables'!L28-'Charges variables'!L10</f>
        <v>2975</v>
      </c>
      <c r="M49" s="67">
        <f>L49+'Charges variables'!M28-'Charges variables'!M10</f>
        <v>2975</v>
      </c>
      <c r="N49" s="67">
        <f>M49+'Charges variables'!N28-'Charges variables'!N10</f>
        <v>4250</v>
      </c>
      <c r="O49" s="67">
        <f>N49+'Charges variables'!O28-'Charges variables'!O10</f>
        <v>3825</v>
      </c>
      <c r="P49" s="67">
        <f>O49+'Charges variables'!P28-'Charges variables'!P10</f>
        <v>3400</v>
      </c>
      <c r="Q49" s="67">
        <f>P49+'Charges variables'!Q28-'Charges variables'!Q10</f>
        <v>3825</v>
      </c>
      <c r="R49" s="67">
        <f>Q49+'Charges variables'!R28-'Charges variables'!R10</f>
        <v>4675</v>
      </c>
      <c r="S49" s="67">
        <f>R49+'Charges variables'!S28-'Charges variables'!S10</f>
        <v>5525</v>
      </c>
      <c r="T49" s="67">
        <f>S49+'Charges variables'!T28-'Charges variables'!T10</f>
        <v>5950</v>
      </c>
      <c r="U49" s="67">
        <f>T49+'Charges variables'!U28-'Charges variables'!U10</f>
        <v>5100</v>
      </c>
      <c r="V49" s="67">
        <f>U49+'Charges variables'!V28-'Charges variables'!V10</f>
        <v>4250</v>
      </c>
      <c r="W49" s="67">
        <f>V49+'Charges variables'!W28-'Charges variables'!W10</f>
        <v>6800</v>
      </c>
      <c r="X49" s="67">
        <f>W49+'Charges variables'!X28-'Charges variables'!X10</f>
        <v>5950</v>
      </c>
      <c r="Y49" s="67">
        <f>X49+'Charges variables'!Y28-'Charges variables'!Y10</f>
        <v>5950</v>
      </c>
      <c r="Z49" s="67">
        <f>Y49+'Charges variables'!Z28-'Charges variables'!Z10</f>
        <v>7650</v>
      </c>
      <c r="AA49" s="67">
        <f>Z49+'Charges variables'!AA28-'Charges variables'!AA10</f>
        <v>7650</v>
      </c>
      <c r="AB49" s="67">
        <f>AA49+'Charges variables'!AB28-'Charges variables'!AB10</f>
        <v>6800</v>
      </c>
      <c r="AC49" s="67">
        <f>AB49+'Charges variables'!AC28-'Charges variables'!AC10</f>
        <v>7225</v>
      </c>
      <c r="AD49" s="67">
        <f>AC49+'Charges variables'!AD28-'Charges variables'!AD10</f>
        <v>8075</v>
      </c>
      <c r="AE49" s="67">
        <f>AD49+'Charges variables'!AE28-'Charges variables'!AE10</f>
        <v>9350</v>
      </c>
      <c r="AF49" s="67">
        <f>AE49+'Charges variables'!AF28-'Charges variables'!AF10</f>
        <v>10200</v>
      </c>
      <c r="AG49" s="67">
        <f>AF49+'Charges variables'!AG28-'Charges variables'!AG10</f>
        <v>8500</v>
      </c>
      <c r="AH49" s="67">
        <f>AG49+'Charges variables'!AH28-'Charges variables'!AH10</f>
        <v>7650</v>
      </c>
      <c r="AI49" s="67">
        <f>AH49+'Charges variables'!AI28-'Charges variables'!AI10</f>
        <v>11050</v>
      </c>
      <c r="AJ49" s="67">
        <f>AI49+'Charges variables'!AJ28-'Charges variables'!AJ10</f>
        <v>9350</v>
      </c>
      <c r="AK49" s="67">
        <f>AJ49+'Charges variables'!AK28-'Charges variables'!AK10</f>
        <v>9350</v>
      </c>
      <c r="AL49" s="67">
        <f>AK49+'Charges variables'!AL28-'Charges variables'!AL10</f>
        <v>12750</v>
      </c>
      <c r="AM49" s="67">
        <f>AL49+'Charges variables'!AM28-'Charges variables'!AM10</f>
        <v>13600</v>
      </c>
      <c r="AN49" s="67">
        <f>AM49+'Charges variables'!AN28-'Charges variables'!AN10</f>
        <v>11900</v>
      </c>
      <c r="AO49" s="67">
        <f>AN49+'Charges variables'!AO28-'Charges variables'!AO10</f>
        <v>12750</v>
      </c>
      <c r="AP49" s="67">
        <f>AO49+'Charges variables'!AP28-'Charges variables'!AP10</f>
        <v>14450</v>
      </c>
      <c r="AQ49" s="67">
        <f>AP49+'Charges variables'!AQ28-'Charges variables'!AQ10</f>
        <v>16150</v>
      </c>
      <c r="AR49" s="67">
        <f>AQ49+'Charges variables'!AR28-'Charges variables'!AR10</f>
        <v>17000</v>
      </c>
      <c r="AS49" s="67">
        <f>AR49+'Charges variables'!AS28-'Charges variables'!AS10</f>
        <v>15300</v>
      </c>
      <c r="AT49" s="67">
        <f>AS49+'Charges variables'!AT28-'Charges variables'!AT10</f>
        <v>13600</v>
      </c>
      <c r="AU49" s="67">
        <f>AT49+'Charges variables'!AU28-'Charges variables'!AU10</f>
        <v>18700</v>
      </c>
      <c r="AV49" s="67">
        <f>AU49+'Charges variables'!AV28-'Charges variables'!AV10</f>
        <v>16150</v>
      </c>
      <c r="AW49" s="67">
        <f>AV49+'Charges variables'!AW28-'Charges variables'!AW10</f>
        <v>16150</v>
      </c>
      <c r="AX49" s="67">
        <f>AW49+'Charges variables'!AX28-'Charges variables'!AX10</f>
        <v>21250</v>
      </c>
      <c r="AY49" s="67">
        <f>AX49+'Charges variables'!AY28-'Charges variables'!AY10</f>
        <v>22100</v>
      </c>
      <c r="AZ49" s="67">
        <f>AY49+'Charges variables'!AZ28-'Charges variables'!AZ10</f>
        <v>19550</v>
      </c>
      <c r="BA49" s="67">
        <f>AZ49+'Charges variables'!BA28-'Charges variables'!BA10</f>
        <v>20400</v>
      </c>
      <c r="BB49" s="67">
        <f>BA49+'Charges variables'!BB28-'Charges variables'!BB10</f>
        <v>14450</v>
      </c>
      <c r="BC49" s="67">
        <f>BB49+'Charges variables'!BC28-'Charges variables'!BC10</f>
        <v>25500</v>
      </c>
      <c r="BD49" s="67">
        <f>BC49+'Charges variables'!BD28-'Charges variables'!BD10</f>
        <v>27200</v>
      </c>
      <c r="BE49" s="67">
        <f>BD49+'Charges variables'!BE28-'Charges variables'!BE10</f>
        <v>24650</v>
      </c>
      <c r="BF49" s="67">
        <f>BE49+'Charges variables'!BF28-'Charges variables'!BF10</f>
        <v>21250</v>
      </c>
      <c r="BG49" s="67">
        <f>BF49+'Charges variables'!BG28-'Charges variables'!BG10</f>
        <v>29750</v>
      </c>
      <c r="BH49" s="67">
        <f>BG49+'Charges variables'!BH28-'Charges variables'!BH10</f>
        <v>25500</v>
      </c>
      <c r="BI49" s="67">
        <f>BH49+'Charges variables'!BI28-'Charges variables'!BI10</f>
        <v>25500</v>
      </c>
      <c r="BJ49" s="67">
        <f>BI49+'Charges variables'!BJ28-'Charges variables'!BJ10</f>
        <v>34000</v>
      </c>
      <c r="BK49" s="70"/>
    </row>
    <row r="50" spans="2:63" x14ac:dyDescent="0.2">
      <c r="B50" s="46" t="str">
        <f>Config!$B$16</f>
        <v xml:space="preserve">Vente de shots à l'unité </v>
      </c>
      <c r="C50" s="67">
        <f>'Charges variables'!C29-'Charges variables'!C11</f>
        <v>23</v>
      </c>
      <c r="D50" s="67">
        <f>C50+'Charges variables'!D29-'Charges variables'!D11</f>
        <v>34.5</v>
      </c>
      <c r="E50" s="67">
        <f>D50+'Charges variables'!E29-'Charges variables'!E11</f>
        <v>46</v>
      </c>
      <c r="F50" s="67">
        <f>E50+'Charges variables'!F29-'Charges variables'!F11</f>
        <v>57.5</v>
      </c>
      <c r="G50" s="67">
        <f>F50+'Charges variables'!G29-'Charges variables'!G11</f>
        <v>92</v>
      </c>
      <c r="H50" s="67">
        <f>G50+'Charges variables'!H29-'Charges variables'!H11</f>
        <v>115</v>
      </c>
      <c r="I50" s="67">
        <f>H50+'Charges variables'!I29-'Charges variables'!I11</f>
        <v>92.000000000000014</v>
      </c>
      <c r="J50" s="67">
        <f>I50+'Charges variables'!J29-'Charges variables'!J11</f>
        <v>69</v>
      </c>
      <c r="K50" s="67">
        <f>J50+'Charges variables'!K29-'Charges variables'!K11</f>
        <v>115</v>
      </c>
      <c r="L50" s="67">
        <f>K50+'Charges variables'!L29-'Charges variables'!L11</f>
        <v>92.000000000000014</v>
      </c>
      <c r="M50" s="67">
        <f>L50+'Charges variables'!M29-'Charges variables'!M11</f>
        <v>92</v>
      </c>
      <c r="N50" s="67">
        <f>M50+'Charges variables'!N29-'Charges variables'!N11</f>
        <v>172.5</v>
      </c>
      <c r="O50" s="67">
        <f>N50+'Charges variables'!O29-'Charges variables'!O11</f>
        <v>115</v>
      </c>
      <c r="P50" s="67">
        <f>O50+'Charges variables'!P29-'Charges variables'!P11</f>
        <v>115.00000000000001</v>
      </c>
      <c r="Q50" s="67">
        <f>P50+'Charges variables'!Q29-'Charges variables'!Q11</f>
        <v>138</v>
      </c>
      <c r="R50" s="67">
        <f>Q50+'Charges variables'!R29-'Charges variables'!R11</f>
        <v>172.5</v>
      </c>
      <c r="S50" s="67">
        <f>R50+'Charges variables'!S29-'Charges variables'!S11</f>
        <v>230</v>
      </c>
      <c r="T50" s="67">
        <f>S50+'Charges variables'!T29-'Charges variables'!T11</f>
        <v>287.5</v>
      </c>
      <c r="U50" s="67">
        <f>T50+'Charges variables'!U29-'Charges variables'!U11</f>
        <v>230</v>
      </c>
      <c r="V50" s="67">
        <f>U50+'Charges variables'!V29-'Charges variables'!V11</f>
        <v>172.50000000000003</v>
      </c>
      <c r="W50" s="67">
        <f>V50+'Charges variables'!W29-'Charges variables'!W11</f>
        <v>287.5</v>
      </c>
      <c r="X50" s="67">
        <f>W50+'Charges variables'!X29-'Charges variables'!X11</f>
        <v>230</v>
      </c>
      <c r="Y50" s="67">
        <f>X50+'Charges variables'!Y29-'Charges variables'!Y11</f>
        <v>230.00000000000003</v>
      </c>
      <c r="Z50" s="67">
        <f>Y50+'Charges variables'!Z29-'Charges variables'!Z11</f>
        <v>345</v>
      </c>
      <c r="AA50" s="67">
        <f>Z50+'Charges variables'!AA29-'Charges variables'!AA11</f>
        <v>287.5</v>
      </c>
      <c r="AB50" s="67">
        <f>AA50+'Charges variables'!AB29-'Charges variables'!AB11</f>
        <v>230</v>
      </c>
      <c r="AC50" s="67">
        <f>AB50+'Charges variables'!AC29-'Charges variables'!AC11</f>
        <v>253.00000000000003</v>
      </c>
      <c r="AD50" s="67">
        <f>AC50+'Charges variables'!AD29-'Charges variables'!AD11</f>
        <v>287.5</v>
      </c>
      <c r="AE50" s="67">
        <f>AD50+'Charges variables'!AE29-'Charges variables'!AE11</f>
        <v>345</v>
      </c>
      <c r="AF50" s="67">
        <f>AE50+'Charges variables'!AF29-'Charges variables'!AF11</f>
        <v>402.5</v>
      </c>
      <c r="AG50" s="67">
        <f>AF50+'Charges variables'!AG29-'Charges variables'!AG11</f>
        <v>345.00000000000006</v>
      </c>
      <c r="AH50" s="67">
        <f>AG50+'Charges variables'!AH29-'Charges variables'!AH11</f>
        <v>287.5</v>
      </c>
      <c r="AI50" s="67">
        <f>AH50+'Charges variables'!AI29-'Charges variables'!AI11</f>
        <v>402.5</v>
      </c>
      <c r="AJ50" s="67">
        <f>AI50+'Charges variables'!AJ29-'Charges variables'!AJ11</f>
        <v>345.00000000000006</v>
      </c>
      <c r="AK50" s="67">
        <f>AJ50+'Charges variables'!AK29-'Charges variables'!AK11</f>
        <v>345</v>
      </c>
      <c r="AL50" s="67">
        <f>AK50+'Charges variables'!AL29-'Charges variables'!AL11</f>
        <v>517.5</v>
      </c>
      <c r="AM50" s="67">
        <f>AL50+'Charges variables'!AM29-'Charges variables'!AM11</f>
        <v>402.5</v>
      </c>
      <c r="AN50" s="67">
        <f>AM50+'Charges variables'!AN29-'Charges variables'!AN11</f>
        <v>345.00000000000006</v>
      </c>
      <c r="AO50" s="67">
        <f>AN50+'Charges variables'!AO29-'Charges variables'!AO11</f>
        <v>368</v>
      </c>
      <c r="AP50" s="67">
        <f>AO50+'Charges variables'!AP29-'Charges variables'!AP11</f>
        <v>437</v>
      </c>
      <c r="AQ50" s="67">
        <f>AP50+'Charges variables'!AQ29-'Charges variables'!AQ11</f>
        <v>517.5</v>
      </c>
      <c r="AR50" s="67">
        <f>AQ50+'Charges variables'!AR29-'Charges variables'!AR11</f>
        <v>575</v>
      </c>
      <c r="AS50" s="67">
        <f>AR50+'Charges variables'!AS29-'Charges variables'!AS11</f>
        <v>517.5</v>
      </c>
      <c r="AT50" s="67">
        <f>AS50+'Charges variables'!AT29-'Charges variables'!AT11</f>
        <v>460</v>
      </c>
      <c r="AU50" s="67">
        <f>AT50+'Charges variables'!AU29-'Charges variables'!AU11</f>
        <v>575</v>
      </c>
      <c r="AV50" s="67">
        <f>AU50+'Charges variables'!AV29-'Charges variables'!AV11</f>
        <v>517.5</v>
      </c>
      <c r="AW50" s="67">
        <f>AV50+'Charges variables'!AW29-'Charges variables'!AW11</f>
        <v>517.5</v>
      </c>
      <c r="AX50" s="67">
        <f>AW50+'Charges variables'!AX29-'Charges variables'!AX11</f>
        <v>747.5</v>
      </c>
      <c r="AY50" s="67">
        <f>AX50+'Charges variables'!AY29-'Charges variables'!AY11</f>
        <v>575.00000000000011</v>
      </c>
      <c r="AZ50" s="67">
        <f>AY50+'Charges variables'!AZ29-'Charges variables'!AZ11</f>
        <v>517.5</v>
      </c>
      <c r="BA50" s="67">
        <f>AZ50+'Charges variables'!BA29-'Charges variables'!BA11</f>
        <v>552</v>
      </c>
      <c r="BB50" s="67">
        <f>BA50+'Charges variables'!BB29-'Charges variables'!BB11</f>
        <v>632.5</v>
      </c>
      <c r="BC50" s="67">
        <f>BB50+'Charges variables'!BC29-'Charges variables'!BC11</f>
        <v>747.5</v>
      </c>
      <c r="BD50" s="67">
        <f>BC50+'Charges variables'!BD29-'Charges variables'!BD11</f>
        <v>862.50000000000011</v>
      </c>
      <c r="BE50" s="67">
        <f>BD50+'Charges variables'!BE29-'Charges variables'!BE11</f>
        <v>747.50000000000011</v>
      </c>
      <c r="BF50" s="67">
        <f>BE50+'Charges variables'!BF29-'Charges variables'!BF11</f>
        <v>632.50000000000011</v>
      </c>
      <c r="BG50" s="67">
        <f>BF50+'Charges variables'!BG29-'Charges variables'!BG11</f>
        <v>862.5</v>
      </c>
      <c r="BH50" s="67">
        <f>BG50+'Charges variables'!BH29-'Charges variables'!BH11</f>
        <v>747.50000000000011</v>
      </c>
      <c r="BI50" s="67">
        <f>BH50+'Charges variables'!BI29-'Charges variables'!BI11</f>
        <v>747.50000000000011</v>
      </c>
      <c r="BJ50" s="67">
        <f>BI50+'Charges variables'!BJ29-'Charges variables'!BJ11</f>
        <v>1092.5</v>
      </c>
      <c r="BK50" s="70"/>
    </row>
    <row r="51" spans="2:63" x14ac:dyDescent="0.2">
      <c r="B51" s="46" t="str">
        <f>Config!$B$17</f>
        <v>Vente d'abonnement annuel (360 Shots)</v>
      </c>
      <c r="C51" s="67">
        <f>'Charges variables'!C30-'Charges variables'!C12</f>
        <v>0</v>
      </c>
      <c r="D51" s="67">
        <f>C51+'Charges variables'!D30-'Charges variables'!D12</f>
        <v>0</v>
      </c>
      <c r="E51" s="67">
        <f>D51+'Charges variables'!E30-'Charges variables'!E12</f>
        <v>0</v>
      </c>
      <c r="F51" s="67">
        <f>E51+'Charges variables'!F30-'Charges variables'!F12</f>
        <v>378</v>
      </c>
      <c r="G51" s="67">
        <f>F51+'Charges variables'!G30-'Charges variables'!G12</f>
        <v>378</v>
      </c>
      <c r="H51" s="67">
        <f>G51+'Charges variables'!H30-'Charges variables'!H12</f>
        <v>756</v>
      </c>
      <c r="I51" s="67">
        <f>H51+'Charges variables'!I30-'Charges variables'!I12</f>
        <v>378</v>
      </c>
      <c r="J51" s="67">
        <f>I51+'Charges variables'!J30-'Charges variables'!J12</f>
        <v>0</v>
      </c>
      <c r="K51" s="67">
        <f>J51+'Charges variables'!K30-'Charges variables'!K12</f>
        <v>1134</v>
      </c>
      <c r="L51" s="67">
        <f>K51+'Charges variables'!L30-'Charges variables'!L12</f>
        <v>756</v>
      </c>
      <c r="M51" s="67">
        <f>L51+'Charges variables'!M30-'Charges variables'!M12</f>
        <v>756</v>
      </c>
      <c r="N51" s="67">
        <f>M51+'Charges variables'!N30-'Charges variables'!N12</f>
        <v>1890</v>
      </c>
      <c r="O51" s="67">
        <f>N51+'Charges variables'!O30-'Charges variables'!O12</f>
        <v>1134</v>
      </c>
      <c r="P51" s="67">
        <f>O51+'Charges variables'!P30-'Charges variables'!P12</f>
        <v>756</v>
      </c>
      <c r="Q51" s="67">
        <f>P51+'Charges variables'!Q30-'Charges variables'!Q12</f>
        <v>756</v>
      </c>
      <c r="R51" s="67">
        <f>Q51+'Charges variables'!R30-'Charges variables'!R12</f>
        <v>1134</v>
      </c>
      <c r="S51" s="67">
        <f>R51+'Charges variables'!S30-'Charges variables'!S12</f>
        <v>1512</v>
      </c>
      <c r="T51" s="67">
        <f>S51+'Charges variables'!T30-'Charges variables'!T12</f>
        <v>1890</v>
      </c>
      <c r="U51" s="67">
        <f>T51+'Charges variables'!U30-'Charges variables'!U12</f>
        <v>1134</v>
      </c>
      <c r="V51" s="67">
        <f>U51+'Charges variables'!V30-'Charges variables'!V12</f>
        <v>756</v>
      </c>
      <c r="W51" s="67">
        <f>V51+'Charges variables'!W30-'Charges variables'!W12</f>
        <v>2268</v>
      </c>
      <c r="X51" s="67">
        <f>W51+'Charges variables'!X30-'Charges variables'!X12</f>
        <v>1512</v>
      </c>
      <c r="Y51" s="67">
        <f>X51+'Charges variables'!Y30-'Charges variables'!Y12</f>
        <v>1512</v>
      </c>
      <c r="Z51" s="67">
        <f>Y51+'Charges variables'!Z30-'Charges variables'!Z12</f>
        <v>3780</v>
      </c>
      <c r="AA51" s="67">
        <f>Z51+'Charges variables'!AA30-'Charges variables'!AA12</f>
        <v>1890</v>
      </c>
      <c r="AB51" s="67">
        <f>AA51+'Charges variables'!AB30-'Charges variables'!AB12</f>
        <v>1134</v>
      </c>
      <c r="AC51" s="67">
        <f>AB51+'Charges variables'!AC30-'Charges variables'!AC12</f>
        <v>1512</v>
      </c>
      <c r="AD51" s="67">
        <f>AC51+'Charges variables'!AD30-'Charges variables'!AD12</f>
        <v>1890</v>
      </c>
      <c r="AE51" s="67">
        <f>AD51+'Charges variables'!AE30-'Charges variables'!AE12</f>
        <v>2268</v>
      </c>
      <c r="AF51" s="67">
        <f>AE51+'Charges variables'!AF30-'Charges variables'!AF12</f>
        <v>2646</v>
      </c>
      <c r="AG51" s="67">
        <f>AF51+'Charges variables'!AG30-'Charges variables'!AG12</f>
        <v>1890</v>
      </c>
      <c r="AH51" s="67">
        <f>AG51+'Charges variables'!AH30-'Charges variables'!AH12</f>
        <v>1512</v>
      </c>
      <c r="AI51" s="67">
        <f>AH51+'Charges variables'!AI30-'Charges variables'!AI12</f>
        <v>3024</v>
      </c>
      <c r="AJ51" s="67">
        <f>AI51+'Charges variables'!AJ30-'Charges variables'!AJ12</f>
        <v>2268</v>
      </c>
      <c r="AK51" s="67">
        <f>AJ51+'Charges variables'!AK30-'Charges variables'!AK12</f>
        <v>2268</v>
      </c>
      <c r="AL51" s="67">
        <f>AK51+'Charges variables'!AL30-'Charges variables'!AL12</f>
        <v>5670</v>
      </c>
      <c r="AM51" s="67">
        <f>AL51+'Charges variables'!AM30-'Charges variables'!AM12</f>
        <v>3024</v>
      </c>
      <c r="AN51" s="67">
        <f>AM51+'Charges variables'!AN30-'Charges variables'!AN12</f>
        <v>1890</v>
      </c>
      <c r="AO51" s="67">
        <f>AN51+'Charges variables'!AO30-'Charges variables'!AO12</f>
        <v>2268</v>
      </c>
      <c r="AP51" s="67">
        <f>AO51+'Charges variables'!AP30-'Charges variables'!AP12</f>
        <v>3024</v>
      </c>
      <c r="AQ51" s="67">
        <f>AP51+'Charges variables'!AQ30-'Charges variables'!AQ12</f>
        <v>3780</v>
      </c>
      <c r="AR51" s="67">
        <f>AQ51+'Charges variables'!AR30-'Charges variables'!AR12</f>
        <v>4536</v>
      </c>
      <c r="AS51" s="67">
        <f>AR51+'Charges variables'!AS30-'Charges variables'!AS12</f>
        <v>3024</v>
      </c>
      <c r="AT51" s="67">
        <f>AS51+'Charges variables'!AT30-'Charges variables'!AT12</f>
        <v>2268</v>
      </c>
      <c r="AU51" s="67">
        <f>AT51+'Charges variables'!AU30-'Charges variables'!AU12</f>
        <v>4536</v>
      </c>
      <c r="AV51" s="67">
        <f>AU51+'Charges variables'!AV30-'Charges variables'!AV12</f>
        <v>3402</v>
      </c>
      <c r="AW51" s="67">
        <f>AV51+'Charges variables'!AW30-'Charges variables'!AW12</f>
        <v>3402</v>
      </c>
      <c r="AX51" s="67">
        <f>AW51+'Charges variables'!AX30-'Charges variables'!AX12</f>
        <v>7560</v>
      </c>
      <c r="AY51" s="67">
        <f>AX51+'Charges variables'!AY30-'Charges variables'!AY12</f>
        <v>4536</v>
      </c>
      <c r="AZ51" s="67">
        <f>AY51+'Charges variables'!AZ30-'Charges variables'!AZ12</f>
        <v>3024</v>
      </c>
      <c r="BA51" s="67">
        <f>AZ51+'Charges variables'!BA30-'Charges variables'!BA12</f>
        <v>3780</v>
      </c>
      <c r="BB51" s="67">
        <f>BA51+'Charges variables'!BB30-'Charges variables'!BB12</f>
        <v>4536</v>
      </c>
      <c r="BC51" s="67">
        <f>BB51+'Charges variables'!BC30-'Charges variables'!BC12</f>
        <v>5670</v>
      </c>
      <c r="BD51" s="67">
        <f>BC51+'Charges variables'!BD30-'Charges variables'!BD12</f>
        <v>6804</v>
      </c>
      <c r="BE51" s="67">
        <f>BD51+'Charges variables'!BE30-'Charges variables'!BE12</f>
        <v>4536</v>
      </c>
      <c r="BF51" s="67">
        <f>BE51+'Charges variables'!BF30-'Charges variables'!BF12</f>
        <v>3780</v>
      </c>
      <c r="BG51" s="67">
        <f>BF51+'Charges variables'!BG30-'Charges variables'!BG12</f>
        <v>7560</v>
      </c>
      <c r="BH51" s="67">
        <f>BG51+'Charges variables'!BH30-'Charges variables'!BH12</f>
        <v>5670</v>
      </c>
      <c r="BI51" s="67">
        <f>BH51+'Charges variables'!BI30-'Charges variables'!BI12</f>
        <v>5670</v>
      </c>
      <c r="BJ51" s="67">
        <f>BI51+'Charges variables'!BJ30-'Charges variables'!BJ12</f>
        <v>11340</v>
      </c>
      <c r="BK51" s="70"/>
    </row>
    <row r="52" spans="2:63" x14ac:dyDescent="0.2">
      <c r="B52" s="46">
        <f>Config!$B$18</f>
        <v>0</v>
      </c>
      <c r="C52" s="67">
        <f>'Charges variables'!C31-'Charges variables'!C13</f>
        <v>0</v>
      </c>
      <c r="D52" s="67">
        <f>C52+'Charges variables'!D31-'Charges variables'!D13</f>
        <v>0</v>
      </c>
      <c r="E52" s="67">
        <f>D52+'Charges variables'!E31-'Charges variables'!E13</f>
        <v>0</v>
      </c>
      <c r="F52" s="67">
        <f>E52+'Charges variables'!F31-'Charges variables'!F13</f>
        <v>0</v>
      </c>
      <c r="G52" s="67">
        <f>F52+'Charges variables'!G31-'Charges variables'!G13</f>
        <v>0</v>
      </c>
      <c r="H52" s="67">
        <f>G52+'Charges variables'!H31-'Charges variables'!H13</f>
        <v>0</v>
      </c>
      <c r="I52" s="67">
        <f>H52+'Charges variables'!I31-'Charges variables'!I13</f>
        <v>0</v>
      </c>
      <c r="J52" s="67">
        <f>I52+'Charges variables'!J31-'Charges variables'!J13</f>
        <v>0</v>
      </c>
      <c r="K52" s="67">
        <f>J52+'Charges variables'!K31-'Charges variables'!K13</f>
        <v>0</v>
      </c>
      <c r="L52" s="67">
        <f>K52+'Charges variables'!L31-'Charges variables'!L13</f>
        <v>0</v>
      </c>
      <c r="M52" s="67">
        <f>L52+'Charges variables'!M31-'Charges variables'!M13</f>
        <v>0</v>
      </c>
      <c r="N52" s="67">
        <f>M52+'Charges variables'!N31-'Charges variables'!N13</f>
        <v>0</v>
      </c>
      <c r="O52" s="67">
        <f>N52+'Charges variables'!O31-'Charges variables'!O13</f>
        <v>0</v>
      </c>
      <c r="P52" s="67">
        <f>O52+'Charges variables'!P31-'Charges variables'!P13</f>
        <v>0</v>
      </c>
      <c r="Q52" s="67">
        <f>P52+'Charges variables'!Q31-'Charges variables'!Q13</f>
        <v>0</v>
      </c>
      <c r="R52" s="67">
        <f>Q52+'Charges variables'!R31-'Charges variables'!R13</f>
        <v>0</v>
      </c>
      <c r="S52" s="67">
        <f>R52+'Charges variables'!S31-'Charges variables'!S13</f>
        <v>0</v>
      </c>
      <c r="T52" s="67">
        <f>S52+'Charges variables'!T31-'Charges variables'!T13</f>
        <v>0</v>
      </c>
      <c r="U52" s="67">
        <f>T52+'Charges variables'!U31-'Charges variables'!U13</f>
        <v>0</v>
      </c>
      <c r="V52" s="67">
        <f>U52+'Charges variables'!V31-'Charges variables'!V13</f>
        <v>0</v>
      </c>
      <c r="W52" s="67">
        <f>V52+'Charges variables'!W31-'Charges variables'!W13</f>
        <v>0</v>
      </c>
      <c r="X52" s="67">
        <f>W52+'Charges variables'!X31-'Charges variables'!X13</f>
        <v>0</v>
      </c>
      <c r="Y52" s="67">
        <f>X52+'Charges variables'!Y31-'Charges variables'!Y13</f>
        <v>0</v>
      </c>
      <c r="Z52" s="67">
        <f>Y52+'Charges variables'!Z31-'Charges variables'!Z13</f>
        <v>0</v>
      </c>
      <c r="AA52" s="67">
        <f>Z52+'Charges variables'!AA31-'Charges variables'!AA13</f>
        <v>0</v>
      </c>
      <c r="AB52" s="67">
        <f>AA52+'Charges variables'!AB31-'Charges variables'!AB13</f>
        <v>0</v>
      </c>
      <c r="AC52" s="67">
        <f>AB52+'Charges variables'!AC31-'Charges variables'!AC13</f>
        <v>0</v>
      </c>
      <c r="AD52" s="67">
        <f>AC52+'Charges variables'!AD31-'Charges variables'!AD13</f>
        <v>0</v>
      </c>
      <c r="AE52" s="67">
        <f>AD52+'Charges variables'!AE31-'Charges variables'!AE13</f>
        <v>0</v>
      </c>
      <c r="AF52" s="67">
        <f>AE52+'Charges variables'!AF31-'Charges variables'!AF13</f>
        <v>0</v>
      </c>
      <c r="AG52" s="67">
        <f>AF52+'Charges variables'!AG31-'Charges variables'!AG13</f>
        <v>0</v>
      </c>
      <c r="AH52" s="67">
        <f>AG52+'Charges variables'!AH31-'Charges variables'!AH13</f>
        <v>0</v>
      </c>
      <c r="AI52" s="67">
        <f>AH52+'Charges variables'!AI31-'Charges variables'!AI13</f>
        <v>0</v>
      </c>
      <c r="AJ52" s="67">
        <f>AI52+'Charges variables'!AJ31-'Charges variables'!AJ13</f>
        <v>0</v>
      </c>
      <c r="AK52" s="67">
        <f>AJ52+'Charges variables'!AK31-'Charges variables'!AK13</f>
        <v>0</v>
      </c>
      <c r="AL52" s="67">
        <f>AK52+'Charges variables'!AL31-'Charges variables'!AL13</f>
        <v>0</v>
      </c>
      <c r="AM52" s="67">
        <f>AL52+'Charges variables'!AM31-'Charges variables'!AM13</f>
        <v>0</v>
      </c>
      <c r="AN52" s="67">
        <f>AM52+'Charges variables'!AN31-'Charges variables'!AN13</f>
        <v>0</v>
      </c>
      <c r="AO52" s="67">
        <f>AN52+'Charges variables'!AO31-'Charges variables'!AO13</f>
        <v>0</v>
      </c>
      <c r="AP52" s="67">
        <f>AO52+'Charges variables'!AP31-'Charges variables'!AP13</f>
        <v>0</v>
      </c>
      <c r="AQ52" s="67">
        <f>AP52+'Charges variables'!AQ31-'Charges variables'!AQ13</f>
        <v>0</v>
      </c>
      <c r="AR52" s="67">
        <f>AQ52+'Charges variables'!AR31-'Charges variables'!AR13</f>
        <v>0</v>
      </c>
      <c r="AS52" s="67">
        <f>AR52+'Charges variables'!AS31-'Charges variables'!AS13</f>
        <v>0</v>
      </c>
      <c r="AT52" s="67">
        <f>AS52+'Charges variables'!AT31-'Charges variables'!AT13</f>
        <v>0</v>
      </c>
      <c r="AU52" s="67">
        <f>AT52+'Charges variables'!AU31-'Charges variables'!AU13</f>
        <v>0</v>
      </c>
      <c r="AV52" s="67">
        <f>AU52+'Charges variables'!AV31-'Charges variables'!AV13</f>
        <v>0</v>
      </c>
      <c r="AW52" s="67">
        <f>AV52+'Charges variables'!AW31-'Charges variables'!AW13</f>
        <v>0</v>
      </c>
      <c r="AX52" s="67">
        <f>AW52+'Charges variables'!AX31-'Charges variables'!AX13</f>
        <v>0</v>
      </c>
      <c r="AY52" s="67">
        <f>AX52+'Charges variables'!AY31-'Charges variables'!AY13</f>
        <v>0</v>
      </c>
      <c r="AZ52" s="67">
        <f>AY52+'Charges variables'!AZ31-'Charges variables'!AZ13</f>
        <v>0</v>
      </c>
      <c r="BA52" s="67">
        <f>AZ52+'Charges variables'!BA31-'Charges variables'!BA13</f>
        <v>0</v>
      </c>
      <c r="BB52" s="67">
        <f>BA52+'Charges variables'!BB31-'Charges variables'!BB13</f>
        <v>0</v>
      </c>
      <c r="BC52" s="67">
        <f>BB52+'Charges variables'!BC31-'Charges variables'!BC13</f>
        <v>0</v>
      </c>
      <c r="BD52" s="67">
        <f>BC52+'Charges variables'!BD31-'Charges variables'!BD13</f>
        <v>0</v>
      </c>
      <c r="BE52" s="67">
        <f>BD52+'Charges variables'!BE31-'Charges variables'!BE13</f>
        <v>0</v>
      </c>
      <c r="BF52" s="67">
        <f>BE52+'Charges variables'!BF31-'Charges variables'!BF13</f>
        <v>0</v>
      </c>
      <c r="BG52" s="67">
        <f>BF52+'Charges variables'!BG31-'Charges variables'!BG13</f>
        <v>0</v>
      </c>
      <c r="BH52" s="67">
        <f>BG52+'Charges variables'!BH31-'Charges variables'!BH13</f>
        <v>0</v>
      </c>
      <c r="BI52" s="67">
        <f>BH52+'Charges variables'!BI31-'Charges variables'!BI13</f>
        <v>0</v>
      </c>
      <c r="BJ52" s="67">
        <f>BI52+'Charges variables'!BJ31-'Charges variables'!BJ13</f>
        <v>0</v>
      </c>
      <c r="BK52" s="70"/>
    </row>
    <row r="53" spans="2:63" x14ac:dyDescent="0.2">
      <c r="B53" s="46">
        <f>Config!$B$19</f>
        <v>0</v>
      </c>
      <c r="C53" s="67">
        <f>'Charges variables'!C32-'Charges variables'!C14</f>
        <v>0</v>
      </c>
      <c r="D53" s="67">
        <f>C53+'Charges variables'!D32-'Charges variables'!D14</f>
        <v>0</v>
      </c>
      <c r="E53" s="67">
        <f>D53+'Charges variables'!E32-'Charges variables'!E14</f>
        <v>0</v>
      </c>
      <c r="F53" s="67">
        <f>E53+'Charges variables'!F32-'Charges variables'!F14</f>
        <v>0</v>
      </c>
      <c r="G53" s="67">
        <f>F53+'Charges variables'!G32-'Charges variables'!G14</f>
        <v>0</v>
      </c>
      <c r="H53" s="67">
        <f>G53+'Charges variables'!H32-'Charges variables'!H14</f>
        <v>0</v>
      </c>
      <c r="I53" s="67">
        <f>H53+'Charges variables'!I32-'Charges variables'!I14</f>
        <v>0</v>
      </c>
      <c r="J53" s="67">
        <f>I53+'Charges variables'!J32-'Charges variables'!J14</f>
        <v>0</v>
      </c>
      <c r="K53" s="67">
        <f>J53+'Charges variables'!K32-'Charges variables'!K14</f>
        <v>0</v>
      </c>
      <c r="L53" s="67">
        <f>K53+'Charges variables'!L32-'Charges variables'!L14</f>
        <v>0</v>
      </c>
      <c r="M53" s="67">
        <f>L53+'Charges variables'!M32-'Charges variables'!M14</f>
        <v>0</v>
      </c>
      <c r="N53" s="67">
        <f>M53+'Charges variables'!N32-'Charges variables'!N14</f>
        <v>0</v>
      </c>
      <c r="O53" s="67">
        <f>N53+'Charges variables'!O32-'Charges variables'!O14</f>
        <v>0</v>
      </c>
      <c r="P53" s="67">
        <f>O53+'Charges variables'!P32-'Charges variables'!P14</f>
        <v>0</v>
      </c>
      <c r="Q53" s="67">
        <f>P53+'Charges variables'!Q32-'Charges variables'!Q14</f>
        <v>0</v>
      </c>
      <c r="R53" s="67">
        <f>Q53+'Charges variables'!R32-'Charges variables'!R14</f>
        <v>0</v>
      </c>
      <c r="S53" s="67">
        <f>R53+'Charges variables'!S32-'Charges variables'!S14</f>
        <v>0</v>
      </c>
      <c r="T53" s="67">
        <f>S53+'Charges variables'!T32-'Charges variables'!T14</f>
        <v>0</v>
      </c>
      <c r="U53" s="67">
        <f>T53+'Charges variables'!U32-'Charges variables'!U14</f>
        <v>0</v>
      </c>
      <c r="V53" s="67">
        <f>U53+'Charges variables'!V32-'Charges variables'!V14</f>
        <v>0</v>
      </c>
      <c r="W53" s="67">
        <f>V53+'Charges variables'!W32-'Charges variables'!W14</f>
        <v>0</v>
      </c>
      <c r="X53" s="67">
        <f>W53+'Charges variables'!X32-'Charges variables'!X14</f>
        <v>0</v>
      </c>
      <c r="Y53" s="67">
        <f>X53+'Charges variables'!Y32-'Charges variables'!Y14</f>
        <v>0</v>
      </c>
      <c r="Z53" s="67">
        <f>Y53+'Charges variables'!Z32-'Charges variables'!Z14</f>
        <v>0</v>
      </c>
      <c r="AA53" s="67">
        <f>Z53+'Charges variables'!AA32-'Charges variables'!AA14</f>
        <v>0</v>
      </c>
      <c r="AB53" s="67">
        <f>AA53+'Charges variables'!AB32-'Charges variables'!AB14</f>
        <v>0</v>
      </c>
      <c r="AC53" s="67">
        <f>AB53+'Charges variables'!AC32-'Charges variables'!AC14</f>
        <v>0</v>
      </c>
      <c r="AD53" s="67">
        <f>AC53+'Charges variables'!AD32-'Charges variables'!AD14</f>
        <v>0</v>
      </c>
      <c r="AE53" s="67">
        <f>AD53+'Charges variables'!AE32-'Charges variables'!AE14</f>
        <v>0</v>
      </c>
      <c r="AF53" s="67">
        <f>AE53+'Charges variables'!AF32-'Charges variables'!AF14</f>
        <v>0</v>
      </c>
      <c r="AG53" s="67">
        <f>AF53+'Charges variables'!AG32-'Charges variables'!AG14</f>
        <v>0</v>
      </c>
      <c r="AH53" s="67">
        <f>AG53+'Charges variables'!AH32-'Charges variables'!AH14</f>
        <v>0</v>
      </c>
      <c r="AI53" s="67">
        <f>AH53+'Charges variables'!AI32-'Charges variables'!AI14</f>
        <v>0</v>
      </c>
      <c r="AJ53" s="67">
        <f>AI53+'Charges variables'!AJ32-'Charges variables'!AJ14</f>
        <v>0</v>
      </c>
      <c r="AK53" s="67">
        <f>AJ53+'Charges variables'!AK32-'Charges variables'!AK14</f>
        <v>0</v>
      </c>
      <c r="AL53" s="67">
        <f>AK53+'Charges variables'!AL32-'Charges variables'!AL14</f>
        <v>0</v>
      </c>
      <c r="AM53" s="67">
        <f>AL53+'Charges variables'!AM32-'Charges variables'!AM14</f>
        <v>0</v>
      </c>
      <c r="AN53" s="67">
        <f>AM53+'Charges variables'!AN32-'Charges variables'!AN14</f>
        <v>0</v>
      </c>
      <c r="AO53" s="67">
        <f>AN53+'Charges variables'!AO32-'Charges variables'!AO14</f>
        <v>0</v>
      </c>
      <c r="AP53" s="67">
        <f>AO53+'Charges variables'!AP32-'Charges variables'!AP14</f>
        <v>0</v>
      </c>
      <c r="AQ53" s="67">
        <f>AP53+'Charges variables'!AQ32-'Charges variables'!AQ14</f>
        <v>0</v>
      </c>
      <c r="AR53" s="67">
        <f>AQ53+'Charges variables'!AR32-'Charges variables'!AR14</f>
        <v>0</v>
      </c>
      <c r="AS53" s="67">
        <f>AR53+'Charges variables'!AS32-'Charges variables'!AS14</f>
        <v>0</v>
      </c>
      <c r="AT53" s="67">
        <f>AS53+'Charges variables'!AT32-'Charges variables'!AT14</f>
        <v>0</v>
      </c>
      <c r="AU53" s="67">
        <f>AT53+'Charges variables'!AU32-'Charges variables'!AU14</f>
        <v>0</v>
      </c>
      <c r="AV53" s="67">
        <f>AU53+'Charges variables'!AV32-'Charges variables'!AV14</f>
        <v>0</v>
      </c>
      <c r="AW53" s="67">
        <f>AV53+'Charges variables'!AW32-'Charges variables'!AW14</f>
        <v>0</v>
      </c>
      <c r="AX53" s="67">
        <f>AW53+'Charges variables'!AX32-'Charges variables'!AX14</f>
        <v>0</v>
      </c>
      <c r="AY53" s="67">
        <f>AX53+'Charges variables'!AY32-'Charges variables'!AY14</f>
        <v>0</v>
      </c>
      <c r="AZ53" s="67">
        <f>AY53+'Charges variables'!AZ32-'Charges variables'!AZ14</f>
        <v>0</v>
      </c>
      <c r="BA53" s="67">
        <f>AZ53+'Charges variables'!BA32-'Charges variables'!BA14</f>
        <v>0</v>
      </c>
      <c r="BB53" s="67">
        <f>BA53+'Charges variables'!BB32-'Charges variables'!BB14</f>
        <v>0</v>
      </c>
      <c r="BC53" s="67">
        <f>BB53+'Charges variables'!BC32-'Charges variables'!BC14</f>
        <v>0</v>
      </c>
      <c r="BD53" s="67">
        <f>BC53+'Charges variables'!BD32-'Charges variables'!BD14</f>
        <v>0</v>
      </c>
      <c r="BE53" s="67">
        <f>BD53+'Charges variables'!BE32-'Charges variables'!BE14</f>
        <v>0</v>
      </c>
      <c r="BF53" s="67">
        <f>BE53+'Charges variables'!BF32-'Charges variables'!BF14</f>
        <v>0</v>
      </c>
      <c r="BG53" s="67">
        <f>BF53+'Charges variables'!BG32-'Charges variables'!BG14</f>
        <v>0</v>
      </c>
      <c r="BH53" s="67">
        <f>BG53+'Charges variables'!BH32-'Charges variables'!BH14</f>
        <v>0</v>
      </c>
      <c r="BI53" s="67">
        <f>BH53+'Charges variables'!BI32-'Charges variables'!BI14</f>
        <v>0</v>
      </c>
      <c r="BJ53" s="67">
        <f>BI53+'Charges variables'!BJ32-'Charges variables'!BJ14</f>
        <v>0</v>
      </c>
      <c r="BK53" s="70"/>
    </row>
    <row r="54" spans="2:63" x14ac:dyDescent="0.2">
      <c r="B54" s="46">
        <f>Config!$B$20</f>
        <v>0</v>
      </c>
      <c r="C54" s="67">
        <f>'Charges variables'!C33-'Charges variables'!C15</f>
        <v>0</v>
      </c>
      <c r="D54" s="67">
        <f>C54+'Charges variables'!D33-'Charges variables'!D15</f>
        <v>0</v>
      </c>
      <c r="E54" s="67">
        <f>D54+'Charges variables'!E33-'Charges variables'!E15</f>
        <v>0</v>
      </c>
      <c r="F54" s="67">
        <f>E54+'Charges variables'!F33-'Charges variables'!F15</f>
        <v>0</v>
      </c>
      <c r="G54" s="67">
        <f>F54+'Charges variables'!G33-'Charges variables'!G15</f>
        <v>0</v>
      </c>
      <c r="H54" s="67">
        <f>G54+'Charges variables'!H33-'Charges variables'!H15</f>
        <v>0</v>
      </c>
      <c r="I54" s="67">
        <f>H54+'Charges variables'!I33-'Charges variables'!I15</f>
        <v>0</v>
      </c>
      <c r="J54" s="67">
        <f>I54+'Charges variables'!J33-'Charges variables'!J15</f>
        <v>0</v>
      </c>
      <c r="K54" s="67">
        <f>J54+'Charges variables'!K33-'Charges variables'!K15</f>
        <v>0</v>
      </c>
      <c r="L54" s="67">
        <f>K54+'Charges variables'!L33-'Charges variables'!L15</f>
        <v>0</v>
      </c>
      <c r="M54" s="67">
        <f>L54+'Charges variables'!M33-'Charges variables'!M15</f>
        <v>0</v>
      </c>
      <c r="N54" s="67">
        <f>M54+'Charges variables'!N33-'Charges variables'!N15</f>
        <v>0</v>
      </c>
      <c r="O54" s="67">
        <f>N54+'Charges variables'!O33-'Charges variables'!O15</f>
        <v>0</v>
      </c>
      <c r="P54" s="67">
        <f>O54+'Charges variables'!P33-'Charges variables'!P15</f>
        <v>0</v>
      </c>
      <c r="Q54" s="67">
        <f>P54+'Charges variables'!Q33-'Charges variables'!Q15</f>
        <v>0</v>
      </c>
      <c r="R54" s="67">
        <f>Q54+'Charges variables'!R33-'Charges variables'!R15</f>
        <v>0</v>
      </c>
      <c r="S54" s="67">
        <f>R54+'Charges variables'!S33-'Charges variables'!S15</f>
        <v>0</v>
      </c>
      <c r="T54" s="67">
        <f>S54+'Charges variables'!T33-'Charges variables'!T15</f>
        <v>0</v>
      </c>
      <c r="U54" s="67">
        <f>T54+'Charges variables'!U33-'Charges variables'!U15</f>
        <v>0</v>
      </c>
      <c r="V54" s="67">
        <f>U54+'Charges variables'!V33-'Charges variables'!V15</f>
        <v>0</v>
      </c>
      <c r="W54" s="67">
        <f>V54+'Charges variables'!W33-'Charges variables'!W15</f>
        <v>0</v>
      </c>
      <c r="X54" s="67">
        <f>W54+'Charges variables'!X33-'Charges variables'!X15</f>
        <v>0</v>
      </c>
      <c r="Y54" s="67">
        <f>X54+'Charges variables'!Y33-'Charges variables'!Y15</f>
        <v>0</v>
      </c>
      <c r="Z54" s="67">
        <f>Y54+'Charges variables'!Z33-'Charges variables'!Z15</f>
        <v>0</v>
      </c>
      <c r="AA54" s="67">
        <f>Z54+'Charges variables'!AA33-'Charges variables'!AA15</f>
        <v>0</v>
      </c>
      <c r="AB54" s="67">
        <f>AA54+'Charges variables'!AB33-'Charges variables'!AB15</f>
        <v>0</v>
      </c>
      <c r="AC54" s="67">
        <f>AB54+'Charges variables'!AC33-'Charges variables'!AC15</f>
        <v>0</v>
      </c>
      <c r="AD54" s="67">
        <f>AC54+'Charges variables'!AD33-'Charges variables'!AD15</f>
        <v>0</v>
      </c>
      <c r="AE54" s="67">
        <f>AD54+'Charges variables'!AE33-'Charges variables'!AE15</f>
        <v>0</v>
      </c>
      <c r="AF54" s="67">
        <f>AE54+'Charges variables'!AF33-'Charges variables'!AF15</f>
        <v>0</v>
      </c>
      <c r="AG54" s="67">
        <f>AF54+'Charges variables'!AG33-'Charges variables'!AG15</f>
        <v>0</v>
      </c>
      <c r="AH54" s="67">
        <f>AG54+'Charges variables'!AH33-'Charges variables'!AH15</f>
        <v>0</v>
      </c>
      <c r="AI54" s="67">
        <f>AH54+'Charges variables'!AI33-'Charges variables'!AI15</f>
        <v>0</v>
      </c>
      <c r="AJ54" s="67">
        <f>AI54+'Charges variables'!AJ33-'Charges variables'!AJ15</f>
        <v>0</v>
      </c>
      <c r="AK54" s="67">
        <f>AJ54+'Charges variables'!AK33-'Charges variables'!AK15</f>
        <v>0</v>
      </c>
      <c r="AL54" s="67">
        <f>AK54+'Charges variables'!AL33-'Charges variables'!AL15</f>
        <v>0</v>
      </c>
      <c r="AM54" s="67">
        <f>AL54+'Charges variables'!AM33-'Charges variables'!AM15</f>
        <v>0</v>
      </c>
      <c r="AN54" s="67">
        <f>AM54+'Charges variables'!AN33-'Charges variables'!AN15</f>
        <v>0</v>
      </c>
      <c r="AO54" s="67">
        <f>AN54+'Charges variables'!AO33-'Charges variables'!AO15</f>
        <v>0</v>
      </c>
      <c r="AP54" s="67">
        <f>AO54+'Charges variables'!AP33-'Charges variables'!AP15</f>
        <v>0</v>
      </c>
      <c r="AQ54" s="67">
        <f>AP54+'Charges variables'!AQ33-'Charges variables'!AQ15</f>
        <v>0</v>
      </c>
      <c r="AR54" s="67">
        <f>AQ54+'Charges variables'!AR33-'Charges variables'!AR15</f>
        <v>0</v>
      </c>
      <c r="AS54" s="67">
        <f>AR54+'Charges variables'!AS33-'Charges variables'!AS15</f>
        <v>0</v>
      </c>
      <c r="AT54" s="67">
        <f>AS54+'Charges variables'!AT33-'Charges variables'!AT15</f>
        <v>0</v>
      </c>
      <c r="AU54" s="67">
        <f>AT54+'Charges variables'!AU33-'Charges variables'!AU15</f>
        <v>0</v>
      </c>
      <c r="AV54" s="67">
        <f>AU54+'Charges variables'!AV33-'Charges variables'!AV15</f>
        <v>0</v>
      </c>
      <c r="AW54" s="67">
        <f>AV54+'Charges variables'!AW33-'Charges variables'!AW15</f>
        <v>0</v>
      </c>
      <c r="AX54" s="67">
        <f>AW54+'Charges variables'!AX33-'Charges variables'!AX15</f>
        <v>0</v>
      </c>
      <c r="AY54" s="67">
        <f>AX54+'Charges variables'!AY33-'Charges variables'!AY15</f>
        <v>0</v>
      </c>
      <c r="AZ54" s="67">
        <f>AY54+'Charges variables'!AZ33-'Charges variables'!AZ15</f>
        <v>0</v>
      </c>
      <c r="BA54" s="67">
        <f>AZ54+'Charges variables'!BA33-'Charges variables'!BA15</f>
        <v>0</v>
      </c>
      <c r="BB54" s="67">
        <f>BA54+'Charges variables'!BB33-'Charges variables'!BB15</f>
        <v>0</v>
      </c>
      <c r="BC54" s="67">
        <f>BB54+'Charges variables'!BC33-'Charges variables'!BC15</f>
        <v>0</v>
      </c>
      <c r="BD54" s="67">
        <f>BC54+'Charges variables'!BD33-'Charges variables'!BD15</f>
        <v>0</v>
      </c>
      <c r="BE54" s="67">
        <f>BD54+'Charges variables'!BE33-'Charges variables'!BE15</f>
        <v>0</v>
      </c>
      <c r="BF54" s="67">
        <f>BE54+'Charges variables'!BF33-'Charges variables'!BF15</f>
        <v>0</v>
      </c>
      <c r="BG54" s="67">
        <f>BF54+'Charges variables'!BG33-'Charges variables'!BG15</f>
        <v>0</v>
      </c>
      <c r="BH54" s="67">
        <f>BG54+'Charges variables'!BH33-'Charges variables'!BH15</f>
        <v>0</v>
      </c>
      <c r="BI54" s="67">
        <f>BH54+'Charges variables'!BI33-'Charges variables'!BI15</f>
        <v>0</v>
      </c>
      <c r="BJ54" s="67">
        <f>BI54+'Charges variables'!BJ33-'Charges variables'!BJ15</f>
        <v>0</v>
      </c>
      <c r="BK54" s="70"/>
    </row>
    <row r="55" spans="2:63" x14ac:dyDescent="0.2">
      <c r="B55" s="46">
        <f>Config!$B$21</f>
        <v>0</v>
      </c>
      <c r="C55" s="67">
        <f>'Charges variables'!C34-'Charges variables'!C16</f>
        <v>0</v>
      </c>
      <c r="D55" s="67">
        <f>C55+'Charges variables'!D34-'Charges variables'!D16</f>
        <v>0</v>
      </c>
      <c r="E55" s="67">
        <f>D55+'Charges variables'!E34-'Charges variables'!E16</f>
        <v>0</v>
      </c>
      <c r="F55" s="67">
        <f>E55+'Charges variables'!F34-'Charges variables'!F16</f>
        <v>0</v>
      </c>
      <c r="G55" s="67">
        <f>F55+'Charges variables'!G34-'Charges variables'!G16</f>
        <v>0</v>
      </c>
      <c r="H55" s="67">
        <f>G55+'Charges variables'!H34-'Charges variables'!H16</f>
        <v>0</v>
      </c>
      <c r="I55" s="67">
        <f>H55+'Charges variables'!I34-'Charges variables'!I16</f>
        <v>0</v>
      </c>
      <c r="J55" s="67">
        <f>I55+'Charges variables'!J34-'Charges variables'!J16</f>
        <v>0</v>
      </c>
      <c r="K55" s="67">
        <f>J55+'Charges variables'!K34-'Charges variables'!K16</f>
        <v>0</v>
      </c>
      <c r="L55" s="67">
        <f>K55+'Charges variables'!L34-'Charges variables'!L16</f>
        <v>0</v>
      </c>
      <c r="M55" s="67">
        <f>L55+'Charges variables'!M34-'Charges variables'!M16</f>
        <v>0</v>
      </c>
      <c r="N55" s="67">
        <f>M55+'Charges variables'!N34-'Charges variables'!N16</f>
        <v>0</v>
      </c>
      <c r="O55" s="67">
        <f>N55+'Charges variables'!O34-'Charges variables'!O16</f>
        <v>0</v>
      </c>
      <c r="P55" s="67">
        <f>O55+'Charges variables'!P34-'Charges variables'!P16</f>
        <v>0</v>
      </c>
      <c r="Q55" s="67">
        <f>P55+'Charges variables'!Q34-'Charges variables'!Q16</f>
        <v>0</v>
      </c>
      <c r="R55" s="67">
        <f>Q55+'Charges variables'!R34-'Charges variables'!R16</f>
        <v>0</v>
      </c>
      <c r="S55" s="67">
        <f>R55+'Charges variables'!S34-'Charges variables'!S16</f>
        <v>0</v>
      </c>
      <c r="T55" s="67">
        <f>S55+'Charges variables'!T34-'Charges variables'!T16</f>
        <v>0</v>
      </c>
      <c r="U55" s="67">
        <f>T55+'Charges variables'!U34-'Charges variables'!U16</f>
        <v>0</v>
      </c>
      <c r="V55" s="67">
        <f>U55+'Charges variables'!V34-'Charges variables'!V16</f>
        <v>0</v>
      </c>
      <c r="W55" s="67">
        <f>V55+'Charges variables'!W34-'Charges variables'!W16</f>
        <v>0</v>
      </c>
      <c r="X55" s="67">
        <f>W55+'Charges variables'!X34-'Charges variables'!X16</f>
        <v>0</v>
      </c>
      <c r="Y55" s="67">
        <f>X55+'Charges variables'!Y34-'Charges variables'!Y16</f>
        <v>0</v>
      </c>
      <c r="Z55" s="67">
        <f>Y55+'Charges variables'!Z34-'Charges variables'!Z16</f>
        <v>0</v>
      </c>
      <c r="AA55" s="67">
        <f>Z55+'Charges variables'!AA34-'Charges variables'!AA16</f>
        <v>0</v>
      </c>
      <c r="AB55" s="67">
        <f>AA55+'Charges variables'!AB34-'Charges variables'!AB16</f>
        <v>0</v>
      </c>
      <c r="AC55" s="67">
        <f>AB55+'Charges variables'!AC34-'Charges variables'!AC16</f>
        <v>0</v>
      </c>
      <c r="AD55" s="67">
        <f>AC55+'Charges variables'!AD34-'Charges variables'!AD16</f>
        <v>0</v>
      </c>
      <c r="AE55" s="67">
        <f>AD55+'Charges variables'!AE34-'Charges variables'!AE16</f>
        <v>0</v>
      </c>
      <c r="AF55" s="67">
        <f>AE55+'Charges variables'!AF34-'Charges variables'!AF16</f>
        <v>0</v>
      </c>
      <c r="AG55" s="67">
        <f>AF55+'Charges variables'!AG34-'Charges variables'!AG16</f>
        <v>0</v>
      </c>
      <c r="AH55" s="67">
        <f>AG55+'Charges variables'!AH34-'Charges variables'!AH16</f>
        <v>0</v>
      </c>
      <c r="AI55" s="67">
        <f>AH55+'Charges variables'!AI34-'Charges variables'!AI16</f>
        <v>0</v>
      </c>
      <c r="AJ55" s="67">
        <f>AI55+'Charges variables'!AJ34-'Charges variables'!AJ16</f>
        <v>0</v>
      </c>
      <c r="AK55" s="67">
        <f>AJ55+'Charges variables'!AK34-'Charges variables'!AK16</f>
        <v>0</v>
      </c>
      <c r="AL55" s="67">
        <f>AK55+'Charges variables'!AL34-'Charges variables'!AL16</f>
        <v>0</v>
      </c>
      <c r="AM55" s="67">
        <f>AL55+'Charges variables'!AM34-'Charges variables'!AM16</f>
        <v>0</v>
      </c>
      <c r="AN55" s="67">
        <f>AM55+'Charges variables'!AN34-'Charges variables'!AN16</f>
        <v>0</v>
      </c>
      <c r="AO55" s="67">
        <f>AN55+'Charges variables'!AO34-'Charges variables'!AO16</f>
        <v>0</v>
      </c>
      <c r="AP55" s="67">
        <f>AO55+'Charges variables'!AP34-'Charges variables'!AP16</f>
        <v>0</v>
      </c>
      <c r="AQ55" s="67">
        <f>AP55+'Charges variables'!AQ34-'Charges variables'!AQ16</f>
        <v>0</v>
      </c>
      <c r="AR55" s="67">
        <f>AQ55+'Charges variables'!AR34-'Charges variables'!AR16</f>
        <v>0</v>
      </c>
      <c r="AS55" s="67">
        <f>AR55+'Charges variables'!AS34-'Charges variables'!AS16</f>
        <v>0</v>
      </c>
      <c r="AT55" s="67">
        <f>AS55+'Charges variables'!AT34-'Charges variables'!AT16</f>
        <v>0</v>
      </c>
      <c r="AU55" s="67">
        <f>AT55+'Charges variables'!AU34-'Charges variables'!AU16</f>
        <v>0</v>
      </c>
      <c r="AV55" s="67">
        <f>AU55+'Charges variables'!AV34-'Charges variables'!AV16</f>
        <v>0</v>
      </c>
      <c r="AW55" s="67">
        <f>AV55+'Charges variables'!AW34-'Charges variables'!AW16</f>
        <v>0</v>
      </c>
      <c r="AX55" s="67">
        <f>AW55+'Charges variables'!AX34-'Charges variables'!AX16</f>
        <v>0</v>
      </c>
      <c r="AY55" s="67">
        <f>AX55+'Charges variables'!AY34-'Charges variables'!AY16</f>
        <v>0</v>
      </c>
      <c r="AZ55" s="67">
        <f>AY55+'Charges variables'!AZ34-'Charges variables'!AZ16</f>
        <v>0</v>
      </c>
      <c r="BA55" s="67">
        <f>AZ55+'Charges variables'!BA34-'Charges variables'!BA16</f>
        <v>0</v>
      </c>
      <c r="BB55" s="67">
        <f>BA55+'Charges variables'!BB34-'Charges variables'!BB16</f>
        <v>0</v>
      </c>
      <c r="BC55" s="67">
        <f>BB55+'Charges variables'!BC34-'Charges variables'!BC16</f>
        <v>0</v>
      </c>
      <c r="BD55" s="67">
        <f>BC55+'Charges variables'!BD34-'Charges variables'!BD16</f>
        <v>0</v>
      </c>
      <c r="BE55" s="67">
        <f>BD55+'Charges variables'!BE34-'Charges variables'!BE16</f>
        <v>0</v>
      </c>
      <c r="BF55" s="67">
        <f>BE55+'Charges variables'!BF34-'Charges variables'!BF16</f>
        <v>0</v>
      </c>
      <c r="BG55" s="67">
        <f>BF55+'Charges variables'!BG34-'Charges variables'!BG16</f>
        <v>0</v>
      </c>
      <c r="BH55" s="67">
        <f>BG55+'Charges variables'!BH34-'Charges variables'!BH16</f>
        <v>0</v>
      </c>
      <c r="BI55" s="67">
        <f>BH55+'Charges variables'!BI34-'Charges variables'!BI16</f>
        <v>0</v>
      </c>
      <c r="BJ55" s="67">
        <f>BI55+'Charges variables'!BJ34-'Charges variables'!BJ16</f>
        <v>0</v>
      </c>
      <c r="BK55" s="70"/>
    </row>
    <row r="56" spans="2:63" x14ac:dyDescent="0.2">
      <c r="B56" s="46">
        <f>Config!$B$22</f>
        <v>0</v>
      </c>
      <c r="C56" s="67">
        <f>'Charges variables'!C35-'Charges variables'!C17</f>
        <v>0</v>
      </c>
      <c r="D56" s="67">
        <f>C56+'Charges variables'!D35-'Charges variables'!D17</f>
        <v>0</v>
      </c>
      <c r="E56" s="67">
        <f>D56+'Charges variables'!E35-'Charges variables'!E17</f>
        <v>0</v>
      </c>
      <c r="F56" s="67">
        <f>E56+'Charges variables'!F35-'Charges variables'!F17</f>
        <v>0</v>
      </c>
      <c r="G56" s="67">
        <f>F56+'Charges variables'!G35-'Charges variables'!G17</f>
        <v>0</v>
      </c>
      <c r="H56" s="67">
        <f>G56+'Charges variables'!H35-'Charges variables'!H17</f>
        <v>0</v>
      </c>
      <c r="I56" s="67">
        <f>H56+'Charges variables'!I35-'Charges variables'!I17</f>
        <v>0</v>
      </c>
      <c r="J56" s="67">
        <f>I56+'Charges variables'!J35-'Charges variables'!J17</f>
        <v>0</v>
      </c>
      <c r="K56" s="67">
        <f>J56+'Charges variables'!K35-'Charges variables'!K17</f>
        <v>0</v>
      </c>
      <c r="L56" s="67">
        <f>K56+'Charges variables'!L35-'Charges variables'!L17</f>
        <v>0</v>
      </c>
      <c r="M56" s="67">
        <f>L56+'Charges variables'!M35-'Charges variables'!M17</f>
        <v>0</v>
      </c>
      <c r="N56" s="67">
        <f>M56+'Charges variables'!N35-'Charges variables'!N17</f>
        <v>0</v>
      </c>
      <c r="O56" s="67">
        <f>N56+'Charges variables'!O35-'Charges variables'!O17</f>
        <v>0</v>
      </c>
      <c r="P56" s="67">
        <f>O56+'Charges variables'!P35-'Charges variables'!P17</f>
        <v>0</v>
      </c>
      <c r="Q56" s="67">
        <f>P56+'Charges variables'!Q35-'Charges variables'!Q17</f>
        <v>0</v>
      </c>
      <c r="R56" s="67">
        <f>Q56+'Charges variables'!R35-'Charges variables'!R17</f>
        <v>0</v>
      </c>
      <c r="S56" s="67">
        <f>R56+'Charges variables'!S35-'Charges variables'!S17</f>
        <v>0</v>
      </c>
      <c r="T56" s="67">
        <f>S56+'Charges variables'!T35-'Charges variables'!T17</f>
        <v>0</v>
      </c>
      <c r="U56" s="67">
        <f>T56+'Charges variables'!U35-'Charges variables'!U17</f>
        <v>0</v>
      </c>
      <c r="V56" s="67">
        <f>U56+'Charges variables'!V35-'Charges variables'!V17</f>
        <v>0</v>
      </c>
      <c r="W56" s="67">
        <f>V56+'Charges variables'!W35-'Charges variables'!W17</f>
        <v>0</v>
      </c>
      <c r="X56" s="67">
        <f>W56+'Charges variables'!X35-'Charges variables'!X17</f>
        <v>0</v>
      </c>
      <c r="Y56" s="67">
        <f>X56+'Charges variables'!Y35-'Charges variables'!Y17</f>
        <v>0</v>
      </c>
      <c r="Z56" s="67">
        <f>Y56+'Charges variables'!Z35-'Charges variables'!Z17</f>
        <v>0</v>
      </c>
      <c r="AA56" s="67">
        <f>Z56+'Charges variables'!AA35-'Charges variables'!AA17</f>
        <v>0</v>
      </c>
      <c r="AB56" s="67">
        <f>AA56+'Charges variables'!AB35-'Charges variables'!AB17</f>
        <v>0</v>
      </c>
      <c r="AC56" s="67">
        <f>AB56+'Charges variables'!AC35-'Charges variables'!AC17</f>
        <v>0</v>
      </c>
      <c r="AD56" s="67">
        <f>AC56+'Charges variables'!AD35-'Charges variables'!AD17</f>
        <v>0</v>
      </c>
      <c r="AE56" s="67">
        <f>AD56+'Charges variables'!AE35-'Charges variables'!AE17</f>
        <v>0</v>
      </c>
      <c r="AF56" s="67">
        <f>AE56+'Charges variables'!AF35-'Charges variables'!AF17</f>
        <v>0</v>
      </c>
      <c r="AG56" s="67">
        <f>AF56+'Charges variables'!AG35-'Charges variables'!AG17</f>
        <v>0</v>
      </c>
      <c r="AH56" s="67">
        <f>AG56+'Charges variables'!AH35-'Charges variables'!AH17</f>
        <v>0</v>
      </c>
      <c r="AI56" s="67">
        <f>AH56+'Charges variables'!AI35-'Charges variables'!AI17</f>
        <v>0</v>
      </c>
      <c r="AJ56" s="67">
        <f>AI56+'Charges variables'!AJ35-'Charges variables'!AJ17</f>
        <v>0</v>
      </c>
      <c r="AK56" s="67">
        <f>AJ56+'Charges variables'!AK35-'Charges variables'!AK17</f>
        <v>0</v>
      </c>
      <c r="AL56" s="67">
        <f>AK56+'Charges variables'!AL35-'Charges variables'!AL17</f>
        <v>0</v>
      </c>
      <c r="AM56" s="67">
        <f>AL56+'Charges variables'!AM35-'Charges variables'!AM17</f>
        <v>0</v>
      </c>
      <c r="AN56" s="67">
        <f>AM56+'Charges variables'!AN35-'Charges variables'!AN17</f>
        <v>0</v>
      </c>
      <c r="AO56" s="67">
        <f>AN56+'Charges variables'!AO35-'Charges variables'!AO17</f>
        <v>0</v>
      </c>
      <c r="AP56" s="67">
        <f>AO56+'Charges variables'!AP35-'Charges variables'!AP17</f>
        <v>0</v>
      </c>
      <c r="AQ56" s="67">
        <f>AP56+'Charges variables'!AQ35-'Charges variables'!AQ17</f>
        <v>0</v>
      </c>
      <c r="AR56" s="67">
        <f>AQ56+'Charges variables'!AR35-'Charges variables'!AR17</f>
        <v>0</v>
      </c>
      <c r="AS56" s="67">
        <f>AR56+'Charges variables'!AS35-'Charges variables'!AS17</f>
        <v>0</v>
      </c>
      <c r="AT56" s="67">
        <f>AS56+'Charges variables'!AT35-'Charges variables'!AT17</f>
        <v>0</v>
      </c>
      <c r="AU56" s="67">
        <f>AT56+'Charges variables'!AU35-'Charges variables'!AU17</f>
        <v>0</v>
      </c>
      <c r="AV56" s="67">
        <f>AU56+'Charges variables'!AV35-'Charges variables'!AV17</f>
        <v>0</v>
      </c>
      <c r="AW56" s="67">
        <f>AV56+'Charges variables'!AW35-'Charges variables'!AW17</f>
        <v>0</v>
      </c>
      <c r="AX56" s="67">
        <f>AW56+'Charges variables'!AX35-'Charges variables'!AX17</f>
        <v>0</v>
      </c>
      <c r="AY56" s="67">
        <f>AX56+'Charges variables'!AY35-'Charges variables'!AY17</f>
        <v>0</v>
      </c>
      <c r="AZ56" s="67">
        <f>AY56+'Charges variables'!AZ35-'Charges variables'!AZ17</f>
        <v>0</v>
      </c>
      <c r="BA56" s="67">
        <f>AZ56+'Charges variables'!BA35-'Charges variables'!BA17</f>
        <v>0</v>
      </c>
      <c r="BB56" s="67">
        <f>BA56+'Charges variables'!BB35-'Charges variables'!BB17</f>
        <v>0</v>
      </c>
      <c r="BC56" s="67">
        <f>BB56+'Charges variables'!BC35-'Charges variables'!BC17</f>
        <v>0</v>
      </c>
      <c r="BD56" s="67">
        <f>BC56+'Charges variables'!BD35-'Charges variables'!BD17</f>
        <v>0</v>
      </c>
      <c r="BE56" s="67">
        <f>BD56+'Charges variables'!BE35-'Charges variables'!BE17</f>
        <v>0</v>
      </c>
      <c r="BF56" s="67">
        <f>BE56+'Charges variables'!BF35-'Charges variables'!BF17</f>
        <v>0</v>
      </c>
      <c r="BG56" s="67">
        <f>BF56+'Charges variables'!BG35-'Charges variables'!BG17</f>
        <v>0</v>
      </c>
      <c r="BH56" s="67">
        <f>BG56+'Charges variables'!BH35-'Charges variables'!BH17</f>
        <v>0</v>
      </c>
      <c r="BI56" s="67">
        <f>BH56+'Charges variables'!BI35-'Charges variables'!BI17</f>
        <v>0</v>
      </c>
      <c r="BJ56" s="67">
        <f>BI56+'Charges variables'!BJ35-'Charges variables'!BJ17</f>
        <v>0</v>
      </c>
      <c r="BK56" s="70"/>
    </row>
    <row r="57" spans="2:63" x14ac:dyDescent="0.2">
      <c r="B57" s="46">
        <f>Config!$B$23</f>
        <v>0</v>
      </c>
      <c r="C57" s="67">
        <f>'Charges variables'!C36-'Charges variables'!C18</f>
        <v>0</v>
      </c>
      <c r="D57" s="67">
        <f>C57+'Charges variables'!D36-'Charges variables'!D18</f>
        <v>0</v>
      </c>
      <c r="E57" s="67">
        <f>D57+'Charges variables'!E36-'Charges variables'!E18</f>
        <v>0</v>
      </c>
      <c r="F57" s="67">
        <f>E57+'Charges variables'!F36-'Charges variables'!F18</f>
        <v>0</v>
      </c>
      <c r="G57" s="67">
        <f>F57+'Charges variables'!G36-'Charges variables'!G18</f>
        <v>0</v>
      </c>
      <c r="H57" s="67">
        <f>G57+'Charges variables'!H36-'Charges variables'!H18</f>
        <v>0</v>
      </c>
      <c r="I57" s="67">
        <f>H57+'Charges variables'!I36-'Charges variables'!I18</f>
        <v>0</v>
      </c>
      <c r="J57" s="67">
        <f>I57+'Charges variables'!J36-'Charges variables'!J18</f>
        <v>0</v>
      </c>
      <c r="K57" s="67">
        <f>J57+'Charges variables'!K36-'Charges variables'!K18</f>
        <v>0</v>
      </c>
      <c r="L57" s="67">
        <f>K57+'Charges variables'!L36-'Charges variables'!L18</f>
        <v>0</v>
      </c>
      <c r="M57" s="67">
        <f>L57+'Charges variables'!M36-'Charges variables'!M18</f>
        <v>0</v>
      </c>
      <c r="N57" s="67">
        <f>M57+'Charges variables'!N36-'Charges variables'!N18</f>
        <v>0</v>
      </c>
      <c r="O57" s="67">
        <f>N57+'Charges variables'!O36-'Charges variables'!O18</f>
        <v>0</v>
      </c>
      <c r="P57" s="67">
        <f>O57+'Charges variables'!P36-'Charges variables'!P18</f>
        <v>0</v>
      </c>
      <c r="Q57" s="67">
        <f>P57+'Charges variables'!Q36-'Charges variables'!Q18</f>
        <v>0</v>
      </c>
      <c r="R57" s="67">
        <f>Q57+'Charges variables'!R36-'Charges variables'!R18</f>
        <v>0</v>
      </c>
      <c r="S57" s="67">
        <f>R57+'Charges variables'!S36-'Charges variables'!S18</f>
        <v>0</v>
      </c>
      <c r="T57" s="67">
        <f>S57+'Charges variables'!T36-'Charges variables'!T18</f>
        <v>0</v>
      </c>
      <c r="U57" s="67">
        <f>T57+'Charges variables'!U36-'Charges variables'!U18</f>
        <v>0</v>
      </c>
      <c r="V57" s="67">
        <f>U57+'Charges variables'!V36-'Charges variables'!V18</f>
        <v>0</v>
      </c>
      <c r="W57" s="67">
        <f>V57+'Charges variables'!W36-'Charges variables'!W18</f>
        <v>0</v>
      </c>
      <c r="X57" s="67">
        <f>W57+'Charges variables'!X36-'Charges variables'!X18</f>
        <v>0</v>
      </c>
      <c r="Y57" s="67">
        <f>X57+'Charges variables'!Y36-'Charges variables'!Y18</f>
        <v>0</v>
      </c>
      <c r="Z57" s="67">
        <f>Y57+'Charges variables'!Z36-'Charges variables'!Z18</f>
        <v>0</v>
      </c>
      <c r="AA57" s="67">
        <f>Z57+'Charges variables'!AA36-'Charges variables'!AA18</f>
        <v>0</v>
      </c>
      <c r="AB57" s="67">
        <f>AA57+'Charges variables'!AB36-'Charges variables'!AB18</f>
        <v>0</v>
      </c>
      <c r="AC57" s="67">
        <f>AB57+'Charges variables'!AC36-'Charges variables'!AC18</f>
        <v>0</v>
      </c>
      <c r="AD57" s="67">
        <f>AC57+'Charges variables'!AD36-'Charges variables'!AD18</f>
        <v>0</v>
      </c>
      <c r="AE57" s="67">
        <f>AD57+'Charges variables'!AE36-'Charges variables'!AE18</f>
        <v>0</v>
      </c>
      <c r="AF57" s="67">
        <f>AE57+'Charges variables'!AF36-'Charges variables'!AF18</f>
        <v>0</v>
      </c>
      <c r="AG57" s="67">
        <f>AF57+'Charges variables'!AG36-'Charges variables'!AG18</f>
        <v>0</v>
      </c>
      <c r="AH57" s="67">
        <f>AG57+'Charges variables'!AH36-'Charges variables'!AH18</f>
        <v>0</v>
      </c>
      <c r="AI57" s="67">
        <f>AH57+'Charges variables'!AI36-'Charges variables'!AI18</f>
        <v>0</v>
      </c>
      <c r="AJ57" s="67">
        <f>AI57+'Charges variables'!AJ36-'Charges variables'!AJ18</f>
        <v>0</v>
      </c>
      <c r="AK57" s="67">
        <f>AJ57+'Charges variables'!AK36-'Charges variables'!AK18</f>
        <v>0</v>
      </c>
      <c r="AL57" s="67">
        <f>AK57+'Charges variables'!AL36-'Charges variables'!AL18</f>
        <v>0</v>
      </c>
      <c r="AM57" s="67">
        <f>AL57+'Charges variables'!AM36-'Charges variables'!AM18</f>
        <v>0</v>
      </c>
      <c r="AN57" s="67">
        <f>AM57+'Charges variables'!AN36-'Charges variables'!AN18</f>
        <v>0</v>
      </c>
      <c r="AO57" s="67">
        <f>AN57+'Charges variables'!AO36-'Charges variables'!AO18</f>
        <v>0</v>
      </c>
      <c r="AP57" s="67">
        <f>AO57+'Charges variables'!AP36-'Charges variables'!AP18</f>
        <v>0</v>
      </c>
      <c r="AQ57" s="67">
        <f>AP57+'Charges variables'!AQ36-'Charges variables'!AQ18</f>
        <v>0</v>
      </c>
      <c r="AR57" s="67">
        <f>AQ57+'Charges variables'!AR36-'Charges variables'!AR18</f>
        <v>0</v>
      </c>
      <c r="AS57" s="67">
        <f>AR57+'Charges variables'!AS36-'Charges variables'!AS18</f>
        <v>0</v>
      </c>
      <c r="AT57" s="67">
        <f>AS57+'Charges variables'!AT36-'Charges variables'!AT18</f>
        <v>0</v>
      </c>
      <c r="AU57" s="67">
        <f>AT57+'Charges variables'!AU36-'Charges variables'!AU18</f>
        <v>0</v>
      </c>
      <c r="AV57" s="67">
        <f>AU57+'Charges variables'!AV36-'Charges variables'!AV18</f>
        <v>0</v>
      </c>
      <c r="AW57" s="67">
        <f>AV57+'Charges variables'!AW36-'Charges variables'!AW18</f>
        <v>0</v>
      </c>
      <c r="AX57" s="67">
        <f>AW57+'Charges variables'!AX36-'Charges variables'!AX18</f>
        <v>0</v>
      </c>
      <c r="AY57" s="67">
        <f>AX57+'Charges variables'!AY36-'Charges variables'!AY18</f>
        <v>0</v>
      </c>
      <c r="AZ57" s="67">
        <f>AY57+'Charges variables'!AZ36-'Charges variables'!AZ18</f>
        <v>0</v>
      </c>
      <c r="BA57" s="67">
        <f>AZ57+'Charges variables'!BA36-'Charges variables'!BA18</f>
        <v>0</v>
      </c>
      <c r="BB57" s="67">
        <f>BA57+'Charges variables'!BB36-'Charges variables'!BB18</f>
        <v>0</v>
      </c>
      <c r="BC57" s="67">
        <f>BB57+'Charges variables'!BC36-'Charges variables'!BC18</f>
        <v>0</v>
      </c>
      <c r="BD57" s="67">
        <f>BC57+'Charges variables'!BD36-'Charges variables'!BD18</f>
        <v>0</v>
      </c>
      <c r="BE57" s="67">
        <f>BD57+'Charges variables'!BE36-'Charges variables'!BE18</f>
        <v>0</v>
      </c>
      <c r="BF57" s="67">
        <f>BE57+'Charges variables'!BF36-'Charges variables'!BF18</f>
        <v>0</v>
      </c>
      <c r="BG57" s="67">
        <f>BF57+'Charges variables'!BG36-'Charges variables'!BG18</f>
        <v>0</v>
      </c>
      <c r="BH57" s="67">
        <f>BG57+'Charges variables'!BH36-'Charges variables'!BH18</f>
        <v>0</v>
      </c>
      <c r="BI57" s="67">
        <f>BH57+'Charges variables'!BI36-'Charges variables'!BI18</f>
        <v>0</v>
      </c>
      <c r="BJ57" s="67">
        <f>BI57+'Charges variables'!BJ36-'Charges variables'!BJ18</f>
        <v>0</v>
      </c>
      <c r="BK57" s="70"/>
    </row>
    <row r="58" spans="2:63" x14ac:dyDescent="0.2">
      <c r="B58" s="46">
        <f>Config!$B$24</f>
        <v>0</v>
      </c>
      <c r="C58" s="67">
        <f>'Charges variables'!C37-'Charges variables'!C19</f>
        <v>0</v>
      </c>
      <c r="D58" s="67">
        <f>C58+'Charges variables'!D37-'Charges variables'!D19</f>
        <v>0</v>
      </c>
      <c r="E58" s="67">
        <f>D58+'Charges variables'!E37-'Charges variables'!E19</f>
        <v>0</v>
      </c>
      <c r="F58" s="67">
        <f>E58+'Charges variables'!F37-'Charges variables'!F19</f>
        <v>0</v>
      </c>
      <c r="G58" s="67">
        <f>F58+'Charges variables'!G37-'Charges variables'!G19</f>
        <v>0</v>
      </c>
      <c r="H58" s="67">
        <f>G58+'Charges variables'!H37-'Charges variables'!H19</f>
        <v>0</v>
      </c>
      <c r="I58" s="67">
        <f>H58+'Charges variables'!I37-'Charges variables'!I19</f>
        <v>0</v>
      </c>
      <c r="J58" s="67">
        <f>I58+'Charges variables'!J37-'Charges variables'!J19</f>
        <v>0</v>
      </c>
      <c r="K58" s="67">
        <f>J58+'Charges variables'!K37-'Charges variables'!K19</f>
        <v>0</v>
      </c>
      <c r="L58" s="67">
        <f>K58+'Charges variables'!L37-'Charges variables'!L19</f>
        <v>0</v>
      </c>
      <c r="M58" s="67">
        <f>L58+'Charges variables'!M37-'Charges variables'!M19</f>
        <v>0</v>
      </c>
      <c r="N58" s="67">
        <f>M58+'Charges variables'!N37-'Charges variables'!N19</f>
        <v>0</v>
      </c>
      <c r="O58" s="67">
        <f>N58+'Charges variables'!O37-'Charges variables'!O19</f>
        <v>0</v>
      </c>
      <c r="P58" s="67">
        <f>O58+'Charges variables'!P37-'Charges variables'!P19</f>
        <v>0</v>
      </c>
      <c r="Q58" s="67">
        <f>P58+'Charges variables'!Q37-'Charges variables'!Q19</f>
        <v>0</v>
      </c>
      <c r="R58" s="67">
        <f>Q58+'Charges variables'!R37-'Charges variables'!R19</f>
        <v>0</v>
      </c>
      <c r="S58" s="67">
        <f>R58+'Charges variables'!S37-'Charges variables'!S19</f>
        <v>0</v>
      </c>
      <c r="T58" s="67">
        <f>S58+'Charges variables'!T37-'Charges variables'!T19</f>
        <v>0</v>
      </c>
      <c r="U58" s="67">
        <f>T58+'Charges variables'!U37-'Charges variables'!U19</f>
        <v>0</v>
      </c>
      <c r="V58" s="67">
        <f>U58+'Charges variables'!V37-'Charges variables'!V19</f>
        <v>0</v>
      </c>
      <c r="W58" s="67">
        <f>V58+'Charges variables'!W37-'Charges variables'!W19</f>
        <v>0</v>
      </c>
      <c r="X58" s="67">
        <f>W58+'Charges variables'!X37-'Charges variables'!X19</f>
        <v>0</v>
      </c>
      <c r="Y58" s="67">
        <f>X58+'Charges variables'!Y37-'Charges variables'!Y19</f>
        <v>0</v>
      </c>
      <c r="Z58" s="67">
        <f>Y58+'Charges variables'!Z37-'Charges variables'!Z19</f>
        <v>0</v>
      </c>
      <c r="AA58" s="67">
        <f>Z58+'Charges variables'!AA37-'Charges variables'!AA19</f>
        <v>0</v>
      </c>
      <c r="AB58" s="67">
        <f>AA58+'Charges variables'!AB37-'Charges variables'!AB19</f>
        <v>0</v>
      </c>
      <c r="AC58" s="67">
        <f>AB58+'Charges variables'!AC37-'Charges variables'!AC19</f>
        <v>0</v>
      </c>
      <c r="AD58" s="67">
        <f>AC58+'Charges variables'!AD37-'Charges variables'!AD19</f>
        <v>0</v>
      </c>
      <c r="AE58" s="67">
        <f>AD58+'Charges variables'!AE37-'Charges variables'!AE19</f>
        <v>0</v>
      </c>
      <c r="AF58" s="67">
        <f>AE58+'Charges variables'!AF37-'Charges variables'!AF19</f>
        <v>0</v>
      </c>
      <c r="AG58" s="67">
        <f>AF58+'Charges variables'!AG37-'Charges variables'!AG19</f>
        <v>0</v>
      </c>
      <c r="AH58" s="67">
        <f>AG58+'Charges variables'!AH37-'Charges variables'!AH19</f>
        <v>0</v>
      </c>
      <c r="AI58" s="67">
        <f>AH58+'Charges variables'!AI37-'Charges variables'!AI19</f>
        <v>0</v>
      </c>
      <c r="AJ58" s="67">
        <f>AI58+'Charges variables'!AJ37-'Charges variables'!AJ19</f>
        <v>0</v>
      </c>
      <c r="AK58" s="67">
        <f>AJ58+'Charges variables'!AK37-'Charges variables'!AK19</f>
        <v>0</v>
      </c>
      <c r="AL58" s="67">
        <f>AK58+'Charges variables'!AL37-'Charges variables'!AL19</f>
        <v>0</v>
      </c>
      <c r="AM58" s="67">
        <f>AL58+'Charges variables'!AM37-'Charges variables'!AM19</f>
        <v>0</v>
      </c>
      <c r="AN58" s="67">
        <f>AM58+'Charges variables'!AN37-'Charges variables'!AN19</f>
        <v>0</v>
      </c>
      <c r="AO58" s="67">
        <f>AN58+'Charges variables'!AO37-'Charges variables'!AO19</f>
        <v>0</v>
      </c>
      <c r="AP58" s="67">
        <f>AO58+'Charges variables'!AP37-'Charges variables'!AP19</f>
        <v>0</v>
      </c>
      <c r="AQ58" s="67">
        <f>AP58+'Charges variables'!AQ37-'Charges variables'!AQ19</f>
        <v>0</v>
      </c>
      <c r="AR58" s="67">
        <f>AQ58+'Charges variables'!AR37-'Charges variables'!AR19</f>
        <v>0</v>
      </c>
      <c r="AS58" s="67">
        <f>AR58+'Charges variables'!AS37-'Charges variables'!AS19</f>
        <v>0</v>
      </c>
      <c r="AT58" s="67">
        <f>AS58+'Charges variables'!AT37-'Charges variables'!AT19</f>
        <v>0</v>
      </c>
      <c r="AU58" s="67">
        <f>AT58+'Charges variables'!AU37-'Charges variables'!AU19</f>
        <v>0</v>
      </c>
      <c r="AV58" s="67">
        <f>AU58+'Charges variables'!AV37-'Charges variables'!AV19</f>
        <v>0</v>
      </c>
      <c r="AW58" s="67">
        <f>AV58+'Charges variables'!AW37-'Charges variables'!AW19</f>
        <v>0</v>
      </c>
      <c r="AX58" s="67">
        <f>AW58+'Charges variables'!AX37-'Charges variables'!AX19</f>
        <v>0</v>
      </c>
      <c r="AY58" s="67">
        <f>AX58+'Charges variables'!AY37-'Charges variables'!AY19</f>
        <v>0</v>
      </c>
      <c r="AZ58" s="67">
        <f>AY58+'Charges variables'!AZ37-'Charges variables'!AZ19</f>
        <v>0</v>
      </c>
      <c r="BA58" s="67">
        <f>AZ58+'Charges variables'!BA37-'Charges variables'!BA19</f>
        <v>0</v>
      </c>
      <c r="BB58" s="67">
        <f>BA58+'Charges variables'!BB37-'Charges variables'!BB19</f>
        <v>0</v>
      </c>
      <c r="BC58" s="67">
        <f>BB58+'Charges variables'!BC37-'Charges variables'!BC19</f>
        <v>0</v>
      </c>
      <c r="BD58" s="67">
        <f>BC58+'Charges variables'!BD37-'Charges variables'!BD19</f>
        <v>0</v>
      </c>
      <c r="BE58" s="67">
        <f>BD58+'Charges variables'!BE37-'Charges variables'!BE19</f>
        <v>0</v>
      </c>
      <c r="BF58" s="67">
        <f>BE58+'Charges variables'!BF37-'Charges variables'!BF19</f>
        <v>0</v>
      </c>
      <c r="BG58" s="67">
        <f>BF58+'Charges variables'!BG37-'Charges variables'!BG19</f>
        <v>0</v>
      </c>
      <c r="BH58" s="67">
        <f>BG58+'Charges variables'!BH37-'Charges variables'!BH19</f>
        <v>0</v>
      </c>
      <c r="BI58" s="67">
        <f>BH58+'Charges variables'!BI37-'Charges variables'!BI19</f>
        <v>0</v>
      </c>
      <c r="BJ58" s="67">
        <f>BI58+'Charges variables'!BJ37-'Charges variables'!BJ19</f>
        <v>0</v>
      </c>
      <c r="BK58" s="70"/>
    </row>
    <row r="59" spans="2:63" x14ac:dyDescent="0.2">
      <c r="B59" s="46">
        <f>Config!$B$25</f>
        <v>0</v>
      </c>
      <c r="C59" s="67">
        <f>'Charges variables'!C38-'Charges variables'!C20</f>
        <v>0</v>
      </c>
      <c r="D59" s="67">
        <f>C59+'Charges variables'!D38-'Charges variables'!D20</f>
        <v>0</v>
      </c>
      <c r="E59" s="67">
        <f>D59+'Charges variables'!E38-'Charges variables'!E20</f>
        <v>0</v>
      </c>
      <c r="F59" s="67">
        <f>E59+'Charges variables'!F38-'Charges variables'!F20</f>
        <v>0</v>
      </c>
      <c r="G59" s="67">
        <f>F59+'Charges variables'!G38-'Charges variables'!G20</f>
        <v>0</v>
      </c>
      <c r="H59" s="67">
        <f>G59+'Charges variables'!H38-'Charges variables'!H20</f>
        <v>0</v>
      </c>
      <c r="I59" s="67">
        <f>H59+'Charges variables'!I38-'Charges variables'!I20</f>
        <v>0</v>
      </c>
      <c r="J59" s="67">
        <f>I59+'Charges variables'!J38-'Charges variables'!J20</f>
        <v>0</v>
      </c>
      <c r="K59" s="67">
        <f>J59+'Charges variables'!K38-'Charges variables'!K20</f>
        <v>0</v>
      </c>
      <c r="L59" s="67">
        <f>K59+'Charges variables'!L38-'Charges variables'!L20</f>
        <v>0</v>
      </c>
      <c r="M59" s="67">
        <f>L59+'Charges variables'!M38-'Charges variables'!M20</f>
        <v>0</v>
      </c>
      <c r="N59" s="67">
        <f>M59+'Charges variables'!N38-'Charges variables'!N20</f>
        <v>0</v>
      </c>
      <c r="O59" s="67">
        <f>N59+'Charges variables'!O38-'Charges variables'!O20</f>
        <v>0</v>
      </c>
      <c r="P59" s="67">
        <f>O59+'Charges variables'!P38-'Charges variables'!P20</f>
        <v>0</v>
      </c>
      <c r="Q59" s="67">
        <f>P59+'Charges variables'!Q38-'Charges variables'!Q20</f>
        <v>0</v>
      </c>
      <c r="R59" s="67">
        <f>Q59+'Charges variables'!R38-'Charges variables'!R20</f>
        <v>0</v>
      </c>
      <c r="S59" s="67">
        <f>R59+'Charges variables'!S38-'Charges variables'!S20</f>
        <v>0</v>
      </c>
      <c r="T59" s="67">
        <f>S59+'Charges variables'!T38-'Charges variables'!T20</f>
        <v>0</v>
      </c>
      <c r="U59" s="67">
        <f>T59+'Charges variables'!U38-'Charges variables'!U20</f>
        <v>0</v>
      </c>
      <c r="V59" s="67">
        <f>U59+'Charges variables'!V38-'Charges variables'!V20</f>
        <v>0</v>
      </c>
      <c r="W59" s="67">
        <f>V59+'Charges variables'!W38-'Charges variables'!W20</f>
        <v>0</v>
      </c>
      <c r="X59" s="67">
        <f>W59+'Charges variables'!X38-'Charges variables'!X20</f>
        <v>0</v>
      </c>
      <c r="Y59" s="67">
        <f>X59+'Charges variables'!Y38-'Charges variables'!Y20</f>
        <v>0</v>
      </c>
      <c r="Z59" s="67">
        <f>Y59+'Charges variables'!Z38-'Charges variables'!Z20</f>
        <v>0</v>
      </c>
      <c r="AA59" s="67">
        <f>Z59+'Charges variables'!AA38-'Charges variables'!AA20</f>
        <v>0</v>
      </c>
      <c r="AB59" s="67">
        <f>AA59+'Charges variables'!AB38-'Charges variables'!AB20</f>
        <v>0</v>
      </c>
      <c r="AC59" s="67">
        <f>AB59+'Charges variables'!AC38-'Charges variables'!AC20</f>
        <v>0</v>
      </c>
      <c r="AD59" s="67">
        <f>AC59+'Charges variables'!AD38-'Charges variables'!AD20</f>
        <v>0</v>
      </c>
      <c r="AE59" s="67">
        <f>AD59+'Charges variables'!AE38-'Charges variables'!AE20</f>
        <v>0</v>
      </c>
      <c r="AF59" s="67">
        <f>AE59+'Charges variables'!AF38-'Charges variables'!AF20</f>
        <v>0</v>
      </c>
      <c r="AG59" s="67">
        <f>AF59+'Charges variables'!AG38-'Charges variables'!AG20</f>
        <v>0</v>
      </c>
      <c r="AH59" s="67">
        <f>AG59+'Charges variables'!AH38-'Charges variables'!AH20</f>
        <v>0</v>
      </c>
      <c r="AI59" s="67">
        <f>AH59+'Charges variables'!AI38-'Charges variables'!AI20</f>
        <v>0</v>
      </c>
      <c r="AJ59" s="67">
        <f>AI59+'Charges variables'!AJ38-'Charges variables'!AJ20</f>
        <v>0</v>
      </c>
      <c r="AK59" s="67">
        <f>AJ59+'Charges variables'!AK38-'Charges variables'!AK20</f>
        <v>0</v>
      </c>
      <c r="AL59" s="67">
        <f>AK59+'Charges variables'!AL38-'Charges variables'!AL20</f>
        <v>0</v>
      </c>
      <c r="AM59" s="67">
        <f>AL59+'Charges variables'!AM38-'Charges variables'!AM20</f>
        <v>0</v>
      </c>
      <c r="AN59" s="67">
        <f>AM59+'Charges variables'!AN38-'Charges variables'!AN20</f>
        <v>0</v>
      </c>
      <c r="AO59" s="67">
        <f>AN59+'Charges variables'!AO38-'Charges variables'!AO20</f>
        <v>0</v>
      </c>
      <c r="AP59" s="67">
        <f>AO59+'Charges variables'!AP38-'Charges variables'!AP20</f>
        <v>0</v>
      </c>
      <c r="AQ59" s="67">
        <f>AP59+'Charges variables'!AQ38-'Charges variables'!AQ20</f>
        <v>0</v>
      </c>
      <c r="AR59" s="67">
        <f>AQ59+'Charges variables'!AR38-'Charges variables'!AR20</f>
        <v>0</v>
      </c>
      <c r="AS59" s="67">
        <f>AR59+'Charges variables'!AS38-'Charges variables'!AS20</f>
        <v>0</v>
      </c>
      <c r="AT59" s="67">
        <f>AS59+'Charges variables'!AT38-'Charges variables'!AT20</f>
        <v>0</v>
      </c>
      <c r="AU59" s="67">
        <f>AT59+'Charges variables'!AU38-'Charges variables'!AU20</f>
        <v>0</v>
      </c>
      <c r="AV59" s="67">
        <f>AU59+'Charges variables'!AV38-'Charges variables'!AV20</f>
        <v>0</v>
      </c>
      <c r="AW59" s="67">
        <f>AV59+'Charges variables'!AW38-'Charges variables'!AW20</f>
        <v>0</v>
      </c>
      <c r="AX59" s="67">
        <f>AW59+'Charges variables'!AX38-'Charges variables'!AX20</f>
        <v>0</v>
      </c>
      <c r="AY59" s="67">
        <f>AX59+'Charges variables'!AY38-'Charges variables'!AY20</f>
        <v>0</v>
      </c>
      <c r="AZ59" s="67">
        <f>AY59+'Charges variables'!AZ38-'Charges variables'!AZ20</f>
        <v>0</v>
      </c>
      <c r="BA59" s="67">
        <f>AZ59+'Charges variables'!BA38-'Charges variables'!BA20</f>
        <v>0</v>
      </c>
      <c r="BB59" s="67">
        <f>BA59+'Charges variables'!BB38-'Charges variables'!BB20</f>
        <v>0</v>
      </c>
      <c r="BC59" s="67">
        <f>BB59+'Charges variables'!BC38-'Charges variables'!BC20</f>
        <v>0</v>
      </c>
      <c r="BD59" s="67">
        <f>BC59+'Charges variables'!BD38-'Charges variables'!BD20</f>
        <v>0</v>
      </c>
      <c r="BE59" s="67">
        <f>BD59+'Charges variables'!BE38-'Charges variables'!BE20</f>
        <v>0</v>
      </c>
      <c r="BF59" s="67">
        <f>BE59+'Charges variables'!BF38-'Charges variables'!BF20</f>
        <v>0</v>
      </c>
      <c r="BG59" s="67">
        <f>BF59+'Charges variables'!BG38-'Charges variables'!BG20</f>
        <v>0</v>
      </c>
      <c r="BH59" s="67">
        <f>BG59+'Charges variables'!BH38-'Charges variables'!BH20</f>
        <v>0</v>
      </c>
      <c r="BI59" s="67">
        <f>BH59+'Charges variables'!BI38-'Charges variables'!BI20</f>
        <v>0</v>
      </c>
      <c r="BJ59" s="67">
        <f>BI59+'Charges variables'!BJ38-'Charges variables'!BJ20</f>
        <v>0</v>
      </c>
      <c r="BK59" s="70"/>
    </row>
    <row r="60" spans="2:63" x14ac:dyDescent="0.2">
      <c r="B60" s="115"/>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row>
    <row r="61" spans="2:63" x14ac:dyDescent="0.2">
      <c r="B61" s="144" t="s">
        <v>97</v>
      </c>
      <c r="C61" s="67">
        <f t="shared" ref="C61:AH61" si="8">SUM(C48:C59)</f>
        <v>448</v>
      </c>
      <c r="D61" s="67">
        <f t="shared" si="8"/>
        <v>1029.5</v>
      </c>
      <c r="E61" s="67">
        <f t="shared" si="8"/>
        <v>1853.5</v>
      </c>
      <c r="F61" s="67">
        <f t="shared" si="8"/>
        <v>3553</v>
      </c>
      <c r="G61" s="67">
        <f t="shared" si="8"/>
        <v>5225</v>
      </c>
      <c r="H61" s="67">
        <f t="shared" si="8"/>
        <v>6996</v>
      </c>
      <c r="I61" s="67">
        <f t="shared" si="8"/>
        <v>6800</v>
      </c>
      <c r="J61" s="67">
        <f t="shared" si="8"/>
        <v>6179</v>
      </c>
      <c r="K61" s="67">
        <f t="shared" si="8"/>
        <v>10319</v>
      </c>
      <c r="L61" s="67">
        <f t="shared" si="8"/>
        <v>10438</v>
      </c>
      <c r="M61" s="67">
        <f t="shared" si="8"/>
        <v>11383</v>
      </c>
      <c r="N61" s="67">
        <f t="shared" si="8"/>
        <v>15132.5</v>
      </c>
      <c r="O61" s="67">
        <f t="shared" si="8"/>
        <v>14524</v>
      </c>
      <c r="P61" s="67">
        <f t="shared" si="8"/>
        <v>14666</v>
      </c>
      <c r="Q61" s="67">
        <f t="shared" si="8"/>
        <v>16059</v>
      </c>
      <c r="R61" s="67">
        <f t="shared" si="8"/>
        <v>18581.5</v>
      </c>
      <c r="S61" s="67">
        <f t="shared" si="8"/>
        <v>21442</v>
      </c>
      <c r="T61" s="67">
        <f t="shared" si="8"/>
        <v>23877.5</v>
      </c>
      <c r="U61" s="67">
        <f t="shared" si="8"/>
        <v>23474</v>
      </c>
      <c r="V61" s="67">
        <f t="shared" si="8"/>
        <v>23133.5</v>
      </c>
      <c r="W61" s="67">
        <f t="shared" si="8"/>
        <v>29830.5</v>
      </c>
      <c r="X61" s="67">
        <f t="shared" si="8"/>
        <v>29742</v>
      </c>
      <c r="Y61" s="67">
        <f t="shared" si="8"/>
        <v>31317</v>
      </c>
      <c r="Z61" s="67">
        <f t="shared" si="8"/>
        <v>36975</v>
      </c>
      <c r="AA61" s="67">
        <f t="shared" si="8"/>
        <v>36602.5</v>
      </c>
      <c r="AB61" s="67">
        <f t="shared" si="8"/>
        <v>35884</v>
      </c>
      <c r="AC61" s="67">
        <f t="shared" si="8"/>
        <v>37655</v>
      </c>
      <c r="AD61" s="67">
        <f t="shared" si="8"/>
        <v>40177.5</v>
      </c>
      <c r="AE61" s="67">
        <f t="shared" si="8"/>
        <v>43463</v>
      </c>
      <c r="AF61" s="67">
        <f t="shared" si="8"/>
        <v>46323.5</v>
      </c>
      <c r="AG61" s="67">
        <f t="shared" si="8"/>
        <v>44755</v>
      </c>
      <c r="AH61" s="67">
        <f t="shared" si="8"/>
        <v>44099.5</v>
      </c>
      <c r="AI61" s="67">
        <f t="shared" ref="AI61:BJ61" si="9">SUM(AI48:AI59)</f>
        <v>50701.5</v>
      </c>
      <c r="AJ61" s="67">
        <f t="shared" si="9"/>
        <v>49763</v>
      </c>
      <c r="AK61" s="67">
        <f t="shared" si="9"/>
        <v>51338</v>
      </c>
      <c r="AL61" s="67">
        <f t="shared" si="9"/>
        <v>59887.5</v>
      </c>
      <c r="AM61" s="67">
        <f t="shared" si="9"/>
        <v>59551.5</v>
      </c>
      <c r="AN61" s="67">
        <f t="shared" si="9"/>
        <v>57605</v>
      </c>
      <c r="AO61" s="67">
        <f t="shared" si="9"/>
        <v>60116</v>
      </c>
      <c r="AP61" s="67">
        <f t="shared" si="9"/>
        <v>64531</v>
      </c>
      <c r="AQ61" s="67">
        <f t="shared" si="9"/>
        <v>69272.5</v>
      </c>
      <c r="AR61" s="67">
        <f t="shared" si="9"/>
        <v>74086</v>
      </c>
      <c r="AS61" s="67">
        <f t="shared" si="9"/>
        <v>72391.5</v>
      </c>
      <c r="AT61" s="67">
        <f t="shared" si="9"/>
        <v>71453</v>
      </c>
      <c r="AU61" s="67">
        <f t="shared" si="9"/>
        <v>82086</v>
      </c>
      <c r="AV61" s="67">
        <f t="shared" si="9"/>
        <v>81494.5</v>
      </c>
      <c r="AW61" s="67">
        <f t="shared" si="9"/>
        <v>84644.5</v>
      </c>
      <c r="AX61" s="67">
        <f t="shared" si="9"/>
        <v>97282.5</v>
      </c>
      <c r="AY61" s="67">
        <f t="shared" si="9"/>
        <v>96511</v>
      </c>
      <c r="AZ61" s="67">
        <f t="shared" si="9"/>
        <v>93966.5</v>
      </c>
      <c r="BA61" s="67">
        <f t="shared" si="9"/>
        <v>97182</v>
      </c>
      <c r="BB61" s="67">
        <f t="shared" si="9"/>
        <v>95218.5</v>
      </c>
      <c r="BC61" s="67">
        <f t="shared" si="9"/>
        <v>110667.5</v>
      </c>
      <c r="BD61" s="67">
        <f t="shared" si="9"/>
        <v>118341.5</v>
      </c>
      <c r="BE61" s="67">
        <f t="shared" si="9"/>
        <v>116558.5</v>
      </c>
      <c r="BF61" s="67">
        <f t="shared" si="9"/>
        <v>115437.5</v>
      </c>
      <c r="BG61" s="67">
        <f t="shared" si="9"/>
        <v>132672.5</v>
      </c>
      <c r="BH61" s="67">
        <f t="shared" si="9"/>
        <v>131142.5</v>
      </c>
      <c r="BI61" s="67">
        <f t="shared" si="9"/>
        <v>135867.5</v>
      </c>
      <c r="BJ61" s="67">
        <f t="shared" si="9"/>
        <v>156682.5</v>
      </c>
      <c r="BK61" s="70"/>
    </row>
    <row r="62" spans="2:63" x14ac:dyDescent="0.2">
      <c r="B62" s="115"/>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0"/>
    </row>
  </sheetData>
  <sheetProtection sheet="1" objects="1" scenarios="1"/>
  <mergeCells count="22">
    <mergeCell ref="AM7:AX7"/>
    <mergeCell ref="AY7:BJ7"/>
    <mergeCell ref="O23:Z23"/>
    <mergeCell ref="AM27:AX27"/>
    <mergeCell ref="AY46:BJ46"/>
    <mergeCell ref="AA23:AL23"/>
    <mergeCell ref="O7:Z7"/>
    <mergeCell ref="AY27:BJ27"/>
    <mergeCell ref="AM23:AX23"/>
    <mergeCell ref="AA27:AL27"/>
    <mergeCell ref="AM46:AX46"/>
    <mergeCell ref="AY23:BJ23"/>
    <mergeCell ref="B2:B3"/>
    <mergeCell ref="B5:N5"/>
    <mergeCell ref="C46:N46"/>
    <mergeCell ref="AA7:AL7"/>
    <mergeCell ref="C27:N27"/>
    <mergeCell ref="O46:Z46"/>
    <mergeCell ref="AA46:AL46"/>
    <mergeCell ref="C23:N23"/>
    <mergeCell ref="O27:Z27"/>
    <mergeCell ref="C7:N7"/>
  </mergeCells>
  <pageMargins left="0.7" right="0.7" top="0.75" bottom="0.75" header="0.3" footer="0.3"/>
  <pageSetup paperSize="9" orientation="portrait"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tabColor theme="3" tint="0.79998168889431442"/>
  </sheetPr>
  <dimension ref="B2:M17"/>
  <sheetViews>
    <sheetView showGridLines="0" showRowColHeaders="0" zoomScale="85" zoomScaleNormal="85" workbookViewId="0">
      <selection activeCell="C14" sqref="C14"/>
    </sheetView>
  </sheetViews>
  <sheetFormatPr baseColWidth="10" defaultColWidth="11.5" defaultRowHeight="15" x14ac:dyDescent="0.2"/>
  <cols>
    <col min="1" max="1" width="3.6640625" customWidth="1"/>
    <col min="2" max="2" width="39.5" customWidth="1"/>
    <col min="3" max="7" width="18.6640625" customWidth="1"/>
    <col min="8" max="8" width="3.5" customWidth="1"/>
    <col min="13" max="14" width="3.1640625" customWidth="1"/>
  </cols>
  <sheetData>
    <row r="2" spans="2:13" x14ac:dyDescent="0.2">
      <c r="B2" s="172" t="s">
        <v>275</v>
      </c>
      <c r="C2" s="177"/>
      <c r="D2" s="70"/>
      <c r="E2" s="70"/>
      <c r="F2" s="70"/>
      <c r="G2" s="70"/>
      <c r="H2" s="70"/>
      <c r="I2" s="70"/>
      <c r="J2" s="70"/>
      <c r="K2" s="70"/>
      <c r="L2" s="70"/>
      <c r="M2" s="70"/>
    </row>
    <row r="3" spans="2:13" x14ac:dyDescent="0.2">
      <c r="B3" s="161"/>
      <c r="C3" s="179"/>
      <c r="D3" s="111"/>
      <c r="E3" s="111"/>
      <c r="F3" s="111"/>
      <c r="G3" s="111"/>
      <c r="H3" s="70"/>
      <c r="I3" s="70"/>
      <c r="J3" s="70"/>
      <c r="K3" s="70"/>
      <c r="L3" s="70"/>
      <c r="M3" s="70"/>
    </row>
    <row r="4" spans="2:13" x14ac:dyDescent="0.2">
      <c r="B4" s="70"/>
      <c r="C4" s="70"/>
      <c r="D4" s="70"/>
      <c r="E4" s="70"/>
      <c r="F4" s="70"/>
      <c r="G4" s="70"/>
      <c r="H4" s="70"/>
      <c r="I4" s="70"/>
      <c r="J4" s="70"/>
      <c r="K4" s="70"/>
      <c r="L4" s="70"/>
      <c r="M4" s="70"/>
    </row>
    <row r="5" spans="2:13" x14ac:dyDescent="0.2">
      <c r="B5" s="190" t="s">
        <v>273</v>
      </c>
      <c r="C5" s="157"/>
      <c r="D5" s="157"/>
      <c r="E5" s="157"/>
      <c r="F5" s="157"/>
      <c r="G5" s="158"/>
      <c r="H5" s="70"/>
      <c r="I5" s="192" t="s">
        <v>276</v>
      </c>
      <c r="J5" s="176"/>
      <c r="K5" s="176"/>
      <c r="L5" s="177"/>
      <c r="M5" s="70"/>
    </row>
    <row r="6" spans="2:13" x14ac:dyDescent="0.2">
      <c r="B6" s="70"/>
      <c r="C6" s="70"/>
      <c r="D6" s="70"/>
      <c r="E6" s="70"/>
      <c r="F6" s="70"/>
      <c r="G6" s="70"/>
      <c r="H6" s="70"/>
      <c r="I6" s="193"/>
      <c r="J6" s="150"/>
      <c r="K6" s="150"/>
      <c r="L6" s="194"/>
      <c r="M6" s="70"/>
    </row>
    <row r="7" spans="2:13" x14ac:dyDescent="0.2">
      <c r="B7" s="70"/>
      <c r="C7" s="139" t="s">
        <v>77</v>
      </c>
      <c r="D7" s="139" t="s">
        <v>78</v>
      </c>
      <c r="E7" s="139" t="s">
        <v>79</v>
      </c>
      <c r="F7" s="139" t="s">
        <v>80</v>
      </c>
      <c r="G7" s="139" t="s">
        <v>81</v>
      </c>
      <c r="H7" s="70"/>
      <c r="I7" s="193"/>
      <c r="J7" s="150"/>
      <c r="K7" s="150"/>
      <c r="L7" s="194"/>
      <c r="M7" s="70"/>
    </row>
    <row r="8" spans="2:13" ht="16" customHeight="1" x14ac:dyDescent="0.2">
      <c r="B8" s="95" t="s">
        <v>277</v>
      </c>
      <c r="C8" s="67">
        <f>0.68%*'Personnel - Calculs auto'!N31</f>
        <v>746.44960000000003</v>
      </c>
      <c r="D8" s="67">
        <f>0.68%*'Personnel - Calculs auto'!AA31</f>
        <v>842.35</v>
      </c>
      <c r="E8" s="67">
        <f>0.68%*'Personnel - Calculs auto'!AD31</f>
        <v>1169.6000000000001</v>
      </c>
      <c r="F8" s="67">
        <f>0.68%*'Personnel - Calculs auto'!AG31</f>
        <v>1550.4</v>
      </c>
      <c r="G8" s="67">
        <f>0.68%*'Personnel - Calculs auto'!AJ31</f>
        <v>1978.8000000000002</v>
      </c>
      <c r="H8" s="70"/>
      <c r="I8" s="193"/>
      <c r="J8" s="150"/>
      <c r="K8" s="150"/>
      <c r="L8" s="194"/>
      <c r="M8" s="70"/>
    </row>
    <row r="9" spans="2:13" ht="16" customHeight="1" x14ac:dyDescent="0.2">
      <c r="B9" s="95" t="s">
        <v>278</v>
      </c>
      <c r="C9" s="67">
        <f>IF('Personnel - Calculs auto'!C6&lt;10,0.55%,IF('Personnel - Calculs auto'!C6&lt;20,1.05%,1.6%))*'Personnel - Calculs auto'!N31</f>
        <v>603.74600000000009</v>
      </c>
      <c r="D9" s="67">
        <f>IF('Personnel - Calculs auto'!D6&lt;10,0.55%,IF('Personnel - Calculs auto'!D6&lt;20,1.05%,1.6%))*'Personnel - Calculs auto'!AA31</f>
        <v>681.31250000000011</v>
      </c>
      <c r="E9" s="67">
        <f>IF('Personnel - Calculs auto'!E6&lt;10,0.55%,IF('Personnel - Calculs auto'!E6&lt;20,1.05%,1.6%))*'Personnel - Calculs auto'!AD31</f>
        <v>946.00000000000011</v>
      </c>
      <c r="F9" s="67">
        <f>IF('Personnel - Calculs auto'!F6&lt;10,0.55%,IF('Personnel - Calculs auto'!F6&lt;20,1.05%,1.6%))*'Personnel - Calculs auto'!AG31</f>
        <v>1254.0000000000002</v>
      </c>
      <c r="G9" s="67">
        <f>IF('Personnel - Calculs auto'!G6&lt;10,0.55%,IF('Personnel - Calculs auto'!G6&lt;20,1.05%,1.6%))*'Personnel - Calculs auto'!AJ31</f>
        <v>1600.5000000000002</v>
      </c>
      <c r="H9" s="70"/>
      <c r="I9" s="193"/>
      <c r="J9" s="150"/>
      <c r="K9" s="150"/>
      <c r="L9" s="194"/>
      <c r="M9" s="70"/>
    </row>
    <row r="10" spans="2:13" ht="16" customHeight="1" x14ac:dyDescent="0.2">
      <c r="B10" s="95" t="s">
        <v>279</v>
      </c>
      <c r="C10" s="67">
        <f>IF('Personnel - Calculs auto'!C6&lt;20,0,0.45%)*'Personnel - Calculs auto'!N31</f>
        <v>0</v>
      </c>
      <c r="D10" s="67">
        <f>IF('Personnel - Calculs auto'!D6&lt;20,0,0.45%)*'Personnel - Calculs auto'!AA31</f>
        <v>0</v>
      </c>
      <c r="E10" s="67">
        <f>IF('Personnel - Calculs auto'!E6&lt;20,0,0.45%)*'Personnel - Calculs auto'!AD31</f>
        <v>0</v>
      </c>
      <c r="F10" s="67">
        <f>IF('Personnel - Calculs auto'!F6&lt;20,0,0.45%)*'Personnel - Calculs auto'!AG31</f>
        <v>0</v>
      </c>
      <c r="G10" s="67">
        <f>IF('Personnel - Calculs auto'!G6&lt;20,0,0.45%)*'Personnel - Calculs auto'!AJ31</f>
        <v>0</v>
      </c>
      <c r="H10" s="70"/>
      <c r="I10" s="193"/>
      <c r="J10" s="150"/>
      <c r="K10" s="150"/>
      <c r="L10" s="194"/>
      <c r="M10" s="70"/>
    </row>
    <row r="11" spans="2:13" ht="16" customHeight="1" x14ac:dyDescent="0.2">
      <c r="B11" s="95" t="s">
        <v>280</v>
      </c>
      <c r="C11" s="67">
        <f>IF('Comptes de résultats'!C9&lt;760000,0,0.16%*'Comptes de résultats'!C9)</f>
        <v>0</v>
      </c>
      <c r="D11" s="67">
        <f>IF('Comptes de résultats'!D9&lt;760000,0,0.16%*'Comptes de résultats'!D9)</f>
        <v>1318.5289600000001</v>
      </c>
      <c r="E11" s="67">
        <f>IF('Comptes de résultats'!E9&lt;760000,0,0.16%*'Comptes de résultats'!E9)</f>
        <v>2497.29952</v>
      </c>
      <c r="F11" s="67">
        <f>IF('Comptes de résultats'!F9&lt;760000,0,0.16%*'Comptes de résultats'!F9)</f>
        <v>4065.7864000000004</v>
      </c>
      <c r="G11" s="67">
        <f>IF('Comptes de résultats'!G9&lt;760000,0,0.16%*'Comptes de résultats'!G9)</f>
        <v>6491.9198400000005</v>
      </c>
      <c r="H11" s="70"/>
      <c r="I11" s="193"/>
      <c r="J11" s="150"/>
      <c r="K11" s="150"/>
      <c r="L11" s="194"/>
      <c r="M11" s="70"/>
    </row>
    <row r="12" spans="2:13" ht="32" customHeight="1" x14ac:dyDescent="0.2">
      <c r="B12" s="95" t="s">
        <v>281</v>
      </c>
      <c r="C12" s="67">
        <f>200+('Charges externes'!C12*27.26%/10)</f>
        <v>777.00333333333333</v>
      </c>
      <c r="D12" s="67">
        <f>200+('Charges externes'!D12*27.26%/10)</f>
        <v>806.53500000000008</v>
      </c>
      <c r="E12" s="67">
        <f>200+('Charges externes'!E12*27.26%/10)</f>
        <v>854.24</v>
      </c>
      <c r="F12" s="67">
        <f>200+('Charges externes'!F12*27.26%/10)</f>
        <v>881.5</v>
      </c>
      <c r="G12" s="67">
        <f>200+('Charges externes'!G12*27.26%/10)</f>
        <v>908.76</v>
      </c>
      <c r="H12" s="70"/>
      <c r="I12" s="193"/>
      <c r="J12" s="150"/>
      <c r="K12" s="150"/>
      <c r="L12" s="194"/>
      <c r="M12" s="70"/>
    </row>
    <row r="13" spans="2:13" ht="32" customHeight="1" x14ac:dyDescent="0.2">
      <c r="B13" s="95" t="s">
        <v>282</v>
      </c>
      <c r="C13" s="67">
        <f>IF('Comptes de résultats'!C9&lt;500000,0,IF('Comptes de résultats'!C9&lt;3000000,0.5%,IF('Comptes de résultats'!C9&lt;10000000,1.4%,1.5%)))*'Comptes de résultats'!C16</f>
        <v>0</v>
      </c>
      <c r="D13" s="67">
        <f>IF('Comptes de résultats'!D9&lt;500000,0,IF('Comptes de résultats'!D9&lt;3000000,0.5%,IF('Comptes de résultats'!D9&lt;10000000,1.4%,1.5%)))*'Comptes de résultats'!D16</f>
        <v>1427.6753099999999</v>
      </c>
      <c r="E13" s="67">
        <f>IF('Comptes de résultats'!E9&lt;500000,0,IF('Comptes de résultats'!E9&lt;3000000,0.5%,IF('Comptes de résultats'!E9&lt;10000000,1.4%,1.5%)))*'Comptes de résultats'!E16</f>
        <v>2960.5769700000001</v>
      </c>
      <c r="F13" s="67">
        <f>IF('Comptes de résultats'!F9&lt;500000,0,IF('Comptes de résultats'!F9&lt;3000000,0.5%,IF('Comptes de résultats'!F9&lt;10000000,1.4%,1.5%)))*'Comptes de résultats'!F16</f>
        <v>5054.9285249999994</v>
      </c>
      <c r="G13" s="67">
        <f>IF('Comptes de résultats'!G9&lt;500000,0,IF('Comptes de résultats'!G9&lt;3000000,0.5%,IF('Comptes de résultats'!G9&lt;10000000,1.4%,1.5%)))*'Comptes de résultats'!G16</f>
        <v>23110.197921999996</v>
      </c>
      <c r="H13" s="70"/>
      <c r="I13" s="193"/>
      <c r="J13" s="150"/>
      <c r="K13" s="150"/>
      <c r="L13" s="194"/>
      <c r="M13" s="70"/>
    </row>
    <row r="14" spans="2:13" ht="16" customHeight="1" x14ac:dyDescent="0.2">
      <c r="B14" s="112" t="s">
        <v>97</v>
      </c>
      <c r="C14" s="67">
        <f>SUM(C8:C13)</f>
        <v>2127.1989333333331</v>
      </c>
      <c r="D14" s="67">
        <f>SUM(D8:D13)</f>
        <v>5076.4017699999995</v>
      </c>
      <c r="E14" s="67">
        <f>SUM(E8:E13)</f>
        <v>8427.7164900000007</v>
      </c>
      <c r="F14" s="67">
        <f>SUM(F8:F13)</f>
        <v>12806.614925</v>
      </c>
      <c r="G14" s="67">
        <f>SUM(G8:G13)</f>
        <v>34090.177761999999</v>
      </c>
      <c r="H14" s="70"/>
      <c r="I14" s="161"/>
      <c r="J14" s="178"/>
      <c r="K14" s="178"/>
      <c r="L14" s="179"/>
      <c r="M14" s="70"/>
    </row>
    <row r="15" spans="2:13" x14ac:dyDescent="0.2">
      <c r="B15" s="113"/>
      <c r="C15" s="81"/>
      <c r="D15" s="81"/>
      <c r="E15" s="81"/>
      <c r="F15" s="81"/>
      <c r="G15" s="81"/>
      <c r="H15" s="70"/>
      <c r="I15" s="70"/>
      <c r="J15" s="70"/>
      <c r="K15" s="70"/>
      <c r="L15" s="70"/>
      <c r="M15" s="70"/>
    </row>
    <row r="17" spans="2:7" x14ac:dyDescent="0.2">
      <c r="B17" s="195"/>
      <c r="C17" s="150"/>
      <c r="D17" s="150"/>
      <c r="E17" s="150"/>
      <c r="F17" s="150"/>
      <c r="G17" s="150"/>
    </row>
  </sheetData>
  <sheetProtection sheet="1" objects="1" scenarios="1"/>
  <mergeCells count="4">
    <mergeCell ref="I5:L14"/>
    <mergeCell ref="B5:G5"/>
    <mergeCell ref="B17:G17"/>
    <mergeCell ref="B2:C3"/>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19</vt:i4>
      </vt:variant>
    </vt:vector>
  </HeadingPairs>
  <TitlesOfParts>
    <vt:vector size="19" baseType="lpstr">
      <vt:lpstr>Info</vt:lpstr>
      <vt:lpstr>Guide</vt:lpstr>
      <vt:lpstr>Config</vt:lpstr>
      <vt:lpstr>Personnel</vt:lpstr>
      <vt:lpstr>Charges variables</vt:lpstr>
      <vt:lpstr>Personnel - Calculs auto</vt:lpstr>
      <vt:lpstr>Charges externes</vt:lpstr>
      <vt:lpstr>Investissements</vt:lpstr>
      <vt:lpstr>Commandes</vt:lpstr>
      <vt:lpstr>Trésorerie</vt:lpstr>
      <vt:lpstr>Pilotage</vt:lpstr>
      <vt:lpstr>Synthèse</vt:lpstr>
      <vt:lpstr>Comptes de résultats</vt:lpstr>
      <vt:lpstr>Plan de financement</vt:lpstr>
      <vt:lpstr>Commandes - Calculs auto</vt:lpstr>
      <vt:lpstr>Bilans</vt:lpstr>
      <vt:lpstr>TVA</vt:lpstr>
      <vt:lpstr>BFR</vt:lpstr>
      <vt:lpstr>Impôts et taxes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livingstone</cp:lastModifiedBy>
  <dcterms:created xsi:type="dcterms:W3CDTF">2006-09-12T15:06:44Z</dcterms:created>
  <dcterms:modified xsi:type="dcterms:W3CDTF">2026-02-11T16:22:47Z</dcterms:modified>
</cp:coreProperties>
</file>